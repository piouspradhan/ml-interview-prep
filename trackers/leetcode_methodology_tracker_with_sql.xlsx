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ious\Documents\ml-interview-prep\"/>
    </mc:Choice>
  </mc:AlternateContent>
  <xr:revisionPtr revIDLastSave="0" documentId="13_ncr:1_{2AA98DD7-0344-440E-9832-6DC933DBEF4B}" xr6:coauthVersionLast="47" xr6:coauthVersionMax="47" xr10:uidLastSave="{00000000-0000-0000-0000-000000000000}"/>
  <bookViews>
    <workbookView xWindow="-108" yWindow="-108" windowWidth="23256" windowHeight="12456" activeTab="4" xr2:uid="{00000000-000D-0000-FFFF-FFFF00000000}"/>
  </bookViews>
  <sheets>
    <sheet name="Tracker" sheetId="1" r:id="rId1"/>
    <sheet name="Dashboard" sheetId="2" r:id="rId2"/>
    <sheet name="Pattern Guide" sheetId="3" r:id="rId3"/>
    <sheet name="Lists" sheetId="4" r:id="rId4"/>
    <sheet name="SQL Tracker" sheetId="5" r:id="rId5"/>
    <sheet name="SQL Lists" sheetId="6" r:id="rId6"/>
  </sheets>
  <calcPr calcId="181029"/>
</workbook>
</file>

<file path=xl/calcChain.xml><?xml version="1.0" encoding="utf-8"?>
<calcChain xmlns="http://schemas.openxmlformats.org/spreadsheetml/2006/main">
  <c r="A6" i="5" l="1"/>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A4" i="5"/>
  <c r="A5"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N497" i="5"/>
  <c r="A497" i="5"/>
  <c r="N496" i="5"/>
  <c r="A496" i="5"/>
  <c r="N495" i="5"/>
  <c r="A495" i="5"/>
  <c r="N494" i="5"/>
  <c r="A494" i="5"/>
  <c r="N493" i="5"/>
  <c r="A493" i="5"/>
  <c r="N492" i="5"/>
  <c r="A492" i="5"/>
  <c r="N491" i="5"/>
  <c r="A491" i="5"/>
  <c r="N490" i="5"/>
  <c r="A490" i="5"/>
  <c r="N489" i="5"/>
  <c r="A489" i="5"/>
  <c r="N488" i="5"/>
  <c r="A488" i="5"/>
  <c r="N487" i="5"/>
  <c r="A487" i="5"/>
  <c r="N486" i="5"/>
  <c r="A486" i="5"/>
  <c r="N485" i="5"/>
  <c r="A485" i="5"/>
  <c r="N484" i="5"/>
  <c r="A484" i="5"/>
  <c r="N483" i="5"/>
  <c r="A483" i="5"/>
  <c r="N482" i="5"/>
  <c r="A482" i="5"/>
  <c r="N481" i="5"/>
  <c r="A481" i="5"/>
  <c r="N480" i="5"/>
  <c r="A480" i="5"/>
  <c r="N479" i="5"/>
  <c r="A479" i="5"/>
  <c r="N478" i="5"/>
  <c r="A478" i="5"/>
  <c r="N477" i="5"/>
  <c r="A477" i="5"/>
  <c r="N476" i="5"/>
  <c r="A476" i="5"/>
  <c r="N475" i="5"/>
  <c r="A475" i="5"/>
  <c r="N474" i="5"/>
  <c r="A474" i="5"/>
  <c r="N473" i="5"/>
  <c r="A473" i="5"/>
  <c r="N472" i="5"/>
  <c r="A472" i="5"/>
  <c r="N471" i="5"/>
  <c r="A471" i="5"/>
  <c r="N470" i="5"/>
  <c r="A470" i="5"/>
  <c r="N469" i="5"/>
  <c r="A469" i="5"/>
  <c r="N468" i="5"/>
  <c r="A468" i="5"/>
  <c r="N467" i="5"/>
  <c r="A467" i="5"/>
  <c r="N466" i="5"/>
  <c r="A466" i="5"/>
  <c r="N465" i="5"/>
  <c r="A465" i="5"/>
  <c r="N464" i="5"/>
  <c r="A464" i="5"/>
  <c r="N463" i="5"/>
  <c r="A463" i="5"/>
  <c r="N462" i="5"/>
  <c r="A462" i="5"/>
  <c r="N461" i="5"/>
  <c r="A461" i="5"/>
  <c r="N460" i="5"/>
  <c r="A460" i="5"/>
  <c r="N459" i="5"/>
  <c r="A459" i="5"/>
  <c r="N458" i="5"/>
  <c r="A458" i="5"/>
  <c r="N457" i="5"/>
  <c r="A457" i="5"/>
  <c r="N456" i="5"/>
  <c r="A456" i="5"/>
  <c r="N455" i="5"/>
  <c r="A455" i="5"/>
  <c r="N454" i="5"/>
  <c r="A454" i="5"/>
  <c r="N453" i="5"/>
  <c r="A453" i="5"/>
  <c r="N452" i="5"/>
  <c r="A452" i="5"/>
  <c r="N451" i="5"/>
  <c r="A451" i="5"/>
  <c r="N450" i="5"/>
  <c r="A450" i="5"/>
  <c r="N449" i="5"/>
  <c r="A449" i="5"/>
  <c r="N448" i="5"/>
  <c r="A448" i="5"/>
  <c r="N447" i="5"/>
  <c r="A447" i="5"/>
  <c r="N446" i="5"/>
  <c r="A446" i="5"/>
  <c r="N445" i="5"/>
  <c r="A445" i="5"/>
  <c r="N444" i="5"/>
  <c r="A444" i="5"/>
  <c r="N443" i="5"/>
  <c r="A443" i="5"/>
  <c r="N442" i="5"/>
  <c r="A442" i="5"/>
  <c r="N441" i="5"/>
  <c r="A441" i="5"/>
  <c r="N440" i="5"/>
  <c r="A440" i="5"/>
  <c r="N439" i="5"/>
  <c r="A439" i="5"/>
  <c r="N438" i="5"/>
  <c r="A438" i="5"/>
  <c r="N437" i="5"/>
  <c r="A437" i="5"/>
  <c r="N436" i="5"/>
  <c r="A436" i="5"/>
  <c r="N435" i="5"/>
  <c r="A435" i="5"/>
  <c r="N434" i="5"/>
  <c r="A434" i="5"/>
  <c r="N433" i="5"/>
  <c r="A433" i="5"/>
  <c r="N432" i="5"/>
  <c r="A432" i="5"/>
  <c r="N431" i="5"/>
  <c r="A431" i="5"/>
  <c r="N430" i="5"/>
  <c r="A430" i="5"/>
  <c r="N429" i="5"/>
  <c r="A429" i="5"/>
  <c r="N428" i="5"/>
  <c r="A428" i="5"/>
  <c r="N427" i="5"/>
  <c r="A427" i="5"/>
  <c r="N426" i="5"/>
  <c r="A426" i="5"/>
  <c r="N425" i="5"/>
  <c r="A425" i="5"/>
  <c r="N424" i="5"/>
  <c r="A424" i="5"/>
  <c r="N423" i="5"/>
  <c r="A423" i="5"/>
  <c r="N422" i="5"/>
  <c r="A422" i="5"/>
  <c r="N421" i="5"/>
  <c r="A421" i="5"/>
  <c r="N420" i="5"/>
  <c r="A420" i="5"/>
  <c r="N419" i="5"/>
  <c r="A419" i="5"/>
  <c r="N418" i="5"/>
  <c r="A418" i="5"/>
  <c r="N417" i="5"/>
  <c r="A417" i="5"/>
  <c r="N416" i="5"/>
  <c r="A416" i="5"/>
  <c r="N415" i="5"/>
  <c r="A415" i="5"/>
  <c r="N414" i="5"/>
  <c r="A414" i="5"/>
  <c r="N413" i="5"/>
  <c r="A413" i="5"/>
  <c r="N412" i="5"/>
  <c r="A412" i="5"/>
  <c r="N411" i="5"/>
  <c r="A411" i="5"/>
  <c r="N410" i="5"/>
  <c r="A410" i="5"/>
  <c r="N409" i="5"/>
  <c r="A409" i="5"/>
  <c r="N408" i="5"/>
  <c r="A408" i="5"/>
  <c r="N407" i="5"/>
  <c r="A407" i="5"/>
  <c r="N406" i="5"/>
  <c r="A406" i="5"/>
  <c r="N405" i="5"/>
  <c r="A405" i="5"/>
  <c r="N404" i="5"/>
  <c r="A404" i="5"/>
  <c r="N403" i="5"/>
  <c r="A403" i="5"/>
  <c r="N402" i="5"/>
  <c r="A402" i="5"/>
  <c r="N401" i="5"/>
  <c r="A401" i="5"/>
  <c r="N400" i="5"/>
  <c r="A400" i="5"/>
  <c r="N399" i="5"/>
  <c r="A399" i="5"/>
  <c r="N398" i="5"/>
  <c r="A398" i="5"/>
  <c r="N397" i="5"/>
  <c r="A397" i="5"/>
  <c r="N396" i="5"/>
  <c r="A396" i="5"/>
  <c r="N395" i="5"/>
  <c r="A395" i="5"/>
  <c r="N394" i="5"/>
  <c r="A394" i="5"/>
  <c r="N393" i="5"/>
  <c r="A393" i="5"/>
  <c r="N392" i="5"/>
  <c r="A392" i="5"/>
  <c r="N391" i="5"/>
  <c r="A391" i="5"/>
  <c r="N390" i="5"/>
  <c r="A390" i="5"/>
  <c r="N389" i="5"/>
  <c r="A389" i="5"/>
  <c r="N388" i="5"/>
  <c r="A388" i="5"/>
  <c r="N387" i="5"/>
  <c r="A387" i="5"/>
  <c r="N386" i="5"/>
  <c r="A386" i="5"/>
  <c r="N385" i="5"/>
  <c r="A385" i="5"/>
  <c r="N384" i="5"/>
  <c r="A384" i="5"/>
  <c r="N383" i="5"/>
  <c r="A383" i="5"/>
  <c r="N382" i="5"/>
  <c r="A382" i="5"/>
  <c r="N381" i="5"/>
  <c r="A381" i="5"/>
  <c r="N380" i="5"/>
  <c r="A380" i="5"/>
  <c r="N379" i="5"/>
  <c r="A379" i="5"/>
  <c r="N378" i="5"/>
  <c r="A378" i="5"/>
  <c r="N377" i="5"/>
  <c r="A377" i="5"/>
  <c r="N376" i="5"/>
  <c r="A376" i="5"/>
  <c r="N375" i="5"/>
  <c r="A375" i="5"/>
  <c r="N374" i="5"/>
  <c r="A374" i="5"/>
  <c r="N373" i="5"/>
  <c r="A373" i="5"/>
  <c r="N372" i="5"/>
  <c r="A372" i="5"/>
  <c r="N371" i="5"/>
  <c r="A371" i="5"/>
  <c r="N370" i="5"/>
  <c r="A370" i="5"/>
  <c r="N369" i="5"/>
  <c r="A369" i="5"/>
  <c r="N368" i="5"/>
  <c r="A368" i="5"/>
  <c r="N367" i="5"/>
  <c r="A367" i="5"/>
  <c r="N366" i="5"/>
  <c r="A366" i="5"/>
  <c r="N365" i="5"/>
  <c r="A365" i="5"/>
  <c r="N364" i="5"/>
  <c r="A364" i="5"/>
  <c r="N363" i="5"/>
  <c r="A363" i="5"/>
  <c r="N362" i="5"/>
  <c r="A362" i="5"/>
  <c r="N361" i="5"/>
  <c r="A361" i="5"/>
  <c r="N360" i="5"/>
  <c r="A360" i="5"/>
  <c r="N359" i="5"/>
  <c r="A359" i="5"/>
  <c r="N358" i="5"/>
  <c r="A358" i="5"/>
  <c r="N357" i="5"/>
  <c r="A357" i="5"/>
  <c r="N356" i="5"/>
  <c r="A356" i="5"/>
  <c r="N355" i="5"/>
  <c r="A355" i="5"/>
  <c r="N354" i="5"/>
  <c r="A354" i="5"/>
  <c r="N353" i="5"/>
  <c r="A353" i="5"/>
  <c r="N352" i="5"/>
  <c r="A352" i="5"/>
  <c r="N351" i="5"/>
  <c r="A351" i="5"/>
  <c r="N350" i="5"/>
  <c r="A350" i="5"/>
  <c r="N349" i="5"/>
  <c r="A349" i="5"/>
  <c r="N348" i="5"/>
  <c r="A348" i="5"/>
  <c r="N347" i="5"/>
  <c r="A347" i="5"/>
  <c r="N346" i="5"/>
  <c r="A346" i="5"/>
  <c r="N345" i="5"/>
  <c r="A345" i="5"/>
  <c r="N344" i="5"/>
  <c r="A344" i="5"/>
  <c r="N343" i="5"/>
  <c r="A343" i="5"/>
  <c r="N342" i="5"/>
  <c r="A342" i="5"/>
  <c r="N341" i="5"/>
  <c r="A341" i="5"/>
  <c r="N340" i="5"/>
  <c r="A340" i="5"/>
  <c r="N339" i="5"/>
  <c r="A339" i="5"/>
  <c r="N338" i="5"/>
  <c r="A338" i="5"/>
  <c r="N337" i="5"/>
  <c r="A337" i="5"/>
  <c r="N336" i="5"/>
  <c r="A336" i="5"/>
  <c r="N335" i="5"/>
  <c r="A335" i="5"/>
  <c r="N334" i="5"/>
  <c r="A334" i="5"/>
  <c r="N333" i="5"/>
  <c r="A333" i="5"/>
  <c r="N332" i="5"/>
  <c r="A332" i="5"/>
  <c r="N331" i="5"/>
  <c r="A331" i="5"/>
  <c r="N330" i="5"/>
  <c r="A330" i="5"/>
  <c r="N329" i="5"/>
  <c r="A329" i="5"/>
  <c r="N328" i="5"/>
  <c r="A328" i="5"/>
  <c r="N327" i="5"/>
  <c r="A327" i="5"/>
  <c r="N326" i="5"/>
  <c r="A326" i="5"/>
  <c r="N325" i="5"/>
  <c r="A325" i="5"/>
  <c r="N324" i="5"/>
  <c r="A324" i="5"/>
  <c r="N323" i="5"/>
  <c r="A323" i="5"/>
  <c r="N322" i="5"/>
  <c r="A322" i="5"/>
  <c r="N321" i="5"/>
  <c r="A321" i="5"/>
  <c r="N320" i="5"/>
  <c r="A320" i="5"/>
  <c r="N319" i="5"/>
  <c r="A319" i="5"/>
  <c r="N318" i="5"/>
  <c r="A318" i="5"/>
  <c r="N317" i="5"/>
  <c r="A317" i="5"/>
  <c r="N316" i="5"/>
  <c r="A316" i="5"/>
  <c r="N315" i="5"/>
  <c r="A315" i="5"/>
  <c r="N314" i="5"/>
  <c r="A314" i="5"/>
  <c r="N313" i="5"/>
  <c r="A313" i="5"/>
  <c r="N312" i="5"/>
  <c r="A312" i="5"/>
  <c r="N311" i="5"/>
  <c r="A311" i="5"/>
  <c r="N310" i="5"/>
  <c r="A310" i="5"/>
  <c r="N309" i="5"/>
  <c r="A309" i="5"/>
  <c r="N308" i="5"/>
  <c r="A308" i="5"/>
  <c r="N307" i="5"/>
  <c r="A307" i="5"/>
  <c r="N306" i="5"/>
  <c r="A306" i="5"/>
  <c r="N305" i="5"/>
  <c r="A305" i="5"/>
  <c r="N304" i="5"/>
  <c r="A304" i="5"/>
  <c r="N303" i="5"/>
  <c r="A303" i="5"/>
  <c r="N302" i="5"/>
  <c r="A302" i="5"/>
  <c r="N301" i="5"/>
  <c r="A301" i="5"/>
  <c r="N300" i="5"/>
  <c r="A300" i="5"/>
  <c r="N299" i="5"/>
  <c r="A299" i="5"/>
  <c r="N298" i="5"/>
  <c r="A298" i="5"/>
  <c r="N297" i="5"/>
  <c r="A297" i="5"/>
  <c r="N296" i="5"/>
  <c r="A296" i="5"/>
  <c r="N295" i="5"/>
  <c r="A295" i="5"/>
  <c r="N294" i="5"/>
  <c r="A294" i="5"/>
  <c r="N293" i="5"/>
  <c r="A293" i="5"/>
  <c r="N292" i="5"/>
  <c r="A292" i="5"/>
  <c r="N291" i="5"/>
  <c r="A291" i="5"/>
  <c r="N290" i="5"/>
  <c r="A290" i="5"/>
  <c r="N289" i="5"/>
  <c r="A289" i="5"/>
  <c r="N288" i="5"/>
  <c r="A288" i="5"/>
  <c r="N287" i="5"/>
  <c r="A287" i="5"/>
  <c r="N286" i="5"/>
  <c r="A286" i="5"/>
  <c r="N285" i="5"/>
  <c r="A285" i="5"/>
  <c r="N284" i="5"/>
  <c r="A284" i="5"/>
  <c r="N283" i="5"/>
  <c r="A283" i="5"/>
  <c r="N282" i="5"/>
  <c r="A282" i="5"/>
  <c r="N281" i="5"/>
  <c r="A281" i="5"/>
  <c r="N280" i="5"/>
  <c r="A280" i="5"/>
  <c r="N279" i="5"/>
  <c r="A279" i="5"/>
  <c r="N278" i="5"/>
  <c r="A278" i="5"/>
  <c r="N277" i="5"/>
  <c r="A277" i="5"/>
  <c r="N276" i="5"/>
  <c r="A276" i="5"/>
  <c r="N275" i="5"/>
  <c r="A275" i="5"/>
  <c r="N274" i="5"/>
  <c r="A274" i="5"/>
  <c r="N273" i="5"/>
  <c r="A273" i="5"/>
  <c r="N272" i="5"/>
  <c r="A272" i="5"/>
  <c r="N271" i="5"/>
  <c r="A271" i="5"/>
  <c r="N270" i="5"/>
  <c r="A270" i="5"/>
  <c r="N269" i="5"/>
  <c r="A269" i="5"/>
  <c r="N268" i="5"/>
  <c r="A268" i="5"/>
  <c r="N267" i="5"/>
  <c r="A267" i="5"/>
  <c r="N266" i="5"/>
  <c r="A266" i="5"/>
  <c r="N265" i="5"/>
  <c r="A265" i="5"/>
  <c r="N264" i="5"/>
  <c r="A264" i="5"/>
  <c r="N263" i="5"/>
  <c r="A263" i="5"/>
  <c r="N262" i="5"/>
  <c r="A262" i="5"/>
  <c r="N261" i="5"/>
  <c r="A261" i="5"/>
  <c r="N260" i="5"/>
  <c r="A260" i="5"/>
  <c r="N259" i="5"/>
  <c r="A259" i="5"/>
  <c r="N258" i="5"/>
  <c r="A258" i="5"/>
  <c r="N257" i="5"/>
  <c r="A257" i="5"/>
  <c r="N256" i="5"/>
  <c r="A256" i="5"/>
  <c r="N255" i="5"/>
  <c r="A255" i="5"/>
  <c r="N254" i="5"/>
  <c r="A254" i="5"/>
  <c r="N253" i="5"/>
  <c r="A253" i="5"/>
  <c r="N252" i="5"/>
  <c r="A252" i="5"/>
  <c r="N251" i="5"/>
  <c r="A251" i="5"/>
  <c r="N250" i="5"/>
  <c r="A250" i="5"/>
  <c r="N249" i="5"/>
  <c r="A249" i="5"/>
  <c r="N248" i="5"/>
  <c r="A248" i="5"/>
  <c r="N247" i="5"/>
  <c r="A247" i="5"/>
  <c r="N246" i="5"/>
  <c r="A246" i="5"/>
  <c r="N245" i="5"/>
  <c r="A245" i="5"/>
  <c r="N244" i="5"/>
  <c r="A244" i="5"/>
  <c r="N243" i="5"/>
  <c r="A243" i="5"/>
  <c r="N242" i="5"/>
  <c r="A242" i="5"/>
  <c r="N241" i="5"/>
  <c r="A241" i="5"/>
  <c r="N240" i="5"/>
  <c r="A240" i="5"/>
  <c r="N239" i="5"/>
  <c r="A239" i="5"/>
  <c r="N238" i="5"/>
  <c r="A238" i="5"/>
  <c r="N237" i="5"/>
  <c r="A237" i="5"/>
  <c r="N236" i="5"/>
  <c r="A236" i="5"/>
  <c r="N235" i="5"/>
  <c r="A235" i="5"/>
  <c r="N234" i="5"/>
  <c r="A234" i="5"/>
  <c r="N233" i="5"/>
  <c r="A233" i="5"/>
  <c r="N232" i="5"/>
  <c r="A232" i="5"/>
  <c r="N231" i="5"/>
  <c r="A231" i="5"/>
  <c r="N230" i="5"/>
  <c r="A230" i="5"/>
  <c r="N229" i="5"/>
  <c r="A229" i="5"/>
  <c r="N228" i="5"/>
  <c r="A228" i="5"/>
  <c r="N227" i="5"/>
  <c r="A227" i="5"/>
  <c r="N226" i="5"/>
  <c r="A226" i="5"/>
  <c r="N225" i="5"/>
  <c r="A225" i="5"/>
  <c r="N224" i="5"/>
  <c r="A224" i="5"/>
  <c r="N223" i="5"/>
  <c r="A223" i="5"/>
  <c r="N222" i="5"/>
  <c r="A222" i="5"/>
  <c r="N221" i="5"/>
  <c r="A221" i="5"/>
  <c r="N220" i="5"/>
  <c r="A220" i="5"/>
  <c r="N219" i="5"/>
  <c r="A219" i="5"/>
  <c r="N218" i="5"/>
  <c r="A218" i="5"/>
  <c r="N217" i="5"/>
  <c r="A217" i="5"/>
  <c r="N216" i="5"/>
  <c r="A216" i="5"/>
  <c r="N215" i="5"/>
  <c r="A215" i="5"/>
  <c r="N214" i="5"/>
  <c r="A214" i="5"/>
  <c r="N213" i="5"/>
  <c r="A213" i="5"/>
  <c r="N212" i="5"/>
  <c r="A212" i="5"/>
  <c r="N211" i="5"/>
  <c r="A211" i="5"/>
  <c r="N210" i="5"/>
  <c r="A210" i="5"/>
  <c r="N209" i="5"/>
  <c r="A209" i="5"/>
  <c r="N208" i="5"/>
  <c r="A208" i="5"/>
  <c r="N207" i="5"/>
  <c r="A207" i="5"/>
  <c r="N206" i="5"/>
  <c r="A206" i="5"/>
  <c r="N205" i="5"/>
  <c r="A205" i="5"/>
  <c r="N204" i="5"/>
  <c r="A204" i="5"/>
  <c r="N203" i="5"/>
  <c r="A203" i="5"/>
  <c r="N202" i="5"/>
  <c r="A202" i="5"/>
  <c r="N201" i="5"/>
  <c r="A201" i="5"/>
  <c r="N200" i="5"/>
  <c r="A200" i="5"/>
  <c r="N199" i="5"/>
  <c r="A199" i="5"/>
  <c r="N198" i="5"/>
  <c r="A198" i="5"/>
  <c r="N197" i="5"/>
  <c r="A197" i="5"/>
  <c r="N196" i="5"/>
  <c r="A196" i="5"/>
  <c r="N195" i="5"/>
  <c r="A195" i="5"/>
  <c r="N194" i="5"/>
  <c r="A194" i="5"/>
  <c r="N193" i="5"/>
  <c r="A193" i="5"/>
  <c r="N192" i="5"/>
  <c r="A192" i="5"/>
  <c r="N191" i="5"/>
  <c r="A191" i="5"/>
  <c r="N190" i="5"/>
  <c r="A190" i="5"/>
  <c r="N189" i="5"/>
  <c r="A189" i="5"/>
  <c r="N188" i="5"/>
  <c r="A188" i="5"/>
  <c r="N187" i="5"/>
  <c r="A187" i="5"/>
  <c r="N186" i="5"/>
  <c r="A186" i="5"/>
  <c r="N185" i="5"/>
  <c r="A185" i="5"/>
  <c r="N184" i="5"/>
  <c r="A184" i="5"/>
  <c r="N183" i="5"/>
  <c r="A183" i="5"/>
  <c r="N182" i="5"/>
  <c r="A182" i="5"/>
  <c r="N181" i="5"/>
  <c r="A181" i="5"/>
  <c r="N180" i="5"/>
  <c r="A180" i="5"/>
  <c r="N179" i="5"/>
  <c r="A179" i="5"/>
  <c r="N178" i="5"/>
  <c r="A178" i="5"/>
  <c r="N177" i="5"/>
  <c r="A177" i="5"/>
  <c r="N176" i="5"/>
  <c r="A176" i="5"/>
  <c r="N175" i="5"/>
  <c r="A175" i="5"/>
  <c r="N174" i="5"/>
  <c r="A174" i="5"/>
  <c r="N173" i="5"/>
  <c r="A173" i="5"/>
  <c r="N172" i="5"/>
  <c r="A172" i="5"/>
  <c r="N171" i="5"/>
  <c r="A171" i="5"/>
  <c r="N170" i="5"/>
  <c r="A170" i="5"/>
  <c r="N169" i="5"/>
  <c r="A169" i="5"/>
  <c r="N168" i="5"/>
  <c r="A168" i="5"/>
  <c r="N167" i="5"/>
  <c r="A167" i="5"/>
  <c r="N166" i="5"/>
  <c r="A166" i="5"/>
  <c r="N165" i="5"/>
  <c r="A165" i="5"/>
  <c r="N164" i="5"/>
  <c r="A164" i="5"/>
  <c r="N163" i="5"/>
  <c r="A163" i="5"/>
  <c r="N162" i="5"/>
  <c r="A162" i="5"/>
  <c r="N161" i="5"/>
  <c r="A161" i="5"/>
  <c r="N160" i="5"/>
  <c r="A160" i="5"/>
  <c r="N159" i="5"/>
  <c r="A159" i="5"/>
  <c r="N158" i="5"/>
  <c r="A158" i="5"/>
  <c r="N157" i="5"/>
  <c r="A157" i="5"/>
  <c r="N156" i="5"/>
  <c r="A156" i="5"/>
  <c r="N155" i="5"/>
  <c r="A155" i="5"/>
  <c r="N154" i="5"/>
  <c r="A154" i="5"/>
  <c r="N153" i="5"/>
  <c r="A153" i="5"/>
  <c r="N152" i="5"/>
  <c r="A152" i="5"/>
  <c r="N151" i="5"/>
  <c r="A151" i="5"/>
  <c r="N150" i="5"/>
  <c r="A150" i="5"/>
  <c r="N149" i="5"/>
  <c r="A149" i="5"/>
  <c r="N148" i="5"/>
  <c r="A148" i="5"/>
  <c r="N147" i="5"/>
  <c r="A147" i="5"/>
  <c r="N146" i="5"/>
  <c r="A146" i="5"/>
  <c r="N145" i="5"/>
  <c r="A145" i="5"/>
  <c r="N144" i="5"/>
  <c r="A144" i="5"/>
  <c r="N143" i="5"/>
  <c r="A143" i="5"/>
  <c r="N142" i="5"/>
  <c r="A142" i="5"/>
  <c r="N141" i="5"/>
  <c r="A141" i="5"/>
  <c r="N140" i="5"/>
  <c r="A140" i="5"/>
  <c r="N139" i="5"/>
  <c r="A139" i="5"/>
  <c r="N138" i="5"/>
  <c r="A138" i="5"/>
  <c r="N137" i="5"/>
  <c r="A137" i="5"/>
  <c r="N136" i="5"/>
  <c r="A136" i="5"/>
  <c r="N135" i="5"/>
  <c r="A135" i="5"/>
  <c r="N134" i="5"/>
  <c r="A134" i="5"/>
  <c r="N133" i="5"/>
  <c r="A133" i="5"/>
  <c r="N132" i="5"/>
  <c r="A132" i="5"/>
  <c r="N131" i="5"/>
  <c r="A131" i="5"/>
  <c r="N130" i="5"/>
  <c r="A130" i="5"/>
  <c r="N129" i="5"/>
  <c r="A129" i="5"/>
  <c r="N128" i="5"/>
  <c r="A128" i="5"/>
  <c r="N127" i="5"/>
  <c r="A127" i="5"/>
  <c r="N126" i="5"/>
  <c r="A126" i="5"/>
  <c r="N125" i="5"/>
  <c r="A125" i="5"/>
  <c r="N124" i="5"/>
  <c r="A124" i="5"/>
  <c r="N123" i="5"/>
  <c r="A123" i="5"/>
  <c r="N122" i="5"/>
  <c r="A122" i="5"/>
  <c r="N121" i="5"/>
  <c r="A121" i="5"/>
  <c r="N120" i="5"/>
  <c r="A120" i="5"/>
  <c r="N119" i="5"/>
  <c r="A119" i="5"/>
  <c r="N118" i="5"/>
  <c r="A118" i="5"/>
  <c r="N117" i="5"/>
  <c r="A117" i="5"/>
  <c r="N116" i="5"/>
  <c r="A116" i="5"/>
  <c r="N115" i="5"/>
  <c r="A115" i="5"/>
  <c r="N114" i="5"/>
  <c r="A114" i="5"/>
  <c r="N113" i="5"/>
  <c r="A113" i="5"/>
  <c r="N112" i="5"/>
  <c r="A112" i="5"/>
  <c r="N111" i="5"/>
  <c r="A111" i="5"/>
  <c r="N110" i="5"/>
  <c r="A110" i="5"/>
  <c r="N109" i="5"/>
  <c r="A109" i="5"/>
  <c r="N108" i="5"/>
  <c r="A108" i="5"/>
  <c r="N107" i="5"/>
  <c r="A107" i="5"/>
  <c r="N106" i="5"/>
  <c r="A106" i="5"/>
  <c r="N105" i="5"/>
  <c r="A105" i="5"/>
  <c r="N104" i="5"/>
  <c r="A104" i="5"/>
  <c r="N103" i="5"/>
  <c r="A103" i="5"/>
  <c r="N102" i="5"/>
  <c r="A102" i="5"/>
  <c r="N101" i="5"/>
  <c r="A101" i="5"/>
  <c r="N100" i="5"/>
  <c r="A100" i="5"/>
  <c r="N99" i="5"/>
  <c r="A99" i="5"/>
  <c r="N98" i="5"/>
  <c r="A98" i="5"/>
  <c r="N97" i="5"/>
  <c r="N96"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N5" i="5"/>
  <c r="N4" i="5"/>
  <c r="B9" i="2"/>
  <c r="B8" i="2"/>
  <c r="B7" i="2"/>
  <c r="E6" i="2"/>
  <c r="B6" i="2"/>
  <c r="E5" i="2"/>
  <c r="B5" i="2"/>
  <c r="E4" i="2"/>
  <c r="B4" i="2"/>
  <c r="A882" i="1"/>
  <c r="O881" i="1"/>
  <c r="A881" i="1"/>
  <c r="O880" i="1"/>
  <c r="A880" i="1"/>
  <c r="O879" i="1"/>
  <c r="A879" i="1"/>
  <c r="O878" i="1"/>
  <c r="A878" i="1"/>
  <c r="O877" i="1"/>
  <c r="A877" i="1"/>
  <c r="O876" i="1"/>
  <c r="A876" i="1"/>
  <c r="O875" i="1"/>
  <c r="A875" i="1"/>
  <c r="O874" i="1"/>
  <c r="A874" i="1"/>
  <c r="O873" i="1"/>
  <c r="A873" i="1"/>
  <c r="O872" i="1"/>
  <c r="A872" i="1"/>
  <c r="O871" i="1"/>
  <c r="A871" i="1"/>
  <c r="O870" i="1"/>
  <c r="A870" i="1"/>
  <c r="O869" i="1"/>
  <c r="A869" i="1"/>
  <c r="O868" i="1"/>
  <c r="A868" i="1"/>
  <c r="O867" i="1"/>
  <c r="A867" i="1"/>
  <c r="O866" i="1"/>
  <c r="A866" i="1"/>
  <c r="O865" i="1"/>
  <c r="A865" i="1"/>
  <c r="O864" i="1"/>
  <c r="A864" i="1"/>
  <c r="O863" i="1"/>
  <c r="A863" i="1"/>
  <c r="O862" i="1"/>
  <c r="A862" i="1"/>
  <c r="O861" i="1"/>
  <c r="A861" i="1"/>
  <c r="O860" i="1"/>
  <c r="A860" i="1"/>
  <c r="O859" i="1"/>
  <c r="A859" i="1"/>
  <c r="O858" i="1"/>
  <c r="A858" i="1"/>
  <c r="O857" i="1"/>
  <c r="A857" i="1"/>
  <c r="O856" i="1"/>
  <c r="A856" i="1"/>
  <c r="O855" i="1"/>
  <c r="A855" i="1"/>
  <c r="O854" i="1"/>
  <c r="A854" i="1"/>
  <c r="O853" i="1"/>
  <c r="A853" i="1"/>
  <c r="O852" i="1"/>
  <c r="A852" i="1"/>
  <c r="O851" i="1"/>
  <c r="A851" i="1"/>
  <c r="O850" i="1"/>
  <c r="A850" i="1"/>
  <c r="O849" i="1"/>
  <c r="A849" i="1"/>
  <c r="O848" i="1"/>
  <c r="A848" i="1"/>
  <c r="O847" i="1"/>
  <c r="A847" i="1"/>
  <c r="O846" i="1"/>
  <c r="A846" i="1"/>
  <c r="O845" i="1"/>
  <c r="A845" i="1"/>
  <c r="O844" i="1"/>
  <c r="A844" i="1"/>
  <c r="O843" i="1"/>
  <c r="A843" i="1"/>
  <c r="O842" i="1"/>
  <c r="A842" i="1"/>
  <c r="O841" i="1"/>
  <c r="A841" i="1"/>
  <c r="O840" i="1"/>
  <c r="A840" i="1"/>
  <c r="O839" i="1"/>
  <c r="A839" i="1"/>
  <c r="O838" i="1"/>
  <c r="A838" i="1"/>
  <c r="O837" i="1"/>
  <c r="A837" i="1"/>
  <c r="O836" i="1"/>
  <c r="A836" i="1"/>
  <c r="O835" i="1"/>
  <c r="A835" i="1"/>
  <c r="O834" i="1"/>
  <c r="A834" i="1"/>
  <c r="O833" i="1"/>
  <c r="A833" i="1"/>
  <c r="O832" i="1"/>
  <c r="A832" i="1"/>
  <c r="O831" i="1"/>
  <c r="A831" i="1"/>
  <c r="O830" i="1"/>
  <c r="A830" i="1"/>
  <c r="O829" i="1"/>
  <c r="A829" i="1"/>
  <c r="O828" i="1"/>
  <c r="A828" i="1"/>
  <c r="O827" i="1"/>
  <c r="A827" i="1"/>
  <c r="O826" i="1"/>
  <c r="A826" i="1"/>
  <c r="O825" i="1"/>
  <c r="A825" i="1"/>
  <c r="O824" i="1"/>
  <c r="A824" i="1"/>
  <c r="O823" i="1"/>
  <c r="A823" i="1"/>
  <c r="O822" i="1"/>
  <c r="A822" i="1"/>
  <c r="O821" i="1"/>
  <c r="A821" i="1"/>
  <c r="O820" i="1"/>
  <c r="A820" i="1"/>
  <c r="O819" i="1"/>
  <c r="A819" i="1"/>
  <c r="O818" i="1"/>
  <c r="A818" i="1"/>
  <c r="O817" i="1"/>
  <c r="A817" i="1"/>
  <c r="O816" i="1"/>
  <c r="A816" i="1"/>
  <c r="O815" i="1"/>
  <c r="A815" i="1"/>
  <c r="O814" i="1"/>
  <c r="A814" i="1"/>
  <c r="O813" i="1"/>
  <c r="A813" i="1"/>
  <c r="O812" i="1"/>
  <c r="A812" i="1"/>
  <c r="O811" i="1"/>
  <c r="A811" i="1"/>
  <c r="O810" i="1"/>
  <c r="A810" i="1"/>
  <c r="O809" i="1"/>
  <c r="A809" i="1"/>
  <c r="O808" i="1"/>
  <c r="A808" i="1"/>
  <c r="O807" i="1"/>
  <c r="A807" i="1"/>
  <c r="O806" i="1"/>
  <c r="A806" i="1"/>
  <c r="O805" i="1"/>
  <c r="A805" i="1"/>
  <c r="O804" i="1"/>
  <c r="A804" i="1"/>
  <c r="O803" i="1"/>
  <c r="A803" i="1"/>
  <c r="O802" i="1"/>
  <c r="A802" i="1"/>
  <c r="O801" i="1"/>
  <c r="A801" i="1"/>
  <c r="O800" i="1"/>
  <c r="A800" i="1"/>
  <c r="O799" i="1"/>
  <c r="A799" i="1"/>
  <c r="O798" i="1"/>
  <c r="A798" i="1"/>
  <c r="O797" i="1"/>
  <c r="A797" i="1"/>
  <c r="O796" i="1"/>
  <c r="A796" i="1"/>
  <c r="O795" i="1"/>
  <c r="A795" i="1"/>
  <c r="O794" i="1"/>
  <c r="A794" i="1"/>
  <c r="O793" i="1"/>
  <c r="A793" i="1"/>
  <c r="O792" i="1"/>
  <c r="A792" i="1"/>
  <c r="O791" i="1"/>
  <c r="A791" i="1"/>
  <c r="O790" i="1"/>
  <c r="A790" i="1"/>
  <c r="O789" i="1"/>
  <c r="A789" i="1"/>
  <c r="O788" i="1"/>
  <c r="A788" i="1"/>
  <c r="O787" i="1"/>
  <c r="A787" i="1"/>
  <c r="O786" i="1"/>
  <c r="A786" i="1"/>
  <c r="O785" i="1"/>
  <c r="A785" i="1"/>
  <c r="O784" i="1"/>
  <c r="A784" i="1"/>
  <c r="O783" i="1"/>
  <c r="A783" i="1"/>
  <c r="O782" i="1"/>
  <c r="A782" i="1"/>
  <c r="O781" i="1"/>
  <c r="A781" i="1"/>
  <c r="O780" i="1"/>
  <c r="A780" i="1"/>
  <c r="O779" i="1"/>
  <c r="A779" i="1"/>
  <c r="O778" i="1"/>
  <c r="A778" i="1"/>
  <c r="O777" i="1"/>
  <c r="A777" i="1"/>
  <c r="O776" i="1"/>
  <c r="A776" i="1"/>
  <c r="O775" i="1"/>
  <c r="A775" i="1"/>
  <c r="O774" i="1"/>
  <c r="A774" i="1"/>
  <c r="O773" i="1"/>
  <c r="A773" i="1"/>
  <c r="O772" i="1"/>
  <c r="A772" i="1"/>
  <c r="O771" i="1"/>
  <c r="A771" i="1"/>
  <c r="O770" i="1"/>
  <c r="A770" i="1"/>
  <c r="O769" i="1"/>
  <c r="A769" i="1"/>
  <c r="O768" i="1"/>
  <c r="A768" i="1"/>
  <c r="O767" i="1"/>
  <c r="A767" i="1"/>
  <c r="O766" i="1"/>
  <c r="A766" i="1"/>
  <c r="O765" i="1"/>
  <c r="A765" i="1"/>
  <c r="O764" i="1"/>
  <c r="A764" i="1"/>
  <c r="O763" i="1"/>
  <c r="A763" i="1"/>
  <c r="O762" i="1"/>
  <c r="A762" i="1"/>
  <c r="O761" i="1"/>
  <c r="A761" i="1"/>
  <c r="O760" i="1"/>
  <c r="A760" i="1"/>
  <c r="O759" i="1"/>
  <c r="A759" i="1"/>
  <c r="O758" i="1"/>
  <c r="A758" i="1"/>
  <c r="O757" i="1"/>
  <c r="A757" i="1"/>
  <c r="O756" i="1"/>
  <c r="A756" i="1"/>
  <c r="O755" i="1"/>
  <c r="A755" i="1"/>
  <c r="O754" i="1"/>
  <c r="A754" i="1"/>
  <c r="O753" i="1"/>
  <c r="A753" i="1"/>
  <c r="O752" i="1"/>
  <c r="A752" i="1"/>
  <c r="O751" i="1"/>
  <c r="A751" i="1"/>
  <c r="O750" i="1"/>
  <c r="A750" i="1"/>
  <c r="O749" i="1"/>
  <c r="A749" i="1"/>
  <c r="O748" i="1"/>
  <c r="A748" i="1"/>
  <c r="O747" i="1"/>
  <c r="A747" i="1"/>
  <c r="O746" i="1"/>
  <c r="A746" i="1"/>
  <c r="O745" i="1"/>
  <c r="A745" i="1"/>
  <c r="O744" i="1"/>
  <c r="A744" i="1"/>
  <c r="O743" i="1"/>
  <c r="A743" i="1"/>
  <c r="O742" i="1"/>
  <c r="A742" i="1"/>
  <c r="O741" i="1"/>
  <c r="A741" i="1"/>
  <c r="O740" i="1"/>
  <c r="A740" i="1"/>
  <c r="O739" i="1"/>
  <c r="A739" i="1"/>
  <c r="O738" i="1"/>
  <c r="A738" i="1"/>
  <c r="O737" i="1"/>
  <c r="A737" i="1"/>
  <c r="O736" i="1"/>
  <c r="A736" i="1"/>
  <c r="O735" i="1"/>
  <c r="A735" i="1"/>
  <c r="O734" i="1"/>
  <c r="A734" i="1"/>
  <c r="O733" i="1"/>
  <c r="A733" i="1"/>
  <c r="O732" i="1"/>
  <c r="A732" i="1"/>
  <c r="O731" i="1"/>
  <c r="A731" i="1"/>
  <c r="O730" i="1"/>
  <c r="A730" i="1"/>
  <c r="O729" i="1"/>
  <c r="A729" i="1"/>
  <c r="O728" i="1"/>
  <c r="A728" i="1"/>
  <c r="O727" i="1"/>
  <c r="A727" i="1"/>
  <c r="O726" i="1"/>
  <c r="A726" i="1"/>
  <c r="O725" i="1"/>
  <c r="A725" i="1"/>
  <c r="O724" i="1"/>
  <c r="A724" i="1"/>
  <c r="O723" i="1"/>
  <c r="A723" i="1"/>
  <c r="O722" i="1"/>
  <c r="A722" i="1"/>
  <c r="O721" i="1"/>
  <c r="A721" i="1"/>
  <c r="O720" i="1"/>
  <c r="A720" i="1"/>
  <c r="O719" i="1"/>
  <c r="A719" i="1"/>
  <c r="O718" i="1"/>
  <c r="A718" i="1"/>
  <c r="O717" i="1"/>
  <c r="A717" i="1"/>
  <c r="O716" i="1"/>
  <c r="A716" i="1"/>
  <c r="O715" i="1"/>
  <c r="A715" i="1"/>
  <c r="O714" i="1"/>
  <c r="A714" i="1"/>
  <c r="O713" i="1"/>
  <c r="A713" i="1"/>
  <c r="O712" i="1"/>
  <c r="A712" i="1"/>
  <c r="O711" i="1"/>
  <c r="A711" i="1"/>
  <c r="O710" i="1"/>
  <c r="A710" i="1"/>
  <c r="O709" i="1"/>
  <c r="A709" i="1"/>
  <c r="O708" i="1"/>
  <c r="A708" i="1"/>
  <c r="O707" i="1"/>
  <c r="A707" i="1"/>
  <c r="O706" i="1"/>
  <c r="A706" i="1"/>
  <c r="O705" i="1"/>
  <c r="A705" i="1"/>
  <c r="O704" i="1"/>
  <c r="A704" i="1"/>
  <c r="O703" i="1"/>
  <c r="A703" i="1"/>
  <c r="O702" i="1"/>
  <c r="A702" i="1"/>
  <c r="O701" i="1"/>
  <c r="A701" i="1"/>
  <c r="O700" i="1"/>
  <c r="A700" i="1"/>
  <c r="O699" i="1"/>
  <c r="A699" i="1"/>
  <c r="O698" i="1"/>
  <c r="A698" i="1"/>
  <c r="O697" i="1"/>
  <c r="A697" i="1"/>
  <c r="O696" i="1"/>
  <c r="A696" i="1"/>
  <c r="O695" i="1"/>
  <c r="A695" i="1"/>
  <c r="O694" i="1"/>
  <c r="A694" i="1"/>
  <c r="O693" i="1"/>
  <c r="A693" i="1"/>
  <c r="O692" i="1"/>
  <c r="A692" i="1"/>
  <c r="O691" i="1"/>
  <c r="A691" i="1"/>
  <c r="O690" i="1"/>
  <c r="A690" i="1"/>
  <c r="O689" i="1"/>
  <c r="A689" i="1"/>
  <c r="O688" i="1"/>
  <c r="A688" i="1"/>
  <c r="O687" i="1"/>
  <c r="A687" i="1"/>
  <c r="O686" i="1"/>
  <c r="A686" i="1"/>
  <c r="O685" i="1"/>
  <c r="A685" i="1"/>
  <c r="O684" i="1"/>
  <c r="A684" i="1"/>
  <c r="O683" i="1"/>
  <c r="A683" i="1"/>
  <c r="O682" i="1"/>
  <c r="A682" i="1"/>
  <c r="O681" i="1"/>
  <c r="A681" i="1"/>
  <c r="O680" i="1"/>
  <c r="A680" i="1"/>
  <c r="O679" i="1"/>
  <c r="A679" i="1"/>
  <c r="O678" i="1"/>
  <c r="A678" i="1"/>
  <c r="O677" i="1"/>
  <c r="A677" i="1"/>
  <c r="O676" i="1"/>
  <c r="A676" i="1"/>
  <c r="O675" i="1"/>
  <c r="A675" i="1"/>
  <c r="O674" i="1"/>
  <c r="A674" i="1"/>
  <c r="O673" i="1"/>
  <c r="A673" i="1"/>
  <c r="O672" i="1"/>
  <c r="A672" i="1"/>
  <c r="O671" i="1"/>
  <c r="A671" i="1"/>
  <c r="O670" i="1"/>
  <c r="A670" i="1"/>
  <c r="O669" i="1"/>
  <c r="A669" i="1"/>
  <c r="O668" i="1"/>
  <c r="A668" i="1"/>
  <c r="O667" i="1"/>
  <c r="A667" i="1"/>
  <c r="O666" i="1"/>
  <c r="A666" i="1"/>
  <c r="O665" i="1"/>
  <c r="A665" i="1"/>
  <c r="O664" i="1"/>
  <c r="A664" i="1"/>
  <c r="O663" i="1"/>
  <c r="A663" i="1"/>
  <c r="O662" i="1"/>
  <c r="A662" i="1"/>
  <c r="O661" i="1"/>
  <c r="A661" i="1"/>
  <c r="O660" i="1"/>
  <c r="A660" i="1"/>
  <c r="O659" i="1"/>
  <c r="A659" i="1"/>
  <c r="O658" i="1"/>
  <c r="A658" i="1"/>
  <c r="O657" i="1"/>
  <c r="A657" i="1"/>
  <c r="O656" i="1"/>
  <c r="A656" i="1"/>
  <c r="O655" i="1"/>
  <c r="A655" i="1"/>
  <c r="O654" i="1"/>
  <c r="A654" i="1"/>
  <c r="O653" i="1"/>
  <c r="A653" i="1"/>
  <c r="O652" i="1"/>
  <c r="A652" i="1"/>
  <c r="O651" i="1"/>
  <c r="A651" i="1"/>
  <c r="O650" i="1"/>
  <c r="A650" i="1"/>
  <c r="O649" i="1"/>
  <c r="A649" i="1"/>
  <c r="O648" i="1"/>
  <c r="A648" i="1"/>
  <c r="O647" i="1"/>
  <c r="A647" i="1"/>
  <c r="O646" i="1"/>
  <c r="A646" i="1"/>
  <c r="O645" i="1"/>
  <c r="A645" i="1"/>
  <c r="O644" i="1"/>
  <c r="A644" i="1"/>
  <c r="O643" i="1"/>
  <c r="A643" i="1"/>
  <c r="O642" i="1"/>
  <c r="A642" i="1"/>
  <c r="O641" i="1"/>
  <c r="A641" i="1"/>
  <c r="O640" i="1"/>
  <c r="A640" i="1"/>
  <c r="O639" i="1"/>
  <c r="A639" i="1"/>
  <c r="O638" i="1"/>
  <c r="A638" i="1"/>
  <c r="O637" i="1"/>
  <c r="A637" i="1"/>
  <c r="O636" i="1"/>
  <c r="A636" i="1"/>
  <c r="O635" i="1"/>
  <c r="A635" i="1"/>
  <c r="O634" i="1"/>
  <c r="A634" i="1"/>
  <c r="O633" i="1"/>
  <c r="A633" i="1"/>
  <c r="O632" i="1"/>
  <c r="A632" i="1"/>
  <c r="O631" i="1"/>
  <c r="A631" i="1"/>
  <c r="O630" i="1"/>
  <c r="A630" i="1"/>
  <c r="O629" i="1"/>
  <c r="A629" i="1"/>
  <c r="O628" i="1"/>
  <c r="A628" i="1"/>
  <c r="O627" i="1"/>
  <c r="A627" i="1"/>
  <c r="O626" i="1"/>
  <c r="A626" i="1"/>
  <c r="O625" i="1"/>
  <c r="A625" i="1"/>
  <c r="O624" i="1"/>
  <c r="A624" i="1"/>
  <c r="O623" i="1"/>
  <c r="A623" i="1"/>
  <c r="O622" i="1"/>
  <c r="A622" i="1"/>
  <c r="O621" i="1"/>
  <c r="A621" i="1"/>
  <c r="O620" i="1"/>
  <c r="A620" i="1"/>
  <c r="O619" i="1"/>
  <c r="A619" i="1"/>
  <c r="O618" i="1"/>
  <c r="A618" i="1"/>
  <c r="O617" i="1"/>
  <c r="A617" i="1"/>
  <c r="O616" i="1"/>
  <c r="A616" i="1"/>
  <c r="O615" i="1"/>
  <c r="A615" i="1"/>
  <c r="O614" i="1"/>
  <c r="A614" i="1"/>
  <c r="O613" i="1"/>
  <c r="A613" i="1"/>
  <c r="O612" i="1"/>
  <c r="A612" i="1"/>
  <c r="O611" i="1"/>
  <c r="A611" i="1"/>
  <c r="O610" i="1"/>
  <c r="A610" i="1"/>
  <c r="O609" i="1"/>
  <c r="A609" i="1"/>
  <c r="O608" i="1"/>
  <c r="A608" i="1"/>
  <c r="O607" i="1"/>
  <c r="A607" i="1"/>
  <c r="O606" i="1"/>
  <c r="A606" i="1"/>
  <c r="O605" i="1"/>
  <c r="A605" i="1"/>
  <c r="O604" i="1"/>
  <c r="A604" i="1"/>
  <c r="O603" i="1"/>
  <c r="A603" i="1"/>
  <c r="O602" i="1"/>
  <c r="A602" i="1"/>
  <c r="O601" i="1"/>
  <c r="A601" i="1"/>
  <c r="O600" i="1"/>
  <c r="A600" i="1"/>
  <c r="O599" i="1"/>
  <c r="A599" i="1"/>
  <c r="O598" i="1"/>
  <c r="A598" i="1"/>
  <c r="O597" i="1"/>
  <c r="A597" i="1"/>
  <c r="O596" i="1"/>
  <c r="A596" i="1"/>
  <c r="O595" i="1"/>
  <c r="A595" i="1"/>
  <c r="O594" i="1"/>
  <c r="A594" i="1"/>
  <c r="O593" i="1"/>
  <c r="A593" i="1"/>
  <c r="O592" i="1"/>
  <c r="A592" i="1"/>
  <c r="O591" i="1"/>
  <c r="A591" i="1"/>
  <c r="O590" i="1"/>
  <c r="A590" i="1"/>
  <c r="O589" i="1"/>
  <c r="A589" i="1"/>
  <c r="O588" i="1"/>
  <c r="A588" i="1"/>
  <c r="O587" i="1"/>
  <c r="A587" i="1"/>
  <c r="O586" i="1"/>
  <c r="A586" i="1"/>
  <c r="O585" i="1"/>
  <c r="A585" i="1"/>
  <c r="O584" i="1"/>
  <c r="A584" i="1"/>
  <c r="O583" i="1"/>
  <c r="A583" i="1"/>
  <c r="O582" i="1"/>
  <c r="A582" i="1"/>
  <c r="O581" i="1"/>
  <c r="A581" i="1"/>
  <c r="O580" i="1"/>
  <c r="A580" i="1"/>
  <c r="O579" i="1"/>
  <c r="A579" i="1"/>
  <c r="O578" i="1"/>
  <c r="A578" i="1"/>
  <c r="O577" i="1"/>
  <c r="A577" i="1"/>
  <c r="O576" i="1"/>
  <c r="A576" i="1"/>
  <c r="O575" i="1"/>
  <c r="A575" i="1"/>
  <c r="O574" i="1"/>
  <c r="A574" i="1"/>
  <c r="O573" i="1"/>
  <c r="A573" i="1"/>
  <c r="O572" i="1"/>
  <c r="A572" i="1"/>
  <c r="O571" i="1"/>
  <c r="A571" i="1"/>
  <c r="O570" i="1"/>
  <c r="A570" i="1"/>
  <c r="O569" i="1"/>
  <c r="A569" i="1"/>
  <c r="O568" i="1"/>
  <c r="A568" i="1"/>
  <c r="O567" i="1"/>
  <c r="A567" i="1"/>
  <c r="O566" i="1"/>
  <c r="A566" i="1"/>
  <c r="O565" i="1"/>
  <c r="A565" i="1"/>
  <c r="O564" i="1"/>
  <c r="A564" i="1"/>
  <c r="O563" i="1"/>
  <c r="A563" i="1"/>
  <c r="O562" i="1"/>
  <c r="A562" i="1"/>
  <c r="O561" i="1"/>
  <c r="A561" i="1"/>
  <c r="O560" i="1"/>
  <c r="A560" i="1"/>
  <c r="O559" i="1"/>
  <c r="A559" i="1"/>
  <c r="O558" i="1"/>
  <c r="A558" i="1"/>
  <c r="O557" i="1"/>
  <c r="A557" i="1"/>
  <c r="O556" i="1"/>
  <c r="A556" i="1"/>
  <c r="O555" i="1"/>
  <c r="A555" i="1"/>
  <c r="O554" i="1"/>
  <c r="A554" i="1"/>
  <c r="O553" i="1"/>
  <c r="A553" i="1"/>
  <c r="O552" i="1"/>
  <c r="A552" i="1"/>
  <c r="O551" i="1"/>
  <c r="A551" i="1"/>
  <c r="O550" i="1"/>
  <c r="A550" i="1"/>
  <c r="O549" i="1"/>
  <c r="A549" i="1"/>
  <c r="O548" i="1"/>
  <c r="A548" i="1"/>
  <c r="O547" i="1"/>
  <c r="A547" i="1"/>
  <c r="O546" i="1"/>
  <c r="A546" i="1"/>
  <c r="O545" i="1"/>
  <c r="A545" i="1"/>
  <c r="O544" i="1"/>
  <c r="A544" i="1"/>
  <c r="O543" i="1"/>
  <c r="A543" i="1"/>
  <c r="O542" i="1"/>
  <c r="A542" i="1"/>
  <c r="O541" i="1"/>
  <c r="A541" i="1"/>
  <c r="O540" i="1"/>
  <c r="A540" i="1"/>
  <c r="O539" i="1"/>
  <c r="A539" i="1"/>
  <c r="O538" i="1"/>
  <c r="A538" i="1"/>
  <c r="O537" i="1"/>
  <c r="A537" i="1"/>
  <c r="O536" i="1"/>
  <c r="A536" i="1"/>
  <c r="O535" i="1"/>
  <c r="A535" i="1"/>
  <c r="O534" i="1"/>
  <c r="A534" i="1"/>
  <c r="O533" i="1"/>
  <c r="A533" i="1"/>
  <c r="O532" i="1"/>
  <c r="A532" i="1"/>
  <c r="O531" i="1"/>
  <c r="A531" i="1"/>
  <c r="O530" i="1"/>
  <c r="A530" i="1"/>
  <c r="O529" i="1"/>
  <c r="A529" i="1"/>
  <c r="O528" i="1"/>
  <c r="A528" i="1"/>
  <c r="O527" i="1"/>
  <c r="A527" i="1"/>
  <c r="O526" i="1"/>
  <c r="A526" i="1"/>
  <c r="O525" i="1"/>
  <c r="A525" i="1"/>
  <c r="O524" i="1"/>
  <c r="A524" i="1"/>
  <c r="O523" i="1"/>
  <c r="A523" i="1"/>
  <c r="O522" i="1"/>
  <c r="A522" i="1"/>
  <c r="O521" i="1"/>
  <c r="A521" i="1"/>
  <c r="O520" i="1"/>
  <c r="A520" i="1"/>
  <c r="O519" i="1"/>
  <c r="A519" i="1"/>
  <c r="O518" i="1"/>
  <c r="A518" i="1"/>
  <c r="O517" i="1"/>
  <c r="A517" i="1"/>
  <c r="O516" i="1"/>
  <c r="A516" i="1"/>
  <c r="O515" i="1"/>
  <c r="A515" i="1"/>
  <c r="O514" i="1"/>
  <c r="A514" i="1"/>
  <c r="O513" i="1"/>
  <c r="A513" i="1"/>
  <c r="O512" i="1"/>
  <c r="A512" i="1"/>
  <c r="O511" i="1"/>
  <c r="A511" i="1"/>
  <c r="O510" i="1"/>
  <c r="A510" i="1"/>
  <c r="O509" i="1"/>
  <c r="A509" i="1"/>
  <c r="O508" i="1"/>
  <c r="A508" i="1"/>
  <c r="O507" i="1"/>
  <c r="A507" i="1"/>
  <c r="O506" i="1"/>
  <c r="A506" i="1"/>
  <c r="O505" i="1"/>
  <c r="A505" i="1"/>
  <c r="O504" i="1"/>
  <c r="A504" i="1"/>
  <c r="O503" i="1"/>
  <c r="A503" i="1"/>
  <c r="O502" i="1"/>
  <c r="A502" i="1"/>
  <c r="O501" i="1"/>
  <c r="A501" i="1"/>
  <c r="O500" i="1"/>
  <c r="A500" i="1"/>
  <c r="O499" i="1"/>
  <c r="A499" i="1"/>
  <c r="O498" i="1"/>
  <c r="A498" i="1"/>
  <c r="O497" i="1"/>
  <c r="A497" i="1"/>
  <c r="O496" i="1"/>
  <c r="A496" i="1"/>
  <c r="O495" i="1"/>
  <c r="A495" i="1"/>
  <c r="O494" i="1"/>
  <c r="A494" i="1"/>
  <c r="O493" i="1"/>
  <c r="A493" i="1"/>
  <c r="O492" i="1"/>
  <c r="A492" i="1"/>
  <c r="O491" i="1"/>
  <c r="A491" i="1"/>
  <c r="O490" i="1"/>
  <c r="A490" i="1"/>
  <c r="O489" i="1"/>
  <c r="A489" i="1"/>
  <c r="O488" i="1"/>
  <c r="A488" i="1"/>
  <c r="O487" i="1"/>
  <c r="A487" i="1"/>
  <c r="O486" i="1"/>
  <c r="A486" i="1"/>
  <c r="O485" i="1"/>
  <c r="A485" i="1"/>
  <c r="O484" i="1"/>
  <c r="A484" i="1"/>
  <c r="O483" i="1"/>
  <c r="A483" i="1"/>
  <c r="O482" i="1"/>
  <c r="A482" i="1"/>
  <c r="O481" i="1"/>
  <c r="A481" i="1"/>
  <c r="O480" i="1"/>
  <c r="A480" i="1"/>
  <c r="O479" i="1"/>
  <c r="A479" i="1"/>
  <c r="O478" i="1"/>
  <c r="A478" i="1"/>
  <c r="O477" i="1"/>
  <c r="A477" i="1"/>
  <c r="O476" i="1"/>
  <c r="A476" i="1"/>
  <c r="O475" i="1"/>
  <c r="A475" i="1"/>
  <c r="O474" i="1"/>
  <c r="A474" i="1"/>
  <c r="O473" i="1"/>
  <c r="A473" i="1"/>
  <c r="O472" i="1"/>
  <c r="A472" i="1"/>
  <c r="O471" i="1"/>
  <c r="A471" i="1"/>
  <c r="O470" i="1"/>
  <c r="A470" i="1"/>
  <c r="O469" i="1"/>
  <c r="A469" i="1"/>
  <c r="O468" i="1"/>
  <c r="A468" i="1"/>
  <c r="O467" i="1"/>
  <c r="A467" i="1"/>
  <c r="O466" i="1"/>
  <c r="A466" i="1"/>
  <c r="O465" i="1"/>
  <c r="A465" i="1"/>
  <c r="O464" i="1"/>
  <c r="A464" i="1"/>
  <c r="O463" i="1"/>
  <c r="A463" i="1"/>
  <c r="O462" i="1"/>
  <c r="A462" i="1"/>
  <c r="O461" i="1"/>
  <c r="A461" i="1"/>
  <c r="O460" i="1"/>
  <c r="A460" i="1"/>
  <c r="O459" i="1"/>
  <c r="A459" i="1"/>
  <c r="O458" i="1"/>
  <c r="A458" i="1"/>
  <c r="O457" i="1"/>
  <c r="A457" i="1"/>
  <c r="O456" i="1"/>
  <c r="A456" i="1"/>
  <c r="O455" i="1"/>
  <c r="A455" i="1"/>
  <c r="O454" i="1"/>
  <c r="A454" i="1"/>
  <c r="O453" i="1"/>
  <c r="A453" i="1"/>
  <c r="O452" i="1"/>
  <c r="A452" i="1"/>
  <c r="O451" i="1"/>
  <c r="A451" i="1"/>
  <c r="O450" i="1"/>
  <c r="A450" i="1"/>
  <c r="O449" i="1"/>
  <c r="A449" i="1"/>
  <c r="O448" i="1"/>
  <c r="A448" i="1"/>
  <c r="O447" i="1"/>
  <c r="A447" i="1"/>
  <c r="O446" i="1"/>
  <c r="A446" i="1"/>
  <c r="O445" i="1"/>
  <c r="A445" i="1"/>
  <c r="O444" i="1"/>
  <c r="A444" i="1"/>
  <c r="O443" i="1"/>
  <c r="A443" i="1"/>
  <c r="O442" i="1"/>
  <c r="A442" i="1"/>
  <c r="O441" i="1"/>
  <c r="A441" i="1"/>
  <c r="O440" i="1"/>
  <c r="A440" i="1"/>
  <c r="O439" i="1"/>
  <c r="A439" i="1"/>
  <c r="O438" i="1"/>
  <c r="A438" i="1"/>
  <c r="O437" i="1"/>
  <c r="A437" i="1"/>
  <c r="O436" i="1"/>
  <c r="A436" i="1"/>
  <c r="O435" i="1"/>
  <c r="A435" i="1"/>
  <c r="O434" i="1"/>
  <c r="A434" i="1"/>
  <c r="O433" i="1"/>
  <c r="A433" i="1"/>
  <c r="O432" i="1"/>
  <c r="A432" i="1"/>
  <c r="O431" i="1"/>
  <c r="A431" i="1"/>
  <c r="O430" i="1"/>
  <c r="A430" i="1"/>
  <c r="O429" i="1"/>
  <c r="A429" i="1"/>
  <c r="O428" i="1"/>
  <c r="A428" i="1"/>
  <c r="O427" i="1"/>
  <c r="A427" i="1"/>
  <c r="O426" i="1"/>
  <c r="A426" i="1"/>
  <c r="O425" i="1"/>
  <c r="A425" i="1"/>
  <c r="O424" i="1"/>
  <c r="A424" i="1"/>
  <c r="O423" i="1"/>
  <c r="A423" i="1"/>
  <c r="O422" i="1"/>
  <c r="A422" i="1"/>
  <c r="O421" i="1"/>
  <c r="A421" i="1"/>
  <c r="O420" i="1"/>
  <c r="A420" i="1"/>
  <c r="O419" i="1"/>
  <c r="A419" i="1"/>
  <c r="O418" i="1"/>
  <c r="A418" i="1"/>
  <c r="O417" i="1"/>
  <c r="A417" i="1"/>
  <c r="O416" i="1"/>
  <c r="A416" i="1"/>
  <c r="O415" i="1"/>
  <c r="A415" i="1"/>
  <c r="O414" i="1"/>
  <c r="A414" i="1"/>
  <c r="O413" i="1"/>
  <c r="A413" i="1"/>
  <c r="O412" i="1"/>
  <c r="A412" i="1"/>
  <c r="O411" i="1"/>
  <c r="A411" i="1"/>
  <c r="O410" i="1"/>
  <c r="A410" i="1"/>
  <c r="O409" i="1"/>
  <c r="A409" i="1"/>
  <c r="O408" i="1"/>
  <c r="A408" i="1"/>
  <c r="O407" i="1"/>
  <c r="A407" i="1"/>
  <c r="O406" i="1"/>
  <c r="A406" i="1"/>
  <c r="O405" i="1"/>
  <c r="A405" i="1"/>
  <c r="O404" i="1"/>
  <c r="A404" i="1"/>
  <c r="O403" i="1"/>
  <c r="A403" i="1"/>
  <c r="O402" i="1"/>
  <c r="A402" i="1"/>
  <c r="O401" i="1"/>
  <c r="A401" i="1"/>
  <c r="O400" i="1"/>
  <c r="A400" i="1"/>
  <c r="O399" i="1"/>
  <c r="A399" i="1"/>
  <c r="O398" i="1"/>
  <c r="A398" i="1"/>
  <c r="O397" i="1"/>
  <c r="A397" i="1"/>
  <c r="O396" i="1"/>
  <c r="A396" i="1"/>
  <c r="O395" i="1"/>
  <c r="A395" i="1"/>
  <c r="O394" i="1"/>
  <c r="A394" i="1"/>
  <c r="O393" i="1"/>
  <c r="A393" i="1"/>
  <c r="O392" i="1"/>
  <c r="A392" i="1"/>
  <c r="O391" i="1"/>
  <c r="A391" i="1"/>
  <c r="O390" i="1"/>
  <c r="A390" i="1"/>
  <c r="O389" i="1"/>
  <c r="A389" i="1"/>
  <c r="O388" i="1"/>
  <c r="A388" i="1"/>
  <c r="O387" i="1"/>
  <c r="A387" i="1"/>
  <c r="O386" i="1"/>
  <c r="A386" i="1"/>
  <c r="O385" i="1"/>
  <c r="A385" i="1"/>
  <c r="O384" i="1"/>
  <c r="A384" i="1"/>
  <c r="O383" i="1"/>
  <c r="A383" i="1"/>
  <c r="O382" i="1"/>
  <c r="A382" i="1"/>
  <c r="O381" i="1"/>
  <c r="A381" i="1"/>
  <c r="O380" i="1"/>
  <c r="A380" i="1"/>
  <c r="O379" i="1"/>
  <c r="A379" i="1"/>
  <c r="O378" i="1"/>
  <c r="A378" i="1"/>
  <c r="O377" i="1"/>
  <c r="A377" i="1"/>
  <c r="O376" i="1"/>
  <c r="A376" i="1"/>
  <c r="O375" i="1"/>
  <c r="A375" i="1"/>
  <c r="O374" i="1"/>
  <c r="A374" i="1"/>
  <c r="O373" i="1"/>
  <c r="A373" i="1"/>
  <c r="O372" i="1"/>
  <c r="A372" i="1"/>
  <c r="O371" i="1"/>
  <c r="A371" i="1"/>
  <c r="O370" i="1"/>
  <c r="A370" i="1"/>
  <c r="O369" i="1"/>
  <c r="A369" i="1"/>
  <c r="O368" i="1"/>
  <c r="A368" i="1"/>
  <c r="O367" i="1"/>
  <c r="A367" i="1"/>
  <c r="O366" i="1"/>
  <c r="A366" i="1"/>
  <c r="O365" i="1"/>
  <c r="A365" i="1"/>
  <c r="O364" i="1"/>
  <c r="A364" i="1"/>
  <c r="O363" i="1"/>
  <c r="A363" i="1"/>
  <c r="O362" i="1"/>
  <c r="A362" i="1"/>
  <c r="O361" i="1"/>
  <c r="A361" i="1"/>
  <c r="O360" i="1"/>
  <c r="A360" i="1"/>
  <c r="O359" i="1"/>
  <c r="A359" i="1"/>
  <c r="O358" i="1"/>
  <c r="A358" i="1"/>
  <c r="O357" i="1"/>
  <c r="A357" i="1"/>
  <c r="O356" i="1"/>
  <c r="A356" i="1"/>
  <c r="O355" i="1"/>
  <c r="A355" i="1"/>
  <c r="O354" i="1"/>
  <c r="A354" i="1"/>
  <c r="O353" i="1"/>
  <c r="A353" i="1"/>
  <c r="O352" i="1"/>
  <c r="A352" i="1"/>
  <c r="O351" i="1"/>
  <c r="A351" i="1"/>
  <c r="O350" i="1"/>
  <c r="A350" i="1"/>
  <c r="O349" i="1"/>
  <c r="A349" i="1"/>
  <c r="O348" i="1"/>
  <c r="A348" i="1"/>
  <c r="O347" i="1"/>
  <c r="A347" i="1"/>
  <c r="O346" i="1"/>
  <c r="A346" i="1"/>
  <c r="O345" i="1"/>
  <c r="A345" i="1"/>
  <c r="O344" i="1"/>
  <c r="A344" i="1"/>
  <c r="O343" i="1"/>
  <c r="A343" i="1"/>
  <c r="O342" i="1"/>
  <c r="A342" i="1"/>
  <c r="O341" i="1"/>
  <c r="A341" i="1"/>
  <c r="O340" i="1"/>
  <c r="A340" i="1"/>
  <c r="O339" i="1"/>
  <c r="A339" i="1"/>
  <c r="O338" i="1"/>
  <c r="A338" i="1"/>
  <c r="O337" i="1"/>
  <c r="A337" i="1"/>
  <c r="O336" i="1"/>
  <c r="A336" i="1"/>
  <c r="O335" i="1"/>
  <c r="A335" i="1"/>
  <c r="O334" i="1"/>
  <c r="A334" i="1"/>
  <c r="O333" i="1"/>
  <c r="A333" i="1"/>
  <c r="O332" i="1"/>
  <c r="A332" i="1"/>
  <c r="O331" i="1"/>
  <c r="A331" i="1"/>
  <c r="O330" i="1"/>
  <c r="A330" i="1"/>
  <c r="O329" i="1"/>
  <c r="A329" i="1"/>
  <c r="O328" i="1"/>
  <c r="A328" i="1"/>
  <c r="O327" i="1"/>
  <c r="A327" i="1"/>
  <c r="O326" i="1"/>
  <c r="A326" i="1"/>
  <c r="O325" i="1"/>
  <c r="A325" i="1"/>
  <c r="O324" i="1"/>
  <c r="A324" i="1"/>
  <c r="O323" i="1"/>
  <c r="A323" i="1"/>
  <c r="O322" i="1"/>
  <c r="A322" i="1"/>
  <c r="O321" i="1"/>
  <c r="A321" i="1"/>
  <c r="O320" i="1"/>
  <c r="A320" i="1"/>
  <c r="O319" i="1"/>
  <c r="A319" i="1"/>
  <c r="O318" i="1"/>
  <c r="A318" i="1"/>
  <c r="O317" i="1"/>
  <c r="A317" i="1"/>
  <c r="O316" i="1"/>
  <c r="A316" i="1"/>
  <c r="O315" i="1"/>
  <c r="A315" i="1"/>
  <c r="O314" i="1"/>
  <c r="A314" i="1"/>
  <c r="O313" i="1"/>
  <c r="A313" i="1"/>
  <c r="O312" i="1"/>
  <c r="A312" i="1"/>
  <c r="O311" i="1"/>
  <c r="A311" i="1"/>
  <c r="O310" i="1"/>
  <c r="A310" i="1"/>
  <c r="O309" i="1"/>
  <c r="A309" i="1"/>
  <c r="O308" i="1"/>
  <c r="A308" i="1"/>
  <c r="O307" i="1"/>
  <c r="A307" i="1"/>
  <c r="O306" i="1"/>
  <c r="A306" i="1"/>
  <c r="O305" i="1"/>
  <c r="A305" i="1"/>
  <c r="O304" i="1"/>
  <c r="A304" i="1"/>
  <c r="O303" i="1"/>
  <c r="A303" i="1"/>
  <c r="O302" i="1"/>
  <c r="A302" i="1"/>
  <c r="O301" i="1"/>
  <c r="A301" i="1"/>
  <c r="O300" i="1"/>
  <c r="A300" i="1"/>
  <c r="O299" i="1"/>
  <c r="A299" i="1"/>
  <c r="O298" i="1"/>
  <c r="A298" i="1"/>
  <c r="O297" i="1"/>
  <c r="A297" i="1"/>
  <c r="O296" i="1"/>
  <c r="A296" i="1"/>
  <c r="O295" i="1"/>
  <c r="A295" i="1"/>
  <c r="O294" i="1"/>
  <c r="A294" i="1"/>
  <c r="O293" i="1"/>
  <c r="A293" i="1"/>
  <c r="O292" i="1"/>
  <c r="A292" i="1"/>
  <c r="O291" i="1"/>
  <c r="A291" i="1"/>
  <c r="O290" i="1"/>
  <c r="A290" i="1"/>
  <c r="O289" i="1"/>
  <c r="A289" i="1"/>
  <c r="O288" i="1"/>
  <c r="A288" i="1"/>
  <c r="O287" i="1"/>
  <c r="A287" i="1"/>
  <c r="O286" i="1"/>
  <c r="A286" i="1"/>
  <c r="O285" i="1"/>
  <c r="A285" i="1"/>
  <c r="O284" i="1"/>
  <c r="A284" i="1"/>
  <c r="O283" i="1"/>
  <c r="A283" i="1"/>
  <c r="O282" i="1"/>
  <c r="A282" i="1"/>
  <c r="O281" i="1"/>
  <c r="A281" i="1"/>
  <c r="O280" i="1"/>
  <c r="A280" i="1"/>
  <c r="O279" i="1"/>
  <c r="A279" i="1"/>
  <c r="O278" i="1"/>
  <c r="A278" i="1"/>
  <c r="O277" i="1"/>
  <c r="A277" i="1"/>
  <c r="O276" i="1"/>
  <c r="A276" i="1"/>
  <c r="O275" i="1"/>
  <c r="A275" i="1"/>
  <c r="O274" i="1"/>
  <c r="A274" i="1"/>
  <c r="O273" i="1"/>
  <c r="A273" i="1"/>
  <c r="O272" i="1"/>
  <c r="A272" i="1"/>
  <c r="O271" i="1"/>
  <c r="A271" i="1"/>
  <c r="O270" i="1"/>
  <c r="A270" i="1"/>
  <c r="O269" i="1"/>
  <c r="A269" i="1"/>
  <c r="O268" i="1"/>
  <c r="A268" i="1"/>
  <c r="O267" i="1"/>
  <c r="A267" i="1"/>
  <c r="O266" i="1"/>
  <c r="A266" i="1"/>
  <c r="O265" i="1"/>
  <c r="A265" i="1"/>
  <c r="O264" i="1"/>
  <c r="A264" i="1"/>
  <c r="O263" i="1"/>
  <c r="A263" i="1"/>
  <c r="O262" i="1"/>
  <c r="A262" i="1"/>
  <c r="O261" i="1"/>
  <c r="A261" i="1"/>
  <c r="O260" i="1"/>
  <c r="A260" i="1"/>
  <c r="O259" i="1"/>
  <c r="A259" i="1"/>
  <c r="O258" i="1"/>
  <c r="A258" i="1"/>
  <c r="O257" i="1"/>
  <c r="A257" i="1"/>
  <c r="O256" i="1"/>
  <c r="A256" i="1"/>
  <c r="O255" i="1"/>
  <c r="A255" i="1"/>
  <c r="O254" i="1"/>
  <c r="A254" i="1"/>
  <c r="O253" i="1"/>
  <c r="A253" i="1"/>
  <c r="O252" i="1"/>
  <c r="A252" i="1"/>
  <c r="O251" i="1"/>
  <c r="A251" i="1"/>
  <c r="O250" i="1"/>
  <c r="A250" i="1"/>
  <c r="O249" i="1"/>
  <c r="A249" i="1"/>
  <c r="O248" i="1"/>
  <c r="A248" i="1"/>
  <c r="O247" i="1"/>
  <c r="A247" i="1"/>
  <c r="O246" i="1"/>
  <c r="A246" i="1"/>
  <c r="O245" i="1"/>
  <c r="A245" i="1"/>
  <c r="O244" i="1"/>
  <c r="A244" i="1"/>
  <c r="O243" i="1"/>
  <c r="A243" i="1"/>
  <c r="O242" i="1"/>
  <c r="A242" i="1"/>
  <c r="O241" i="1"/>
  <c r="A241" i="1"/>
  <c r="O240" i="1"/>
  <c r="A240" i="1"/>
  <c r="O239" i="1"/>
  <c r="A239" i="1"/>
  <c r="O238" i="1"/>
  <c r="A238" i="1"/>
  <c r="O237" i="1"/>
  <c r="A237" i="1"/>
  <c r="O236" i="1"/>
  <c r="A236" i="1"/>
  <c r="O235" i="1"/>
  <c r="A235" i="1"/>
  <c r="O234" i="1"/>
  <c r="A234" i="1"/>
  <c r="O233" i="1"/>
  <c r="A233" i="1"/>
  <c r="O232" i="1"/>
  <c r="A232" i="1"/>
  <c r="O231" i="1"/>
  <c r="A231" i="1"/>
  <c r="O230" i="1"/>
  <c r="A230" i="1"/>
  <c r="O229" i="1"/>
  <c r="A229" i="1"/>
  <c r="O228" i="1"/>
  <c r="A228" i="1"/>
  <c r="O227" i="1"/>
  <c r="A227" i="1"/>
  <c r="O226" i="1"/>
  <c r="A226" i="1"/>
  <c r="O225" i="1"/>
  <c r="A225" i="1"/>
  <c r="O224" i="1"/>
  <c r="A224" i="1"/>
  <c r="O223" i="1"/>
  <c r="A223" i="1"/>
  <c r="O222" i="1"/>
  <c r="A222" i="1"/>
  <c r="O221" i="1"/>
  <c r="A221" i="1"/>
  <c r="O220" i="1"/>
  <c r="A220" i="1"/>
  <c r="O219" i="1"/>
  <c r="A219" i="1"/>
  <c r="O218" i="1"/>
  <c r="A218" i="1"/>
  <c r="O217" i="1"/>
  <c r="A217" i="1"/>
  <c r="O216" i="1"/>
  <c r="A216" i="1"/>
  <c r="O215" i="1"/>
  <c r="A215" i="1"/>
  <c r="O214" i="1"/>
  <c r="A214" i="1"/>
  <c r="O213" i="1"/>
  <c r="A213" i="1"/>
  <c r="O212" i="1"/>
  <c r="A212" i="1"/>
  <c r="O211" i="1"/>
  <c r="A211" i="1"/>
  <c r="O210" i="1"/>
  <c r="A210" i="1"/>
  <c r="O209" i="1"/>
  <c r="A209" i="1"/>
  <c r="O208" i="1"/>
  <c r="A208" i="1"/>
  <c r="O207" i="1"/>
  <c r="A207" i="1"/>
  <c r="O206" i="1"/>
  <c r="A206" i="1"/>
  <c r="R205" i="1"/>
  <c r="O205" i="1"/>
  <c r="A205" i="1"/>
  <c r="R204" i="1"/>
  <c r="O204" i="1"/>
  <c r="A204" i="1"/>
  <c r="R203" i="1"/>
  <c r="O203" i="1"/>
  <c r="A203" i="1"/>
  <c r="R202" i="1"/>
  <c r="O202" i="1"/>
  <c r="A202" i="1"/>
  <c r="R201" i="1"/>
  <c r="O201" i="1"/>
  <c r="A201" i="1"/>
  <c r="R200" i="1"/>
  <c r="O200" i="1"/>
  <c r="A200" i="1"/>
  <c r="R199" i="1"/>
  <c r="O199" i="1"/>
  <c r="A199" i="1"/>
  <c r="R198" i="1"/>
  <c r="O198" i="1"/>
  <c r="A198" i="1"/>
  <c r="R197" i="1"/>
  <c r="O197" i="1"/>
  <c r="A197" i="1"/>
  <c r="R196" i="1"/>
  <c r="O196" i="1"/>
  <c r="A196" i="1"/>
  <c r="R195" i="1"/>
  <c r="O195" i="1"/>
  <c r="A195" i="1"/>
  <c r="R194" i="1"/>
  <c r="O194" i="1"/>
  <c r="A194" i="1"/>
  <c r="R193" i="1"/>
  <c r="O193" i="1"/>
  <c r="A193" i="1"/>
  <c r="R192" i="1"/>
  <c r="O192" i="1"/>
  <c r="A192" i="1"/>
  <c r="R191" i="1"/>
  <c r="O191" i="1"/>
  <c r="A191" i="1"/>
  <c r="R190" i="1"/>
  <c r="O190" i="1"/>
  <c r="A190" i="1"/>
  <c r="R189" i="1"/>
  <c r="O189" i="1"/>
  <c r="A189" i="1"/>
  <c r="R188" i="1"/>
  <c r="O188" i="1"/>
  <c r="A188" i="1"/>
  <c r="R187" i="1"/>
  <c r="O187" i="1"/>
  <c r="A187" i="1"/>
  <c r="R186" i="1"/>
  <c r="O186" i="1"/>
  <c r="A186" i="1"/>
  <c r="R185" i="1"/>
  <c r="O185" i="1"/>
  <c r="A185" i="1"/>
  <c r="R184" i="1"/>
  <c r="O184" i="1"/>
  <c r="A184" i="1"/>
  <c r="R183" i="1"/>
  <c r="O183" i="1"/>
  <c r="A183" i="1"/>
  <c r="R182" i="1"/>
  <c r="O182" i="1"/>
  <c r="A182" i="1"/>
  <c r="R181" i="1"/>
  <c r="O181" i="1"/>
  <c r="A181" i="1"/>
  <c r="R180" i="1"/>
  <c r="O180" i="1"/>
  <c r="A180" i="1"/>
  <c r="R179" i="1"/>
  <c r="O179" i="1"/>
  <c r="A179" i="1"/>
  <c r="R178" i="1"/>
  <c r="O178" i="1"/>
  <c r="A178" i="1"/>
  <c r="R177" i="1"/>
  <c r="O177" i="1"/>
  <c r="A177" i="1"/>
  <c r="R176" i="1"/>
  <c r="O176" i="1"/>
  <c r="A176" i="1"/>
  <c r="R175" i="1"/>
  <c r="O175" i="1"/>
  <c r="A175" i="1"/>
  <c r="R174" i="1"/>
  <c r="O174" i="1"/>
  <c r="A174" i="1"/>
  <c r="R173" i="1"/>
  <c r="O173" i="1"/>
  <c r="A173" i="1"/>
  <c r="R172" i="1"/>
  <c r="O172" i="1"/>
  <c r="A172" i="1"/>
  <c r="R171" i="1"/>
  <c r="O171" i="1"/>
  <c r="A171" i="1"/>
  <c r="R170" i="1"/>
  <c r="O170" i="1"/>
  <c r="A170" i="1"/>
  <c r="R169" i="1"/>
  <c r="O169" i="1"/>
  <c r="A169" i="1"/>
  <c r="R168" i="1"/>
  <c r="O168" i="1"/>
  <c r="A168" i="1"/>
  <c r="R167" i="1"/>
  <c r="O167" i="1"/>
  <c r="A167" i="1"/>
  <c r="R166" i="1"/>
  <c r="O166" i="1"/>
  <c r="A166" i="1"/>
  <c r="R165" i="1"/>
  <c r="O165" i="1"/>
  <c r="A165" i="1"/>
  <c r="R164" i="1"/>
  <c r="O164" i="1"/>
  <c r="A164" i="1"/>
  <c r="R163" i="1"/>
  <c r="O163" i="1"/>
  <c r="A163" i="1"/>
  <c r="R162" i="1"/>
  <c r="O162" i="1"/>
  <c r="A162" i="1"/>
  <c r="R161" i="1"/>
  <c r="O161" i="1"/>
  <c r="A161" i="1"/>
  <c r="R160" i="1"/>
  <c r="O160" i="1"/>
  <c r="A160" i="1"/>
  <c r="R159" i="1"/>
  <c r="O159" i="1"/>
  <c r="A159" i="1"/>
  <c r="R158" i="1"/>
  <c r="O158" i="1"/>
  <c r="A158" i="1"/>
  <c r="O157" i="1"/>
  <c r="A157" i="1"/>
  <c r="O156" i="1"/>
  <c r="A156" i="1"/>
  <c r="O155" i="1"/>
  <c r="A155" i="1"/>
  <c r="O154" i="1"/>
  <c r="A154" i="1"/>
  <c r="O153" i="1"/>
  <c r="A153" i="1"/>
  <c r="O152" i="1"/>
  <c r="A152" i="1"/>
  <c r="O151" i="1"/>
  <c r="A151" i="1"/>
  <c r="O150" i="1"/>
  <c r="A150" i="1"/>
  <c r="O149" i="1"/>
  <c r="A149" i="1"/>
  <c r="O148" i="1"/>
  <c r="A148" i="1"/>
  <c r="O147" i="1"/>
  <c r="A147" i="1"/>
  <c r="O146" i="1"/>
  <c r="A146" i="1"/>
  <c r="O145" i="1"/>
  <c r="A145" i="1"/>
  <c r="O144" i="1"/>
  <c r="A144" i="1"/>
  <c r="O143" i="1"/>
  <c r="A143" i="1"/>
  <c r="O142" i="1"/>
  <c r="A142" i="1"/>
  <c r="O141" i="1"/>
  <c r="A141" i="1"/>
  <c r="O140" i="1"/>
  <c r="A140" i="1"/>
  <c r="O139" i="1"/>
  <c r="A139" i="1"/>
  <c r="O138" i="1"/>
  <c r="A138" i="1"/>
  <c r="O137" i="1"/>
  <c r="A137" i="1"/>
  <c r="O136" i="1"/>
  <c r="A136" i="1"/>
  <c r="O135" i="1"/>
  <c r="A135" i="1"/>
  <c r="O134" i="1"/>
  <c r="A134" i="1"/>
  <c r="O133" i="1"/>
  <c r="A133" i="1"/>
  <c r="O132" i="1"/>
  <c r="A132" i="1"/>
  <c r="O131" i="1"/>
  <c r="A131" i="1"/>
  <c r="O130" i="1"/>
  <c r="A130" i="1"/>
  <c r="O129" i="1"/>
  <c r="A129" i="1"/>
  <c r="O128" i="1"/>
  <c r="A128" i="1"/>
  <c r="O127" i="1"/>
  <c r="A127" i="1"/>
  <c r="O126" i="1"/>
  <c r="A126" i="1"/>
  <c r="O125" i="1"/>
  <c r="A125" i="1"/>
  <c r="O124" i="1"/>
  <c r="A124" i="1"/>
  <c r="O123" i="1"/>
  <c r="A123" i="1"/>
  <c r="O122" i="1"/>
  <c r="A122" i="1"/>
  <c r="O121" i="1"/>
  <c r="A121" i="1"/>
  <c r="O120" i="1"/>
  <c r="A120" i="1"/>
  <c r="O119" i="1"/>
  <c r="A119" i="1"/>
  <c r="O118" i="1"/>
  <c r="A118" i="1"/>
  <c r="O117" i="1"/>
  <c r="A117" i="1"/>
  <c r="O116" i="1"/>
  <c r="A116" i="1"/>
  <c r="O115" i="1"/>
  <c r="A115" i="1"/>
  <c r="O114" i="1"/>
  <c r="A114" i="1"/>
  <c r="O113" i="1"/>
  <c r="A113" i="1"/>
  <c r="O112" i="1"/>
  <c r="A112" i="1"/>
  <c r="O111" i="1"/>
  <c r="A111" i="1"/>
  <c r="O110" i="1"/>
  <c r="A110" i="1"/>
  <c r="O109" i="1"/>
  <c r="A109" i="1"/>
  <c r="O108" i="1"/>
  <c r="A108" i="1"/>
  <c r="O107" i="1"/>
  <c r="A107" i="1"/>
  <c r="O106" i="1"/>
  <c r="A106" i="1"/>
  <c r="O105" i="1"/>
  <c r="A105" i="1"/>
  <c r="O104" i="1"/>
  <c r="A104" i="1"/>
  <c r="O103" i="1"/>
  <c r="A103" i="1"/>
  <c r="O102" i="1"/>
  <c r="A102" i="1"/>
  <c r="O101" i="1"/>
  <c r="A101" i="1"/>
  <c r="O100" i="1"/>
  <c r="A100" i="1"/>
  <c r="O99" i="1"/>
  <c r="A99" i="1"/>
  <c r="O98" i="1"/>
  <c r="A98" i="1"/>
  <c r="O97" i="1"/>
  <c r="A97" i="1"/>
  <c r="O96" i="1"/>
  <c r="A96" i="1"/>
  <c r="O95" i="1"/>
  <c r="A95" i="1"/>
  <c r="O94" i="1"/>
  <c r="A94" i="1"/>
  <c r="O93" i="1"/>
  <c r="A93" i="1"/>
  <c r="O92" i="1"/>
  <c r="A92" i="1"/>
  <c r="O91" i="1"/>
  <c r="A91" i="1"/>
  <c r="O90" i="1"/>
  <c r="A90" i="1"/>
  <c r="O89" i="1"/>
  <c r="A89" i="1"/>
  <c r="O88" i="1"/>
  <c r="A88" i="1"/>
  <c r="O87" i="1"/>
  <c r="A87" i="1"/>
  <c r="O86" i="1"/>
  <c r="A86" i="1"/>
  <c r="O85" i="1"/>
  <c r="A85" i="1"/>
  <c r="O84" i="1"/>
  <c r="A84" i="1"/>
  <c r="O83" i="1"/>
  <c r="A83" i="1"/>
  <c r="O82" i="1"/>
  <c r="A82" i="1"/>
  <c r="O81" i="1"/>
  <c r="A81" i="1"/>
  <c r="O80" i="1"/>
  <c r="A80" i="1"/>
  <c r="O79" i="1"/>
  <c r="A79" i="1"/>
  <c r="O78" i="1"/>
  <c r="A78" i="1"/>
  <c r="O77" i="1"/>
  <c r="A77" i="1"/>
  <c r="O76" i="1"/>
  <c r="A76" i="1"/>
  <c r="O75" i="1"/>
  <c r="A75" i="1"/>
  <c r="O74" i="1"/>
  <c r="A74" i="1"/>
  <c r="O73" i="1"/>
  <c r="A73" i="1"/>
  <c r="O72" i="1"/>
  <c r="A72" i="1"/>
  <c r="O71" i="1"/>
  <c r="A71" i="1"/>
  <c r="O70" i="1"/>
  <c r="A70" i="1"/>
  <c r="O69" i="1"/>
  <c r="A69" i="1"/>
  <c r="O68" i="1"/>
  <c r="A68" i="1"/>
  <c r="O67" i="1"/>
  <c r="A67" i="1"/>
  <c r="O66" i="1"/>
  <c r="A66" i="1"/>
  <c r="O65" i="1"/>
  <c r="A65" i="1"/>
  <c r="O64" i="1"/>
  <c r="A64" i="1"/>
  <c r="O63" i="1"/>
  <c r="A63" i="1"/>
  <c r="O62" i="1"/>
  <c r="A62" i="1"/>
  <c r="O61" i="1"/>
  <c r="A61" i="1"/>
  <c r="O60" i="1"/>
  <c r="A60" i="1"/>
  <c r="O59" i="1"/>
  <c r="A59" i="1"/>
  <c r="O58" i="1"/>
  <c r="A58" i="1"/>
  <c r="O57" i="1"/>
  <c r="A57" i="1"/>
  <c r="O56" i="1"/>
  <c r="A56" i="1"/>
  <c r="O55" i="1"/>
  <c r="A55" i="1"/>
  <c r="O54" i="1"/>
  <c r="A54" i="1"/>
  <c r="O53" i="1"/>
  <c r="A53" i="1"/>
  <c r="O52" i="1"/>
  <c r="A52" i="1"/>
  <c r="O51" i="1"/>
  <c r="A51" i="1"/>
  <c r="O50" i="1"/>
  <c r="A50" i="1"/>
  <c r="O49" i="1"/>
  <c r="A49" i="1"/>
  <c r="O48" i="1"/>
  <c r="A48" i="1"/>
  <c r="O47" i="1"/>
  <c r="A47" i="1"/>
  <c r="O46" i="1"/>
  <c r="A46" i="1"/>
  <c r="O45" i="1"/>
  <c r="A45" i="1"/>
  <c r="O44" i="1"/>
  <c r="A44" i="1"/>
  <c r="O43" i="1"/>
  <c r="A43" i="1"/>
  <c r="O42" i="1"/>
  <c r="A42" i="1"/>
  <c r="O41" i="1"/>
  <c r="A41" i="1"/>
  <c r="O40" i="1"/>
  <c r="A40" i="1"/>
  <c r="O39" i="1"/>
  <c r="A39" i="1"/>
  <c r="A38" i="1"/>
  <c r="O37" i="1"/>
  <c r="A37" i="1"/>
  <c r="O36" i="1"/>
  <c r="A36" i="1"/>
  <c r="O35" i="1"/>
  <c r="A35" i="1"/>
  <c r="O34" i="1"/>
  <c r="A34" i="1"/>
  <c r="O33" i="1"/>
  <c r="A33" i="1"/>
  <c r="O32" i="1"/>
  <c r="A32" i="1"/>
  <c r="O31" i="1"/>
  <c r="A31" i="1"/>
  <c r="O30" i="1"/>
  <c r="A30" i="1"/>
  <c r="O29" i="1"/>
  <c r="A29" i="1"/>
  <c r="O28" i="1"/>
  <c r="A28" i="1"/>
  <c r="O27" i="1"/>
  <c r="A27" i="1"/>
  <c r="O26" i="1"/>
  <c r="A26" i="1"/>
  <c r="O25" i="1"/>
  <c r="A25" i="1"/>
  <c r="O24" i="1"/>
  <c r="A24" i="1"/>
  <c r="O23" i="1"/>
  <c r="A23" i="1"/>
  <c r="O22" i="1"/>
  <c r="A22" i="1"/>
  <c r="O21" i="1"/>
  <c r="A21" i="1"/>
  <c r="O20" i="1"/>
  <c r="A20" i="1"/>
  <c r="O19" i="1"/>
  <c r="A19" i="1"/>
  <c r="O18" i="1"/>
  <c r="A18" i="1"/>
  <c r="O17" i="1"/>
  <c r="A17" i="1"/>
  <c r="O16" i="1"/>
  <c r="A16" i="1"/>
  <c r="O15" i="1"/>
  <c r="A15" i="1"/>
  <c r="O14" i="1"/>
  <c r="A14" i="1"/>
  <c r="O13" i="1"/>
  <c r="A22" i="2" s="1"/>
  <c r="A13" i="1"/>
  <c r="O12" i="1"/>
  <c r="A21" i="2" s="1"/>
  <c r="A12" i="1"/>
  <c r="O11" i="1"/>
  <c r="A20" i="2" s="1"/>
  <c r="A11" i="1"/>
  <c r="O10" i="1"/>
  <c r="A19" i="2" s="1"/>
  <c r="A10" i="1"/>
  <c r="O9" i="1"/>
  <c r="A18" i="2" s="1"/>
  <c r="A9" i="1"/>
  <c r="O8" i="1"/>
  <c r="A17" i="2" s="1"/>
  <c r="A8" i="1"/>
  <c r="O7" i="1"/>
  <c r="A16" i="2" s="1"/>
  <c r="A7" i="1"/>
  <c r="O6" i="1"/>
  <c r="A15" i="2" s="1"/>
  <c r="A6" i="1"/>
  <c r="O5" i="1"/>
  <c r="A14" i="2" s="1"/>
  <c r="A5" i="1"/>
  <c r="O4" i="1"/>
  <c r="A13" i="2" s="1"/>
  <c r="A4" i="1"/>
  <c r="D20" i="2" l="1"/>
  <c r="H20" i="2" s="1"/>
  <c r="C20" i="2"/>
  <c r="B20" i="2"/>
  <c r="E20" i="2"/>
  <c r="E13" i="2"/>
  <c r="D13" i="2"/>
  <c r="H13" i="2" s="1"/>
  <c r="C13" i="2"/>
  <c r="B13" i="2"/>
  <c r="E21" i="2"/>
  <c r="D21" i="2"/>
  <c r="H21" i="2" s="1"/>
  <c r="C21" i="2"/>
  <c r="B21" i="2"/>
  <c r="D16" i="2"/>
  <c r="H16" i="2" s="1"/>
  <c r="C16" i="2"/>
  <c r="B16" i="2"/>
  <c r="E16" i="2"/>
  <c r="E17" i="2"/>
  <c r="D17" i="2"/>
  <c r="H17" i="2" s="1"/>
  <c r="C17" i="2"/>
  <c r="B17" i="2"/>
  <c r="E14" i="2"/>
  <c r="D14" i="2"/>
  <c r="H14" i="2" s="1"/>
  <c r="C14" i="2"/>
  <c r="B14" i="2"/>
  <c r="E18" i="2"/>
  <c r="D18" i="2"/>
  <c r="H18" i="2" s="1"/>
  <c r="C18" i="2"/>
  <c r="B18" i="2"/>
  <c r="E22" i="2"/>
  <c r="D22" i="2"/>
  <c r="H22" i="2" s="1"/>
  <c r="C22" i="2"/>
  <c r="B22" i="2"/>
  <c r="B19" i="2"/>
  <c r="E19" i="2"/>
  <c r="D19" i="2"/>
  <c r="H19" i="2" s="1"/>
  <c r="C19" i="2"/>
  <c r="B15" i="2"/>
  <c r="E15" i="2"/>
  <c r="D15" i="2"/>
  <c r="H15" i="2" s="1"/>
  <c r="C15" i="2"/>
  <c r="B10" i="2"/>
</calcChain>
</file>

<file path=xl/sharedStrings.xml><?xml version="1.0" encoding="utf-8"?>
<sst xmlns="http://schemas.openxmlformats.org/spreadsheetml/2006/main" count="17208" uniqueCount="16875">
  <si>
    <t>LeetCode Methodology Tracker</t>
  </si>
  <si>
    <t>One rolling redo date: after a redo, enter the completion date in Last Redo Done; Next Redo Date updates automatically. 
Keep this short: Problem → Pattern → Key idea → Mistake → Confidence. Redo only weak problems.</t>
  </si>
  <si>
    <t>#</t>
  </si>
  <si>
    <t>Problem</t>
  </si>
  <si>
    <t>Link</t>
  </si>
  <si>
    <t>Topic</t>
  </si>
  <si>
    <t>Pattern</t>
  </si>
  <si>
    <t>Difficulty</t>
  </si>
  <si>
    <t>Date Solved</t>
  </si>
  <si>
    <t>Key Idea</t>
  </si>
  <si>
    <t>Key Trick</t>
  </si>
  <si>
    <t>Mistake I Made</t>
  </si>
  <si>
    <t>Time Complexity</t>
  </si>
  <si>
    <t>Space Complexity</t>
  </si>
  <si>
    <t>Confidence</t>
  </si>
  <si>
    <t>Redo?</t>
  </si>
  <si>
    <t>Next Redo Date</t>
  </si>
  <si>
    <t>Last Redo Done</t>
  </si>
  <si>
    <t>Status</t>
  </si>
  <si>
    <t>Notes</t>
  </si>
  <si>
    <t>Solution Link</t>
  </si>
  <si>
    <t>Contains Duplicate</t>
  </si>
  <si>
    <t>https://leetcode.com/problems/contains-duplicate/</t>
  </si>
  <si>
    <t>Arrays</t>
  </si>
  <si>
    <t>Hash Set</t>
  </si>
  <si>
    <t>Easy</t>
  </si>
  <si>
    <t>Check if any value appears more than once.</t>
  </si>
  <si>
    <t>Use a set to detect repeats in O(1) average lookup.</t>
  </si>
  <si>
    <t>Remember to return True immediately when duplicate is found.</t>
  </si>
  <si>
    <t>O(n)</t>
  </si>
  <si>
    <t>High</t>
  </si>
  <si>
    <t>Yes</t>
  </si>
  <si>
    <t>Mastered</t>
  </si>
  <si>
    <t>Maximum Average Subarray I</t>
  </si>
  <si>
    <t>https://leetcode.com/problems/maximum-average-subarray-i/</t>
  </si>
  <si>
    <t>Fixed-size Sliding Window</t>
  </si>
  <si>
    <t>Maintain sum of exactly k elements while sliding one step.</t>
  </si>
  <si>
    <t>Add incoming element and subtract outgoing element.</t>
  </si>
  <si>
    <t>Loop should end at len(nums)-k; update max_sum not misspelled variable.</t>
  </si>
  <si>
    <t>O(1)</t>
  </si>
  <si>
    <t>Review</t>
  </si>
  <si>
    <t>Can be solved using Cumulative Sum Approach in 
Time Complexity: O(n), 
Space Complexity: O(n)</t>
  </si>
  <si>
    <t>Find Pivot Integer</t>
  </si>
  <si>
    <t>https://leetcode.com/problems/find-the-pivot-integer/</t>
  </si>
  <si>
    <t>Math</t>
  </si>
  <si>
    <t>Math / Perfect Square</t>
  </si>
  <si>
    <t>Pivot x exists when x² equals total sum n(n+1)/2.</t>
  </si>
  <si>
    <t>Use math.isqrt(total) and verify x*x == total.</t>
  </si>
  <si>
    <t>Avoid float precision issues from sqrt on large values.</t>
  </si>
  <si>
    <t>Smallest Integer Divisible by K</t>
  </si>
  <si>
    <t>https://leetcode.com/problems/smallest-integer-divisible-by-k/</t>
  </si>
  <si>
    <t>Modulo / Remainder</t>
  </si>
  <si>
    <t>Medium</t>
  </si>
  <si>
    <t>Build remainder only; full number becomes too large.</t>
  </si>
  <si>
    <t>remainder = (remainder*10 + 1) % k; check up to k lengths.</t>
  </si>
  <si>
    <t>A integer cannot be divisible by numbers having factor 2 or 5.</t>
  </si>
  <si>
    <t>O(k)</t>
  </si>
  <si>
    <t>A repunit (short for "repeated unit") is any positive integer consisting entirely of the digit 1</t>
  </si>
  <si>
    <t>Self Dividing Numbers</t>
  </si>
  <si>
    <t>https://leetcode.com/problems/self-dividing-numbers/</t>
  </si>
  <si>
    <t>Digit Extraction</t>
  </si>
  <si>
    <t>Check every digit of each number.</t>
  </si>
  <si>
    <t>digit = num % 10 gets digit; num //= 10 removes digit.</t>
  </si>
  <si>
    <t>Using num %= 10 causes infinite loop; also handle digit == 0.</t>
  </si>
  <si>
    <t>O(n*d)</t>
  </si>
  <si>
    <t>Subarray Sum Equals K</t>
  </si>
  <si>
    <t>https://leetcode.com/problems/subarray-sum-equals-k/</t>
  </si>
  <si>
    <t>Prefix Sum + Hash Table</t>
  </si>
  <si>
    <t>If prefixSum - k appeared before, then the subarray between that earlier point and current index has sum k</t>
  </si>
  <si>
    <t>Initialize runningSum[0] = 1 to count subarrays starting from index 0</t>
  </si>
  <si>
    <t>Do not use sliding window because nums can contain negative numbers</t>
  </si>
  <si>
    <t>https://www.youtube.com/watch?v=-SWrz90jCUM</t>
  </si>
  <si>
    <t>Product of Array Except Self</t>
  </si>
  <si>
    <t>https://leetcode.com/problems/product-of-array-except-self/</t>
  </si>
  <si>
    <t>Prefix Product + Suffix Product</t>
  </si>
  <si>
    <t>Prefix Sum</t>
  </si>
  <si>
    <t>For each index, answer = product of all elements on left × product of all elements on right</t>
  </si>
  <si>
    <t>Use result array first to store prefix products, then multiply suffix products in reverse</t>
  </si>
  <si>
    <t>Do not use division; prefix/suffix handles zero cases naturally</t>
  </si>
  <si>
    <t>Two Sum</t>
  </si>
  <si>
    <t>https://leetcode.com/problems/two-sum/</t>
  </si>
  <si>
    <t>Hashmap / Frequency</t>
  </si>
  <si>
    <t>For each number, check whether its required complement was seen earlier</t>
  </si>
  <si>
    <t>complement = target - val; check before storing the current value</t>
  </si>
  <si>
    <t>Do not store current number before checking if it could match itself</t>
  </si>
  <si>
    <t>Use a HashMap when you need fast lookup of something you have already seen.</t>
  </si>
  <si>
    <t>Best Time to Buy and Sell Stock</t>
  </si>
  <si>
    <t>https://leetcode.com/problems/best-time-to-buy-and-sell-stock/</t>
  </si>
  <si>
    <t>Arrays / 
Dynamic Programming</t>
  </si>
  <si>
    <t>Greedy / Running Minimum</t>
  </si>
  <si>
    <t>Track cheapest price seen so far and best profit</t>
  </si>
  <si>
    <t>Current price is sell; minimum so far is buy</t>
  </si>
  <si>
    <t>Buy must come before sell; do not use global min/max</t>
  </si>
  <si>
    <t>Maximum future gain with order constraint → track minimum so far.</t>
  </si>
  <si>
    <t>Find Pivot Index</t>
  </si>
  <si>
    <t>https://leetcode.com/problems/find-pivot-index/</t>
  </si>
  <si>
    <t>Prefix Sum + Total Sum</t>
  </si>
  <si>
    <t>Maintain left sum and right sum while scanning</t>
  </si>
  <si>
    <t>Remove current element from right before comparing</t>
  </si>
  <si>
    <t>Pivot element belongs to neither side</t>
  </si>
  <si>
    <t>Equal left/right sums around an index → running prefix sum.</t>
  </si>
  <si>
    <t>Remove Covered Intervals</t>
  </si>
  <si>
    <t>Concatenate Non-Zero Digits and Multiply by Sum I</t>
  </si>
  <si>
    <t>Flood Fill</t>
  </si>
  <si>
    <t>Concatenate Non-Zero Digits and Multiply by Sum II</t>
  </si>
  <si>
    <t>https://leetcode.com/problems/concatenate-non-zero-digits-and-multiply-by-sum-ii/</t>
  </si>
  <si>
    <t>Strings / Range Queries</t>
  </si>
  <si>
    <t>Prefix Preprocessing + Modular Arithmetic</t>
  </si>
  <si>
    <t>Precompute digit sum, non-zero count, and concatenated prefix value.</t>
  </si>
  <si>
    <t>Remove left prefix using right - left × 10^(digits in range).</t>
  </si>
  <si>
    <t>Do not build huge integers or rescan every query.</t>
  </si>
  <si>
    <t>O(n + q)</t>
  </si>
  <si>
    <t>Low</t>
  </si>
  <si>
    <t>New</t>
  </si>
  <si>
    <t>Many range queries on unchanged data → preprocess prefixes.
Concatenated numeric ranges need prefix value + powers of 10, not string slicing.</t>
  </si>
  <si>
    <t>Path Existence Queries in a Graph I</t>
  </si>
  <si>
    <t>https://leetcode.com/problems/path-existence-queries-in-a-graph-i/</t>
  </si>
  <si>
    <t>Graphs</t>
  </si>
  <si>
    <t>Component Labeling / Preprocessing</t>
  </si>
  <si>
    <t>Label each connected segment once, then compare component IDs for each query.</t>
  </si>
  <si>
    <t>Gap &gt; maxDiff starts a new component.</t>
  </si>
  <si>
    <t>Do not run DFS for every query; preprocess connectivity once.</t>
  </si>
  <si>
    <t>Many connectivity queries on unchanged data → preprocess components once.</t>
  </si>
  <si>
    <t>Smallest Subsequence of Distinct Characters</t>
  </si>
  <si>
    <t>https://leetcode.com/problems/smallest-subsequence-of-distinct-characters/</t>
  </si>
  <si>
    <t>Maximum Product of Two Elements in an Array</t>
  </si>
  <si>
    <t>https://leetcode.com/problems/maximum-product-of-two-elements-in-an-array/</t>
  </si>
  <si>
    <t>Tracking Top Two Values / One-pass Greedy</t>
  </si>
  <si>
    <t>Find the best pair by tracking either top two values or best previous max.</t>
  </si>
  <si>
    <t>Old firstMax becomes secondMax when new max is found.</t>
  </si>
  <si>
    <t>Do not miss the case where num is between firstMax and secondMax.</t>
  </si>
  <si>
    <t>Smallest Palindromic Rearrangement I</t>
  </si>
  <si>
    <t>https://leetcode.com/problems/smallest-palindromic-rearrangement-i/</t>
  </si>
  <si>
    <t>String/Sorting/Counting Sort</t>
  </si>
  <si>
    <t>Sorting + Two-Pointer / Palindrome Mirroring</t>
  </si>
  <si>
    <t>Sort only the first half, then mirror it to the second half.</t>
  </si>
  <si>
    <t>For smallest palindrome, smallest chars must be placed from left to right.</t>
  </si>
  <si>
    <t>Do not sort whole string; preserve palindrome by mirroring first half.</t>
  </si>
  <si>
    <t>O(n logn)</t>
  </si>
  <si>
    <t>Smallest Palindromic Rearrangement II</t>
  </si>
  <si>
    <t>https://leetcode.com/problems/smallest-palindromic-rearrangement-ii/</t>
  </si>
  <si>
    <t>Minimum Number of Pushes to Type Word I</t>
  </si>
  <si>
    <t>https://leetcode.com/problems/minimum-number-of-pushes-to-type-word-i</t>
  </si>
  <si>
    <t>Key Assignment</t>
  </si>
  <si>
    <t xml:space="preserve">Greedy  </t>
  </si>
  <si>
    <t>Assign letters round-robin across 8 keys; first 8 cost 1 push, next 8 cost 2 pushes.</t>
  </si>
  <si>
    <t>Push count depends on position: i // 8 + 1</t>
  </si>
  <si>
    <t>If using key numbers 2–9, array size must handle index 9.</t>
  </si>
  <si>
    <r>
      <t xml:space="preserve">8 keys + assign letters by position → cost = i // 8 + 1
</t>
    </r>
    <r>
      <rPr>
        <b/>
        <sz val="11"/>
        <rFont val="Carlito"/>
      </rPr>
      <t>Word I:</t>
    </r>
    <r>
      <rPr>
        <sz val="11"/>
        <rFont val="Carlito"/>
      </rPr>
      <t xml:space="preserve"> frequency does not matter much; assign by position.</t>
    </r>
  </si>
  <si>
    <t>Minimum Number of Pushes to Type Word II</t>
  </si>
  <si>
    <t>https://leetcode.com/problems/minimum-number-of-pushes-to-type-word-ii</t>
  </si>
  <si>
    <t>Greedy</t>
  </si>
  <si>
    <t>Greedy + Frequency Sorting</t>
  </si>
  <si>
    <t>Count character frequencies and give cheapest press positions to most frequent letters.</t>
  </si>
  <si>
    <t>Sort frequencies descending; cost group is i // 8 + 1.</t>
  </si>
  <si>
    <t>Use ord(ch) - ord('a'); Python cannot do ch - 'a'.</t>
  </si>
  <si>
    <t>O(n + 26 log 26) → O(n)</t>
  </si>
  <si>
    <r>
      <t xml:space="preserve">Minimize typing cost → highest frequency gets lowest press count
</t>
    </r>
    <r>
      <rPr>
        <b/>
        <sz val="11"/>
        <rFont val="Carlito"/>
      </rPr>
      <t>Word II:</t>
    </r>
    <r>
      <rPr>
        <sz val="11"/>
        <rFont val="Carlito"/>
      </rPr>
      <t xml:space="preserve"> frequency matters; sort characters by frequency first.</t>
    </r>
  </si>
  <si>
    <t>Predict The Winner</t>
  </si>
  <si>
    <t>https://leetcode.com/problems/predict-the-winner/</t>
  </si>
  <si>
    <t>Dynamic Programming,
Game Theory</t>
  </si>
  <si>
    <t>Interval DP / Minimax Game DP</t>
  </si>
  <si>
    <t>Choose left/right to maximize Player 1 score</t>
  </si>
  <si>
    <t>Use min() because opponent leaves worst future state</t>
  </si>
  <si>
    <t>Add memoization; same (i,j) ranges repeat</t>
  </si>
  <si>
    <t>O(n²) with memo</t>
  </si>
  <si>
    <t>O(n²)</t>
  </si>
  <si>
    <t>Two players + pick from ends + optimal play → Interval DP / Minimax.</t>
  </si>
  <si>
    <t>Stone Game</t>
  </si>
  <si>
    <t>https://leetcode.com/problems/stone-game/</t>
  </si>
  <si>
    <t>Interval DP / Minimax / Score Difference</t>
  </si>
  <si>
    <t>Return best score difference for current player from interval.</t>
  </si>
  <si>
    <t>Take left/right, then subtract opponent’s best future advantage.</t>
  </si>
  <si>
    <t>memo[(i,j)] stores score difference, not total score.</t>
  </si>
  <si>
    <r>
      <t xml:space="preserve">Two players + pick from ends + optimal play → Interval DP / Minimax.
- </t>
    </r>
    <r>
      <rPr>
        <b/>
        <sz val="11"/>
        <rFont val="Carlito"/>
      </rPr>
      <t>Shortcut:</t>
    </r>
    <r>
      <rPr>
        <sz val="11"/>
        <rFont val="Carlito"/>
      </rPr>
      <t xml:space="preserve"> Alice always wins by choosing better parity group.</t>
    </r>
  </si>
  <si>
    <t>Valid Anagram</t>
  </si>
  <si>
    <t>https://leetcode.com/problems/valid-anagram/</t>
  </si>
  <si>
    <t>HashTable</t>
  </si>
  <si>
    <t>HashMap / Frequency Counting</t>
  </si>
  <si>
    <t>Count characters in both strings and compare frequencies.</t>
  </si>
  <si>
    <t>Same characters must have same counts.</t>
  </si>
  <si>
    <t>Check length first; anagram needs equal total length.</t>
  </si>
  <si>
    <t>Anagram/permutation check → character frequency map.</t>
  </si>
  <si>
    <t>Majority Element</t>
  </si>
  <si>
    <t>https://leetcode.com/problems/majority-element/</t>
  </si>
  <si>
    <t>Count each number and return one with count &gt; n/2.</t>
  </si>
  <si>
    <t>Majority threshold is len(nums)//2.</t>
  </si>
  <si>
    <t>Use HashMap when count matters, not just existence.</t>
  </si>
  <si>
    <t>There is also an optimal Boyer-Moore Voting solution with O(1) space.</t>
  </si>
  <si>
    <t>Stone Game III</t>
  </si>
  <si>
    <t>Find Missing Elements</t>
  </si>
  <si>
    <t>https://leetcode.com/problems/find-missing-elements/</t>
  </si>
  <si>
    <t>Smallest Divisible Digit Product I</t>
  </si>
  <si>
    <t>https://leetcode.com/problems/smallest-divisible-digit-product-i/</t>
  </si>
  <si>
    <t>Digit Extraction + Brute Force Check</t>
  </si>
  <si>
    <t>Try numbers from n upward and check digit product.</t>
  </si>
  <si>
    <t>Extract each digit using num % 10, then reduce using num // 10.</t>
  </si>
  <si>
    <t>Use product * (num % 10), not (product * num) % 10; return after processing all digits.</t>
  </si>
  <si>
    <t>O(x · d) where 
x = numbers checked, 
d = digits per number</t>
  </si>
  <si>
    <t>Need to inspect digits of a number → use % 10 and // 10.</t>
  </si>
  <si>
    <t>Stone Game IV</t>
  </si>
  <si>
    <t>https://leetcode.com/problems/stone-game-iv/</t>
  </si>
  <si>
    <t>Game Theory</t>
  </si>
  <si>
    <t>1D Game DP / Memoized Recursion</t>
  </si>
  <si>
    <t>Hard</t>
  </si>
  <si>
    <t>Current player wins if they can move to any losing state.</t>
  </si>
  <si>
    <t>Try all square numbers k*k &lt;= n.</t>
  </si>
  <si>
    <t>Use &lt;=, not &lt;; exact square move is allowed. Add memoization.</t>
  </si>
  <si>
    <t>O(n√n)</t>
  </si>
  <si>
    <t>Winning state = there exists one move that makes opponent lose.</t>
  </si>
  <si>
    <t>Smallest Missing Integer Greater Than Sequential Prefix Sum</t>
  </si>
  <si>
    <t>https://leetcode.com/problems/smallest-missing-integer-greater-than-sequential-prefix-sum/</t>
  </si>
  <si>
    <t>Array, HashSet</t>
  </si>
  <si>
    <t>Sequential Prefix + Hash Set Lookup</t>
  </si>
  <si>
    <t>Compute consecutive prefix sum, then find first missing number ≥ sum.</t>
  </si>
  <si>
    <t>Store nums in set for O(1) membership checks.</t>
  </si>
  <si>
    <t>Stop prefix as soon as sequence breaks.</t>
  </si>
  <si>
    <t>Sequential prefix sum first, then HashSet search for missing value.</t>
  </si>
  <si>
    <t>Length of Longest Subarray With at Most K Frequency</t>
  </si>
  <si>
    <t>https://leetcode.com/problems/length-of-longest-subarray-with-at-most-k-frequency/</t>
  </si>
  <si>
    <t>Sliding Window + HashMap Frequency</t>
  </si>
  <si>
    <t>Expand right pointer, shrink left when current number frequency exceeds k.</t>
  </si>
  <si>
    <t>Only nums[j] can become invalid after adding it.</t>
  </si>
  <si>
    <t>HashMap key should be nums[j], not index j.</t>
  </si>
  <si>
    <t>Longest contiguous subarray + frequency limit → Sliding Window + HashMap.</t>
  </si>
  <si>
    <t>Range Sum Query - Immutable</t>
  </si>
  <si>
    <t>https://leetcode.com/problems/range-sum-query-immutable/</t>
  </si>
  <si>
    <t>Prefix Sum / Range Query Preprocessing</t>
  </si>
  <si>
    <t>Precompute cumulative sums to answer range sums fast.</t>
  </si>
  <si>
    <t>Range sum = preSum[right] - preSum[left-1].</t>
  </si>
  <si>
    <t>O(n) init, O(1) per query</t>
  </si>
  <si>
    <t>Many sum queries on unchanged array → prefix sum preprocessing.</t>
  </si>
  <si>
    <t>Longest Substring of One Repeating Character</t>
  </si>
  <si>
    <t>https://leetcode.com/problems/longest-substring-of-one-repeating-character/</t>
  </si>
  <si>
    <t>Longest Subsequence With Non-Zero Bitwise XOR</t>
  </si>
  <si>
    <t>https://leetcode.com/problems/longest-subsequence-with-non-zero-bitwise-xor/</t>
  </si>
  <si>
    <t>Bit Manipulation</t>
  </si>
  <si>
    <t>If total XOR is non-zero, take all n elements.</t>
  </si>
  <si>
    <t>If total XOR is zero but some number is non-zero, remove one non-zero element to make XOR non-zero.</t>
  </si>
  <si>
    <t>If all elements are 0, no non-zero XOR subsequence exists, so return 0.</t>
  </si>
  <si>
    <t>Longest subsequence with non-zero XOR → check total XOR and all-zero case.</t>
  </si>
  <si>
    <t>Stone Game IX</t>
  </si>
  <si>
    <t>https://leetcode.com/problems/stone-game-ix/</t>
  </si>
  <si>
    <t>Group Anagrams</t>
  </si>
  <si>
    <t>https://leetcode.com/problems/group-anagrams/</t>
  </si>
  <si>
    <t>HashMap + Anagram Signature</t>
  </si>
  <si>
    <t>Convert each word into a common signature and group words with the same signature.</t>
  </si>
  <si>
    <t>Anagram signature can be sorted(word) or a 26-count frequency tuple.</t>
  </si>
  <si>
    <t>Do not use set(word) for anagrams because it ignores character counts. Also, append() returns None.</t>
  </si>
  <si>
    <t>Sorted key: O(n * m log m); 
Frequency tuple: O(n * m)</t>
  </si>
  <si>
    <t>O(n * m)</t>
  </si>
  <si>
    <t>I create a signature for each word. All anagrams produce the same signature, so I use that signature as the HashMap key and append the word to that group.</t>
  </si>
  <si>
    <t>Distribute Elements Into Two Arrays I</t>
  </si>
  <si>
    <t>Array Simulation</t>
  </si>
  <si>
    <t>Maintain two arrays and place each next number based on the last elements.</t>
  </si>
  <si>
    <t>Compare arr1[-1] and arr2[-1]; append to arr1 only when strictly greater.</t>
  </si>
  <si>
    <t>In the else case, append to arr2, including when both last elements are equal.</t>
  </si>
  <si>
    <t>Rules directly describe how to build arrays → simulation.</t>
  </si>
  <si>
    <t>LeetCode Progress Dashboard</t>
  </si>
  <si>
    <t>Metric</t>
  </si>
  <si>
    <t>Value</t>
  </si>
  <si>
    <t>Count</t>
  </si>
  <si>
    <t>Total Problems</t>
  </si>
  <si>
    <t>High Confidence</t>
  </si>
  <si>
    <t>Medium Confidence</t>
  </si>
  <si>
    <t>Low Confidence</t>
  </si>
  <si>
    <t>Weak Problems</t>
  </si>
  <si>
    <t>Redo Enabled</t>
  </si>
  <si>
    <t>Redo Due / Overdue</t>
  </si>
  <si>
    <t>Redo Queue</t>
  </si>
  <si>
    <t>Action</t>
  </si>
  <si>
    <t>Rolling Redo Workflow</t>
  </si>
  <si>
    <t>Filter Next Redo Date &lt;= today.</t>
  </si>
  <si>
    <t>Redo on paper and explain pattern + key trick.</t>
  </si>
  <si>
    <t>Enter today's date in Last Redo Done.</t>
  </si>
  <si>
    <t>Next Redo Date automatically rolls forward.</t>
  </si>
  <si>
    <t>Pattern Guide: What to Remember</t>
  </si>
  <si>
    <t>Use When</t>
  </si>
  <si>
    <t>Core Methodology</t>
  </si>
  <si>
    <t>Key Lines / Tricks</t>
  </si>
  <si>
    <t>Example Problems</t>
  </si>
  <si>
    <t>Common Mistake</t>
  </si>
  <si>
    <t>Confidence Rule</t>
  </si>
  <si>
    <t>Need to detect duplicates or membership quickly.</t>
  </si>
  <si>
    <t>Scan once and store seen values.</t>
  </si>
  <si>
    <t>if x in seen: return True; seen.add(x)</t>
  </si>
  <si>
    <t>Using list lookup makes it O(n²).</t>
  </si>
  <si>
    <t>High if you can explain why lookup is O(1) average.</t>
  </si>
  <si>
    <t>Subarray/window size k is fixed.</t>
  </si>
  <si>
    <t>Compute first window, then slide by +incoming -outgoing.</t>
  </si>
  <si>
    <t>curr += nums[i+k-1] - nums[i-1]</t>
  </si>
  <si>
    <t>Wrong loop boundary; recalculating full sum each time.</t>
  </si>
  <si>
    <t>High if you know last start index is len(nums)-k.</t>
  </si>
  <si>
    <t>Problem reduces to equation or number property.</t>
  </si>
  <si>
    <t>Derive condition first, then verify with integer math.</t>
  </si>
  <si>
    <t>x = isqrt(total); x*x == total</t>
  </si>
  <si>
    <t>Using floats when exact integer check is safer.</t>
  </si>
  <si>
    <t>High if derivation is clear on paper.</t>
  </si>
  <si>
    <t>Number grows huge, but only divisibility matters.</t>
  </si>
  <si>
    <t>Track remainder instead of full number.</t>
  </si>
  <si>
    <t>rem = (rem*10 + digit) % k</t>
  </si>
  <si>
    <t>Smallest Repunit Divisible by K</t>
  </si>
  <si>
    <t>Trying to build full integer string/number.</t>
  </si>
  <si>
    <t>High if you can explain why same remainder means same future pattern.</t>
  </si>
  <si>
    <t>Need to inspect digits one by one.</t>
  </si>
  <si>
    <t>Use modulo for last digit and integer divide to remove it.</t>
  </si>
  <si>
    <t>digit = num % 10; num //= 10</t>
  </si>
  <si>
    <t>Using num %= 10 causes infinite loop; forgetting digit 0.</t>
  </si>
  <si>
    <t>High if you can dry run 128 and 120.</t>
  </si>
  <si>
    <t>Two Pointers</t>
  </si>
  <si>
    <t>Sorted array/string or pair from both ends.</t>
  </si>
  <si>
    <t>Move left/right based on condition.</t>
  </si>
  <si>
    <t>while l &lt; r: ...</t>
  </si>
  <si>
    <t>Two Sum II, Valid Palindrome</t>
  </si>
  <si>
    <t>Moving wrong pointer without reason.</t>
  </si>
  <si>
    <t>High if pointer movement decision is justified.</t>
  </si>
  <si>
    <t>Need repeated range sums.</t>
  </si>
  <si>
    <t>Precompute cumulative sums to answer ranges fast.</t>
  </si>
  <si>
    <t>prefix[i+1] = prefix[i] + nums[i]</t>
  </si>
  <si>
    <t>Range Sum Query</t>
  </si>
  <si>
    <t>Off-by-one indexing.</t>
  </si>
  <si>
    <t>High if range sum formula is automatic.</t>
  </si>
  <si>
    <t>Patterns</t>
  </si>
  <si>
    <t>Yes/No</t>
  </si>
  <si>
    <t>Done Status</t>
  </si>
  <si>
    <t>Overall Status</t>
  </si>
  <si>
    <t>Pending</t>
  </si>
  <si>
    <t>No</t>
  </si>
  <si>
    <t>Done</t>
  </si>
  <si>
    <t>Skipped</t>
  </si>
  <si>
    <t>Weak</t>
  </si>
  <si>
    <t>Variable-size Sliding Window</t>
  </si>
  <si>
    <t>Prefix Product</t>
  </si>
  <si>
    <t>Binary Search</t>
  </si>
  <si>
    <t>Stack</t>
  </si>
  <si>
    <t>Queue / BFS</t>
  </si>
  <si>
    <t>DFS / Recursion</t>
  </si>
  <si>
    <t>Tree DFS</t>
  </si>
  <si>
    <t>Tree BFS</t>
  </si>
  <si>
    <t>Graph BFS / DFS</t>
  </si>
  <si>
    <t>Dynamic Programming</t>
  </si>
  <si>
    <t>Backtracking</t>
  </si>
  <si>
    <t>Sorting</t>
  </si>
  <si>
    <t>Heap / Priority Queue</t>
  </si>
  <si>
    <t>Linked List</t>
  </si>
  <si>
    <t>Intervals</t>
  </si>
  <si>
    <t>Union Find</t>
  </si>
  <si>
    <t>Simulation</t>
  </si>
  <si>
    <t>SQL Interview Tracker</t>
  </si>
  <si>
    <t>Pattern-wise SQL practice: identify the pattern before querying; after solving, explain each major clause and record one mistake/takeaway. Use one rolling redo date for weak questions.</t>
  </si>
  <si>
    <t>Source</t>
  </si>
  <si>
    <t>Mistake to Remember</t>
  </si>
  <si>
    <t>Key Clauses</t>
  </si>
  <si>
    <t>Solution / Query Link</t>
  </si>
  <si>
    <t>Recyclable and Low Fat Products</t>
  </si>
  <si>
    <t>https://leetcode.com/problems/recyclable-and-low-fat-products/</t>
  </si>
  <si>
    <t>LeetCode SQL 50</t>
  </si>
  <si>
    <t>Filtering</t>
  </si>
  <si>
    <t>SELECT + WHERE</t>
  </si>
  <si>
    <t>Filter rows that satisfy both required categorical conditions.</t>
  </si>
  <si>
    <t>Combine both predicates in WHERE using AND.</t>
  </si>
  <si>
    <t>Be careful not to use OR when both conditions must be true.</t>
  </si>
  <si>
    <t>SELECT, FROM, WHERE</t>
  </si>
  <si>
    <t>Restart Day 1 SQL foundation.</t>
  </si>
  <si>
    <t>Article Views I</t>
  </si>
  <si>
    <t>https://leetcode.com/problems/article-views-i/</t>
  </si>
  <si>
    <t>DISTINCT + ORDER BY</t>
  </si>
  <si>
    <t>Find authors who viewed at least one of their own articles.</t>
  </si>
  <si>
    <t>Filter author_id = viewer_id, deduplicate authors, then sort.</t>
  </si>
  <si>
    <t>Without DISTINCT, an author can appear multiple times.</t>
  </si>
  <si>
    <t>SELECT DISTINCT, FROM, WHERE, ORDER BY</t>
  </si>
  <si>
    <t>SQL Patterns</t>
  </si>
  <si>
    <t>I</t>
  </si>
  <si>
    <t>J</t>
  </si>
  <si>
    <t>K</t>
  </si>
  <si>
    <t>L</t>
  </si>
  <si>
    <t>M</t>
  </si>
  <si>
    <t>N</t>
  </si>
  <si>
    <t>DataLemur</t>
  </si>
  <si>
    <t>Aggregation</t>
  </si>
  <si>
    <t>GROUP BY + Aggregation</t>
  </si>
  <si>
    <t>Ace the Data Science Interview</t>
  </si>
  <si>
    <t>Joins</t>
  </si>
  <si>
    <t>GROUP BY + HAVING</t>
  </si>
  <si>
    <t>Other</t>
  </si>
  <si>
    <t>Subqueries / CTEs</t>
  </si>
  <si>
    <t>CASE WHEN / Conditional Aggregation</t>
  </si>
  <si>
    <t>Dates / Strings</t>
  </si>
  <si>
    <t>INNER JOIN</t>
  </si>
  <si>
    <t>Window Functions</t>
  </si>
  <si>
    <t>LEFT JOIN</t>
  </si>
  <si>
    <t>Analytics</t>
  </si>
  <si>
    <t>Multi-table JOIN</t>
  </si>
  <si>
    <t>Subquery</t>
  </si>
  <si>
    <t>Correlated Subquery</t>
  </si>
  <si>
    <t>CTE</t>
  </si>
  <si>
    <t>Date Functions</t>
  </si>
  <si>
    <t>String Functions</t>
  </si>
  <si>
    <t>Window Function - ROW_NUMBER/RANK</t>
  </si>
  <si>
    <t>Window Function - Aggregate</t>
  </si>
  <si>
    <t>LAG / LEAD</t>
  </si>
  <si>
    <t>Top N per Group</t>
  </si>
  <si>
    <t>Self Join</t>
  </si>
  <si>
    <t>Set Operations</t>
  </si>
  <si>
    <t>NULL Handling</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</si>
  <si>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</si>
  <si>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</si>
  <si>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</si>
  <si>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</si>
  <si>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</si>
  <si>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</si>
  <si>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</si>
  <si>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</si>
  <si>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</si>
  <si>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</si>
  <si>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</si>
  <si>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</si>
  <si>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</si>
  <si>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</si>
  <si>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</si>
  <si>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</si>
  <si>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</si>
  <si>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</si>
  <si>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</si>
  <si>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</si>
  <si>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</si>
  <si>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</si>
  <si>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</si>
  <si>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</si>
  <si>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</si>
  <si>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</si>
  <si>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</si>
  <si>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</si>
  <si>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</si>
  <si>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</si>
  <si>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</si>
  <si>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</si>
  <si>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</si>
  <si>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</si>
  <si>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</si>
  <si>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</si>
  <si>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</si>
  <si>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</si>
  <si>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</si>
  <si>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</si>
  <si>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</si>
  <si>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</si>
  <si>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</si>
  <si>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</si>
  <si>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</si>
  <si>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</si>
  <si>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</si>
  <si>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</si>
  <si>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</si>
  <si>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</si>
  <si>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</si>
  <si>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</si>
  <si>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</si>
  <si>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</si>
  <si>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</si>
  <si>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</si>
  <si>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</si>
  <si>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</si>
  <si>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</si>
  <si>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</si>
  <si>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</si>
  <si>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</si>
  <si>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</si>
  <si>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</si>
  <si>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</si>
  <si>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</si>
  <si>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</si>
  <si>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</si>
  <si>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</si>
  <si>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</si>
  <si>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</si>
  <si>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</si>
  <si>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</si>
  <si>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</si>
  <si>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</si>
  <si>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</si>
  <si>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</si>
  <si>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</si>
  <si>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</si>
  <si>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</si>
  <si>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</si>
  <si>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</si>
  <si>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</si>
  <si>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</si>
  <si>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</si>
  <si>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</si>
  <si>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</si>
  <si>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</si>
  <si>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</si>
  <si>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</si>
  <si>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</si>
  <si>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</si>
  <si>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</si>
  <si>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</si>
  <si>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</si>
  <si>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</si>
  <si>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</si>
  <si>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</si>
  <si>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</si>
  <si>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</si>
  <si>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</si>
  <si>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</si>
  <si>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</si>
  <si>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</si>
  <si>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</si>
  <si>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</si>
  <si>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</si>
  <si>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</si>
  <si>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</si>
  <si>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</si>
  <si>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</si>
  <si>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</si>
  <si>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</si>
  <si>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</si>
  <si>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</si>
  <si>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</si>
  <si>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</si>
  <si>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</si>
  <si>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</si>
  <si>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</si>
  <si>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</si>
  <si>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</si>
  <si>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</si>
  <si>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</si>
  <si>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</si>
  <si>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</si>
  <si>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</si>
  <si>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</si>
  <si>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</si>
  <si>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</si>
  <si>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</si>
  <si>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</si>
  <si>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</si>
  <si>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</si>
  <si>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</si>
  <si>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</si>
  <si>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</si>
  <si>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</si>
  <si>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</si>
  <si>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</si>
  <si>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</si>
  <si>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</si>
  <si>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</si>
  <si>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</si>
  <si>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</si>
  <si>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</si>
  <si>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</si>
  <si>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</si>
  <si>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</si>
  <si>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</si>
  <si>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</si>
  <si>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</si>
  <si>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</si>
  <si>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</si>
  <si>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</si>
  <si>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</si>
  <si>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</si>
  <si>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</si>
  <si>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</si>
  <si>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</si>
  <si>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</si>
  <si>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</si>
  <si>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</si>
  <si>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</si>
  <si>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</si>
  <si>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</si>
  <si>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</si>
  <si>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</si>
  <si>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</si>
  <si>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</si>
  <si>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</si>
  <si>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</si>
  <si>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</si>
  <si>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</si>
  <si>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</si>
  <si>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</si>
  <si>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</si>
  <si>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</si>
  <si>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</si>
  <si>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</si>
  <si>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</si>
  <si>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</si>
  <si>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</si>
  <si>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</si>
  <si>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</si>
  <si>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</si>
  <si>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</si>
  <si>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</si>
  <si>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</si>
  <si>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</si>
  <si>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</si>
  <si>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</si>
  <si>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</si>
  <si>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</si>
  <si>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</si>
  <si>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</si>
  <si>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</si>
  <si>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</si>
  <si>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</si>
  <si>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</si>
  <si>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</si>
  <si>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</si>
  <si>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</si>
  <si>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</si>
  <si>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</si>
  <si>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</si>
  <si>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</si>
  <si>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</si>
  <si>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</si>
  <si>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</si>
  <si>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</si>
  <si>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</si>
  <si>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</si>
  <si>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</si>
  <si>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</si>
  <si>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</si>
  <si>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</si>
  <si>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</si>
  <si>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</si>
  <si>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</si>
  <si>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</si>
  <si>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</si>
  <si>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</si>
  <si>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</si>
  <si>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</si>
  <si>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</si>
  <si>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</si>
  <si>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</si>
  <si>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</si>
  <si>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</si>
  <si>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</si>
  <si>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</si>
  <si>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</si>
  <si>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</si>
  <si>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</si>
  <si>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</si>
  <si>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</si>
  <si>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</si>
  <si>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</si>
  <si>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</si>
  <si>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</si>
  <si>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</si>
  <si>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</si>
  <si>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</si>
  <si>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</si>
  <si>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</si>
  <si>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</si>
  <si>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</si>
  <si>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</si>
  <si>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</si>
  <si>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</si>
  <si>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</si>
  <si>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</si>
  <si>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</si>
  <si>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</si>
  <si>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</si>
  <si>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</si>
  <si>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</si>
  <si>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</si>
  <si>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</si>
  <si>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</si>
  <si>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</si>
  <si>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</si>
  <si>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</si>
  <si>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</si>
  <si>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</si>
  <si>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</si>
  <si>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</si>
  <si>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</si>
  <si>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</si>
  <si>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</si>
  <si>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</si>
  <si>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</si>
  <si>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</si>
  <si>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</si>
  <si>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</si>
  <si>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</si>
  <si>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</si>
  <si>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</si>
  <si>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</si>
  <si>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</si>
  <si>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</si>
  <si>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</si>
  <si>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</si>
  <si>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</si>
  <si>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</si>
  <si>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</si>
  <si>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</si>
  <si>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</si>
  <si>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</si>
  <si>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</si>
  <si>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</si>
  <si>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</si>
  <si>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</si>
  <si>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</si>
  <si>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</si>
  <si>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</si>
  <si>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</si>
  <si>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</si>
  <si>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</si>
  <si>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</si>
  <si>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</si>
  <si>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</si>
  <si>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</si>
  <si>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</si>
  <si>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</si>
  <si>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</si>
  <si>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</si>
  <si>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</si>
  <si>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</si>
  <si>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</si>
  <si>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</si>
  <si>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</si>
  <si>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</si>
  <si>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</si>
  <si>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</si>
  <si>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</si>
  <si>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</si>
  <si>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</si>
  <si>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</si>
  <si>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</si>
  <si>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</si>
  <si>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</si>
  <si>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</si>
  <si>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</si>
  <si>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</si>
  <si>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</si>
  <si>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</si>
  <si>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</si>
  <si>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</si>
  <si>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</si>
  <si>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</si>
  <si>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</si>
  <si>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</si>
  <si>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</si>
  <si>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</si>
  <si>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</si>
  <si>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</si>
  <si>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</si>
  <si>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</si>
  <si>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</si>
  <si>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</si>
  <si>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</si>
  <si>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</si>
  <si>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</si>
  <si>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</si>
  <si>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</si>
  <si>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</si>
  <si>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</si>
  <si>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</si>
  <si>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</si>
  <si>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</si>
  <si>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</si>
  <si>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</si>
  <si>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</si>
  <si>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</si>
  <si>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</si>
  <si>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</si>
  <si>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</si>
  <si>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</si>
  <si>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</si>
  <si>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</si>
  <si>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</si>
  <si>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</si>
  <si>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</si>
  <si>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</si>
  <si>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</si>
  <si>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</si>
  <si>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</si>
  <si>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</si>
  <si>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</si>
  <si>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</si>
  <si>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</si>
  <si>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</si>
  <si>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</si>
  <si>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</si>
  <si>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</si>
  <si>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</si>
  <si>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</si>
  <si>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</si>
  <si>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</si>
  <si>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</si>
  <si>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</si>
  <si>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</si>
  <si>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</si>
  <si>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</si>
  <si>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</si>
  <si>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</si>
  <si>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</si>
  <si>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</si>
  <si>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</si>
  <si>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</si>
  <si>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</si>
  <si>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</si>
  <si>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</si>
  <si>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</si>
  <si>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</si>
  <si>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</si>
  <si>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</si>
  <si>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</si>
  <si>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</si>
  <si>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</si>
  <si>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</si>
  <si>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</si>
  <si>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</si>
  <si>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</si>
  <si>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</si>
  <si>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</si>
  <si>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</si>
  <si>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</si>
  <si>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</si>
  <si>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</si>
  <si>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</si>
  <si>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</si>
  <si>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</si>
  <si>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</si>
  <si>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</si>
  <si>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</si>
  <si>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</si>
  <si>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</si>
  <si>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</si>
  <si>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</si>
  <si>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</si>
  <si>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</si>
  <si>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</si>
  <si>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</si>
  <si>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</si>
  <si>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</si>
  <si>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</si>
  <si>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</si>
  <si>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</si>
  <si>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</si>
  <si>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</si>
  <si>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</si>
  <si>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</si>
  <si>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</si>
  <si>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</si>
  <si>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</si>
  <si>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</si>
  <si>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</si>
  <si>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</si>
  <si>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</si>
  <si>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</si>
  <si>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</si>
  <si>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</si>
  <si>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</si>
  <si>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</si>
  <si>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</si>
  <si>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</si>
  <si>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</si>
  <si>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</si>
  <si>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</si>
  <si>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</si>
  <si>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</si>
  <si>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</si>
  <si>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</si>
  <si>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</si>
  <si>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</si>
  <si>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</si>
  <si>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</si>
  <si>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</si>
  <si>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</si>
  <si>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</si>
  <si>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</si>
  <si>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</si>
  <si>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</si>
  <si>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</si>
  <si>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</si>
  <si>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</si>
  <si>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</si>
  <si>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</si>
  <si>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</si>
  <si>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</si>
  <si>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</si>
  <si>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</si>
  <si>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</si>
  <si>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</si>
  <si>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</si>
  <si>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</si>
  <si>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</si>
  <si>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</si>
  <si>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</si>
  <si>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</si>
  <si>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</si>
  <si>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</si>
  <si>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</si>
  <si>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</si>
  <si>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</si>
  <si>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</si>
  <si>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</si>
  <si>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</si>
  <si>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</si>
  <si>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</si>
  <si>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</si>
  <si>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</si>
  <si>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</si>
  <si>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</si>
  <si>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</si>
  <si>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</si>
  <si>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</si>
  <si>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</si>
  <si>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</si>
  <si>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</si>
  <si>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</si>
  <si>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</si>
  <si>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</si>
  <si>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</si>
  <si>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</si>
  <si>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</si>
  <si>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</si>
  <si>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</si>
  <si>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</si>
  <si>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</si>
  <si>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</si>
  <si>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</si>
  <si>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</si>
  <si>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</si>
  <si>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</si>
  <si>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</si>
  <si>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</si>
  <si>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</si>
  <si>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</si>
  <si>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</si>
  <si>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</si>
  <si>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</si>
  <si>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</si>
  <si>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</si>
  <si>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</si>
  <si>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</si>
  <si>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</si>
  <si>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</si>
  <si>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</si>
  <si>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</si>
  <si>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</si>
  <si>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</si>
  <si>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</si>
  <si>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</si>
  <si>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</si>
  <si>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</si>
  <si>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</si>
  <si>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</si>
  <si>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</si>
  <si>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</si>
  <si>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</si>
  <si>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</si>
  <si>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</si>
  <si>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</si>
  <si>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</si>
  <si>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</si>
  <si>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</si>
  <si>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</si>
  <si>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</si>
  <si>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</si>
  <si>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</si>
  <si>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</si>
  <si>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</si>
  <si>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</si>
  <si>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</si>
  <si>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</si>
  <si>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</si>
  <si>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</si>
  <si>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</si>
  <si>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</si>
  <si>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</si>
  <si>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</si>
  <si>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</si>
  <si>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</si>
  <si>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</si>
  <si>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</si>
  <si>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</si>
  <si>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</si>
  <si>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</si>
  <si>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</si>
  <si>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</si>
  <si>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</si>
  <si>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</si>
  <si>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</si>
  <si>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</si>
  <si>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</si>
  <si>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</si>
  <si>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</si>
  <si>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</si>
  <si>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</si>
  <si>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</si>
  <si>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</si>
  <si>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</si>
  <si>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</si>
  <si>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</si>
  <si>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</si>
  <si>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</si>
  <si>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</si>
  <si>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</si>
  <si>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</si>
  <si>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</si>
  <si>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</si>
  <si>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</si>
  <si>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</si>
  <si>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</si>
  <si>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</si>
  <si>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</si>
  <si>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</si>
  <si>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</si>
  <si>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</si>
  <si>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</si>
  <si>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</si>
  <si>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</si>
  <si>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</si>
  <si>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</si>
  <si>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</si>
  <si>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</si>
  <si>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</si>
  <si>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</si>
  <si>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</si>
  <si>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</si>
  <si>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</si>
  <si>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</si>
  <si>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</si>
  <si>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</si>
  <si>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</si>
  <si>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</si>
  <si>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</si>
  <si>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</si>
  <si>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</si>
  <si>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</si>
  <si>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</si>
  <si>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</si>
  <si>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</si>
  <si>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</si>
  <si>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</si>
  <si>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</si>
  <si>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</si>
  <si>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</si>
  <si>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</si>
  <si>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</si>
  <si>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</si>
  <si>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</si>
  <si>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</si>
  <si>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</si>
  <si>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</si>
  <si>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</si>
  <si>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</si>
  <si>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</si>
  <si>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</si>
  <si>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</si>
  <si>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</si>
  <si>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</si>
  <si>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</si>
  <si>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</si>
  <si>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</si>
  <si>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</si>
  <si>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</si>
  <si>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</si>
  <si>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</si>
  <si>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</si>
  <si>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</si>
  <si>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</si>
  <si>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</si>
  <si>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</si>
  <si>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</si>
  <si>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</si>
  <si>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</si>
  <si>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</si>
  <si>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</si>
  <si>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</si>
  <si>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</si>
  <si>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</si>
  <si>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</si>
  <si>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</si>
  <si>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</si>
  <si>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</si>
  <si>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</si>
  <si>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</si>
  <si>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</si>
  <si>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</si>
  <si>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</si>
  <si>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</si>
  <si>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</si>
  <si>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</si>
  <si>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</si>
  <si>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</si>
  <si>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</si>
  <si>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</si>
  <si>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</si>
  <si>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</si>
  <si>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</si>
  <si>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</si>
  <si>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</si>
  <si>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</si>
  <si>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</si>
  <si>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</si>
  <si>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</si>
  <si>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</si>
  <si>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</si>
  <si>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</si>
  <si>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</si>
  <si>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</si>
  <si>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</si>
  <si>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</si>
  <si>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</si>
  <si>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</si>
  <si>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</si>
  <si>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</si>
  <si>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</si>
  <si>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</si>
  <si>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</si>
  <si>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</si>
  <si>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</si>
  <si>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</si>
  <si>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</si>
  <si>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</si>
  <si>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</si>
  <si>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</si>
  <si>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</si>
  <si>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</si>
  <si>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</si>
  <si>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</si>
  <si>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</si>
  <si>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</si>
  <si>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</si>
  <si>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</si>
  <si>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</si>
  <si>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</si>
  <si>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</si>
  <si>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</si>
  <si>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</si>
  <si>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</si>
  <si>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</si>
  <si>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</si>
  <si>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</si>
  <si>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</si>
  <si>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</si>
  <si>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</si>
  <si>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</si>
  <si>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</si>
  <si>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</si>
  <si>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</si>
  <si>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</si>
  <si>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</si>
  <si>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</si>
  <si>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</si>
  <si>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</si>
  <si>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</si>
  <si>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</si>
  <si>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</si>
  <si>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</si>
  <si>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</si>
  <si>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</si>
  <si>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</si>
  <si>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</si>
  <si>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</si>
  <si>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</si>
  <si>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</si>
  <si>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</si>
  <si>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</si>
  <si>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</si>
  <si>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</si>
  <si>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</si>
  <si>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</si>
  <si>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</si>
  <si>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</si>
  <si>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</si>
  <si>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</si>
  <si>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</si>
  <si>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</si>
  <si>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</si>
  <si>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</si>
  <si>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</si>
  <si>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</si>
  <si>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</si>
  <si>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</si>
  <si>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</si>
  <si>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</si>
  <si>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</si>
  <si>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</si>
  <si>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</si>
  <si>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</si>
  <si>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</si>
  <si>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</si>
  <si>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</si>
  <si>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</si>
  <si>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</si>
  <si>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</si>
  <si>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</si>
  <si>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</si>
  <si>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</si>
  <si>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</si>
  <si>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</si>
  <si>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</si>
  <si>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</si>
  <si>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</si>
  <si>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</si>
  <si>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</si>
  <si>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</si>
  <si>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</si>
  <si>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</si>
  <si>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</si>
  <si>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</si>
  <si>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</si>
  <si>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</si>
  <si>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</si>
  <si>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</si>
  <si>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</si>
  <si>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</si>
  <si>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</si>
  <si>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</si>
  <si>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</si>
  <si>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</si>
  <si>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</si>
  <si>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</si>
  <si>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</si>
  <si>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</si>
  <si>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</si>
  <si>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</si>
  <si>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</si>
  <si>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</si>
  <si>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</si>
  <si>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</si>
  <si>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</si>
  <si>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</si>
  <si>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</si>
  <si>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</si>
  <si>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</si>
  <si>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</si>
  <si>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</si>
  <si>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</si>
  <si>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</si>
  <si>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</si>
  <si>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</si>
  <si>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</si>
  <si>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</si>
  <si>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</si>
  <si>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</si>
  <si>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</si>
  <si>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</si>
  <si>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</si>
  <si>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</si>
  <si>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</si>
  <si>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</si>
  <si>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</si>
  <si>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</si>
  <si>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</si>
  <si>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</si>
  <si>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</si>
  <si>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</si>
  <si>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</si>
  <si>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</si>
  <si>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</si>
  <si>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</si>
  <si>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</si>
  <si>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</si>
  <si>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</si>
  <si>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</si>
  <si>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</si>
  <si>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</si>
  <si>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</si>
  <si>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</si>
  <si>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</si>
  <si>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</si>
  <si>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</si>
  <si>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</si>
  <si>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</si>
  <si>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</si>
  <si>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</si>
  <si>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</si>
  <si>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</si>
  <si>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</si>
  <si>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</si>
  <si>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</si>
  <si>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</si>
  <si>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</si>
  <si>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</si>
  <si>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</si>
  <si>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</si>
  <si>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</si>
  <si>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</si>
  <si>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</si>
  <si>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</si>
  <si>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</si>
  <si>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</si>
  <si>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</si>
  <si>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</si>
  <si>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</si>
  <si>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</si>
  <si>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</si>
  <si>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</si>
  <si>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</si>
  <si>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</si>
  <si>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</si>
  <si>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</si>
  <si>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</si>
  <si>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</si>
  <si>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</si>
  <si>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</si>
  <si>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</si>
  <si>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</si>
  <si>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</si>
  <si>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</si>
  <si>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</si>
  <si>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</si>
  <si>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</si>
  <si>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</si>
  <si>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</si>
  <si>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</si>
  <si>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</si>
  <si>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</si>
  <si>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</si>
  <si>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</si>
  <si>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</si>
  <si>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</si>
  <si>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</si>
  <si>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</si>
  <si>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</si>
  <si>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</si>
  <si>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</si>
  <si>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</si>
  <si>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</si>
  <si>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</si>
  <si>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</si>
  <si>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</si>
  <si>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</si>
  <si>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</si>
  <si>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</si>
  <si>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</si>
  <si>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</si>
  <si>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</si>
  <si>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</si>
  <si>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</si>
  <si>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</si>
  <si>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</si>
  <si>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</si>
  <si>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</si>
  <si>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</si>
  <si>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</si>
  <si>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</si>
  <si>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</si>
  <si>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</si>
  <si>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</si>
  <si>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</si>
  <si>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</si>
  <si>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</si>
  <si>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</si>
  <si>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</si>
  <si>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</si>
  <si>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</si>
  <si>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</si>
  <si>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</si>
  <si>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</si>
  <si>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</si>
  <si>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</si>
  <si>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</si>
  <si>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</si>
  <si>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</si>
  <si>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</si>
  <si>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</si>
  <si>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</si>
  <si>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</si>
  <si>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</si>
  <si>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</si>
  <si>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</si>
  <si>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</si>
  <si>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</si>
  <si>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</si>
  <si>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</si>
  <si>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</si>
  <si>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</si>
  <si>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</si>
  <si>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</si>
  <si>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</si>
  <si>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</si>
  <si>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</si>
  <si>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</si>
  <si>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</si>
  <si>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</si>
  <si>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</si>
  <si>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</si>
  <si>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</si>
  <si>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</si>
  <si>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</si>
  <si>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</si>
  <si>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</si>
  <si>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</si>
  <si>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</si>
  <si>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</si>
  <si>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</si>
  <si>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</si>
  <si>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</si>
  <si>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</si>
  <si>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</si>
  <si>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</si>
  <si>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</si>
  <si>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</si>
  <si>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</si>
  <si>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</si>
  <si>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</si>
  <si>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</si>
  <si>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</si>
  <si>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</si>
  <si>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</si>
  <si>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</si>
  <si>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</si>
  <si>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</si>
  <si>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</si>
  <si>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</si>
  <si>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</si>
  <si>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</si>
  <si>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</si>
  <si>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</si>
  <si>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</si>
  <si>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</si>
  <si>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</si>
  <si>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</si>
  <si>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</si>
  <si>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</si>
  <si>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</si>
  <si>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</si>
  <si>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</si>
  <si>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</si>
  <si>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</si>
  <si>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</si>
  <si>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</si>
  <si>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</si>
  <si>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</si>
  <si>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</si>
  <si>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</si>
  <si>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</si>
  <si>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</si>
  <si>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</si>
  <si>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</si>
  <si>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</si>
  <si>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</si>
  <si>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</si>
  <si>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</si>
  <si>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</si>
  <si>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</si>
  <si>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</si>
  <si>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</si>
  <si>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</si>
  <si>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</si>
  <si>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</si>
  <si>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</si>
  <si>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</si>
  <si>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</si>
  <si>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</si>
  <si>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</si>
  <si>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</si>
  <si>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</si>
  <si>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</si>
  <si>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</si>
  <si>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</si>
  <si>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</si>
  <si>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</si>
  <si>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</si>
  <si>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</si>
  <si>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</si>
  <si>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</si>
  <si>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</si>
  <si>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</si>
  <si>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</si>
  <si>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</si>
  <si>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</si>
  <si>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</si>
  <si>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</si>
  <si>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</si>
  <si>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</si>
  <si>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</si>
  <si>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</si>
  <si>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</si>
  <si>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</si>
  <si>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</si>
  <si>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</si>
  <si>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</si>
  <si>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</si>
  <si>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</si>
  <si>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</si>
  <si>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</si>
  <si>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</si>
  <si>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</si>
  <si>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</si>
  <si>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</si>
  <si>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</si>
  <si>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</si>
  <si>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</si>
  <si>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</si>
  <si>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</si>
  <si>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</si>
  <si>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</si>
  <si>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</si>
  <si>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</si>
  <si>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</si>
  <si>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</si>
  <si>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</si>
  <si>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</si>
  <si>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</si>
  <si>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</si>
  <si>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</si>
  <si>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</si>
  <si>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</si>
  <si>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</si>
  <si>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</si>
  <si>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</si>
  <si>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</si>
  <si>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</si>
  <si>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</si>
  <si>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</si>
  <si>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</si>
  <si>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</si>
  <si>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</si>
  <si>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</si>
  <si>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</si>
  <si>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</si>
  <si>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</si>
  <si>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</si>
  <si>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</si>
  <si>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</si>
  <si>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</si>
  <si>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</si>
  <si>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</si>
  <si>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</si>
  <si>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</si>
  <si>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</si>
  <si>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</si>
  <si>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</si>
  <si>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</si>
  <si>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</si>
  <si>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</si>
  <si>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</si>
  <si>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</si>
  <si>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</si>
  <si>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</si>
  <si>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</si>
  <si>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</si>
  <si>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</si>
  <si>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</si>
  <si>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</si>
  <si>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</si>
  <si>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</si>
  <si>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</si>
  <si>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</si>
  <si>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</si>
  <si>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</si>
  <si>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</si>
  <si>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</si>
  <si>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</si>
  <si>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</si>
  <si>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</si>
  <si>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</si>
  <si>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</si>
  <si>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</si>
  <si>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</si>
  <si>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</si>
  <si>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</si>
  <si>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</si>
  <si>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</si>
  <si>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</si>
  <si>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</si>
  <si>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</si>
  <si>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</si>
  <si>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</si>
  <si>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</si>
  <si>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</si>
  <si>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</si>
  <si>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</si>
  <si>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</si>
  <si>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</si>
  <si>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</si>
  <si>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</si>
  <si>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</si>
  <si>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</si>
  <si>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</si>
  <si>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</si>
  <si>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</si>
  <si>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</si>
  <si>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</si>
  <si>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</si>
  <si>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</si>
  <si>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</si>
  <si>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</si>
  <si>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</si>
  <si>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</si>
  <si>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</si>
  <si>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</si>
  <si>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</si>
  <si>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</si>
  <si>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</si>
  <si>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</si>
  <si>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</si>
  <si>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</si>
  <si>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</si>
  <si>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</si>
  <si>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</si>
  <si>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</si>
  <si>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</si>
  <si>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</si>
  <si>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</si>
  <si>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</si>
  <si>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</si>
  <si>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</si>
  <si>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</si>
  <si>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</si>
  <si>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</si>
  <si>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</si>
  <si>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</si>
  <si>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</si>
  <si>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</si>
  <si>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</si>
  <si>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</si>
  <si>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</si>
  <si>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</si>
  <si>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</si>
  <si>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</si>
  <si>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</si>
  <si>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</si>
  <si>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</si>
  <si>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</si>
  <si>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</si>
  <si>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</si>
  <si>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</si>
  <si>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</si>
  <si>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</si>
  <si>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</si>
  <si>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</si>
  <si>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</si>
  <si>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</si>
  <si>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</si>
  <si>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</si>
  <si>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</si>
  <si>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</si>
  <si>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</si>
  <si>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</si>
  <si>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</si>
  <si>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</si>
  <si>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</si>
  <si>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</si>
  <si>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</si>
  <si>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</si>
  <si>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</si>
  <si>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</si>
  <si>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</si>
  <si>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</si>
  <si>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</si>
  <si>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</si>
  <si>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</si>
  <si>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</si>
  <si>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</si>
  <si>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</si>
  <si>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</si>
  <si>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</si>
  <si>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</si>
  <si>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</si>
  <si>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</si>
  <si>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</si>
  <si>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</si>
  <si>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</si>
  <si>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</si>
  <si>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</si>
  <si>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</si>
  <si>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</si>
  <si>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</si>
  <si>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</si>
  <si>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</si>
  <si>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</si>
  <si>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</si>
  <si>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</si>
  <si>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</si>
  <si>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</si>
  <si>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</si>
  <si>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</si>
  <si>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</si>
  <si>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</si>
  <si>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</si>
  <si>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</si>
  <si>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</si>
  <si>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</si>
  <si>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</si>
  <si>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</si>
  <si>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</si>
  <si>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</si>
  <si>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</si>
  <si>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</si>
  <si>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</si>
  <si>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</si>
  <si>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</si>
  <si>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</si>
  <si>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</si>
  <si>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</si>
  <si>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</si>
  <si>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</si>
  <si>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</si>
  <si>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</si>
  <si>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</si>
  <si>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</si>
  <si>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</si>
  <si>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</si>
  <si>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</si>
  <si>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</si>
  <si>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</si>
  <si>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</si>
  <si>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</si>
  <si>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</si>
  <si>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</si>
  <si>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</si>
  <si>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</si>
  <si>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</si>
  <si>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</si>
  <si>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</si>
  <si>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</si>
  <si>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</si>
  <si>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</si>
  <si>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</si>
  <si>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</si>
  <si>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</si>
  <si>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</si>
  <si>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</si>
  <si>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</si>
  <si>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</si>
  <si>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</si>
  <si>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</si>
  <si>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</si>
  <si>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</si>
  <si>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</si>
  <si>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</si>
  <si>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</si>
  <si>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</si>
  <si>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</si>
  <si>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</si>
  <si>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</si>
  <si>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</si>
  <si>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</si>
  <si>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</si>
  <si>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</si>
  <si>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</si>
  <si>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</si>
  <si>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</si>
  <si>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</si>
  <si>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</si>
  <si>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</si>
  <si>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</si>
  <si>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</si>
  <si>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</si>
  <si>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</si>
  <si>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</si>
  <si>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</si>
  <si>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</si>
  <si>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</si>
  <si>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</si>
  <si>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</si>
  <si>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</si>
  <si>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</si>
  <si>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</si>
  <si>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</si>
  <si>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</si>
  <si>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</si>
  <si>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</si>
  <si>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</si>
  <si>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</si>
  <si>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</si>
  <si>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</si>
  <si>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</si>
  <si>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</si>
  <si>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</si>
  <si>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</si>
  <si>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</si>
  <si>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</si>
  <si>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</si>
  <si>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</si>
  <si>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</si>
  <si>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</si>
  <si>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</si>
  <si>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</si>
  <si>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</si>
  <si>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</si>
  <si>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</si>
  <si>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</si>
  <si>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</si>
  <si>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</si>
  <si>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</si>
  <si>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</si>
  <si>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</si>
  <si>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</si>
  <si>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</si>
  <si>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</si>
  <si>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</si>
  <si>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</si>
  <si>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</si>
  <si>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</si>
  <si>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</si>
  <si>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</si>
  <si>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</si>
  <si>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</si>
  <si>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</si>
  <si>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</si>
  <si>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</si>
  <si>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</si>
  <si>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</si>
  <si>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</si>
  <si>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</si>
  <si>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</si>
  <si>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</si>
  <si>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</si>
  <si>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</si>
  <si>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</si>
  <si>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</si>
  <si>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</si>
  <si>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</si>
  <si>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</si>
  <si>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</si>
  <si>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</si>
  <si>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</si>
  <si>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</si>
  <si>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</si>
  <si>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</si>
  <si>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</si>
  <si>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</si>
  <si>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</si>
  <si>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</si>
  <si>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</si>
  <si>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</si>
  <si>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</si>
  <si>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</si>
  <si>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</si>
  <si>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</si>
  <si>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</si>
  <si>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</si>
  <si>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</si>
  <si>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</si>
  <si>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</si>
  <si>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</si>
  <si>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</si>
  <si>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</si>
  <si>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</si>
  <si>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</si>
  <si>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</si>
  <si>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</si>
  <si>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</si>
  <si>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</si>
  <si>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</si>
  <si>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</si>
  <si>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</si>
  <si>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</si>
  <si>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</si>
  <si>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</si>
  <si>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</si>
  <si>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</si>
  <si>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</si>
  <si>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</si>
  <si>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</si>
  <si>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</si>
  <si>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</si>
  <si>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</si>
  <si>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</si>
  <si>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</si>
  <si>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</si>
  <si>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</si>
  <si>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</si>
  <si>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</si>
  <si>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</si>
  <si>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</si>
  <si>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</si>
  <si>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</si>
  <si>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</si>
  <si>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</si>
  <si>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</si>
  <si>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</si>
  <si>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</si>
  <si>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</si>
  <si>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</si>
  <si>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</si>
  <si>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</si>
  <si>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</si>
  <si>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</si>
  <si>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</si>
  <si>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</si>
  <si>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</si>
  <si>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</si>
  <si>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</si>
  <si>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</si>
  <si>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</si>
  <si>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</si>
  <si>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</si>
  <si>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</si>
  <si>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</si>
  <si>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</si>
  <si>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</si>
  <si>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</si>
  <si>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</si>
  <si>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</si>
  <si>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</si>
  <si>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</si>
  <si>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</si>
  <si>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</si>
  <si>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</si>
  <si>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</si>
  <si>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</si>
  <si>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</si>
  <si>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</si>
  <si>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</si>
  <si>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</si>
  <si>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</si>
  <si>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</si>
  <si>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</si>
  <si>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</si>
  <si>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</si>
  <si>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</si>
  <si>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</si>
  <si>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</si>
  <si>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</si>
  <si>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</si>
  <si>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</si>
  <si>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</si>
  <si>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</si>
  <si>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</si>
  <si>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</si>
  <si>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</si>
  <si>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</si>
  <si>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</si>
  <si>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</si>
  <si>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</si>
  <si>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</si>
  <si>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</si>
  <si>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</si>
  <si>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</si>
  <si>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</si>
  <si>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</si>
  <si>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</si>
  <si>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</si>
  <si>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</si>
  <si>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</si>
  <si>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</si>
  <si>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</si>
  <si>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</si>
  <si>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</si>
  <si>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</si>
  <si>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</si>
  <si>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</si>
  <si>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</si>
  <si>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</si>
  <si>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</si>
  <si>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</si>
  <si>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</si>
  <si>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</si>
  <si>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</si>
  <si>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</si>
  <si>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</si>
  <si>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</si>
  <si>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</si>
  <si>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</si>
  <si>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</si>
  <si>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</si>
  <si>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</si>
  <si>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</si>
  <si>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</si>
  <si>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</si>
  <si>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</si>
  <si>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</si>
  <si>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</si>
  <si>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</si>
  <si>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</si>
  <si>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</si>
  <si>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</si>
  <si>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</si>
  <si>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</si>
  <si>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</si>
  <si>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</si>
  <si>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</si>
  <si>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</si>
  <si>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</si>
  <si>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</si>
  <si>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</si>
  <si>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</si>
  <si>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</si>
  <si>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</si>
  <si>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</si>
  <si>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</si>
  <si>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</si>
  <si>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</si>
  <si>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</si>
  <si>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</si>
  <si>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</si>
  <si>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</si>
  <si>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</si>
  <si>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</si>
  <si>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</si>
  <si>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</si>
  <si>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</si>
  <si>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</si>
  <si>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</si>
  <si>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</si>
  <si>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</si>
  <si>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</si>
  <si>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</si>
  <si>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</si>
  <si>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</si>
  <si>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</si>
  <si>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</si>
  <si>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</si>
  <si>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</si>
  <si>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</si>
  <si>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</si>
  <si>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</si>
  <si>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</si>
  <si>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</si>
  <si>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</si>
  <si>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</si>
  <si>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</si>
  <si>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</si>
  <si>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</si>
  <si>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</si>
  <si>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</si>
  <si>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</si>
  <si>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</si>
  <si>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</si>
  <si>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</si>
  <si>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</si>
  <si>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</si>
  <si>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</si>
  <si>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</si>
  <si>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</si>
  <si>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</si>
  <si>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</si>
  <si>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</si>
  <si>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</si>
  <si>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</si>
  <si>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</si>
  <si>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</si>
  <si>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</si>
  <si>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</si>
  <si>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</si>
  <si>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</si>
  <si>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</si>
  <si>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</si>
  <si>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</si>
  <si>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</si>
  <si>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</si>
  <si>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</si>
  <si>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</si>
  <si>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</si>
  <si>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</si>
  <si>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</si>
  <si>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</si>
  <si>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</si>
  <si>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</si>
  <si>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</si>
  <si>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</si>
  <si>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</si>
  <si>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</si>
  <si>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</si>
  <si>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</si>
  <si>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</si>
  <si>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</si>
  <si>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</si>
  <si>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</si>
  <si>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</si>
  <si>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</si>
  <si>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</si>
  <si>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</si>
  <si>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</si>
  <si>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</si>
  <si>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</si>
  <si>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</si>
  <si>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</si>
  <si>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</si>
  <si>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</si>
  <si>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</si>
  <si>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</si>
  <si>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</si>
  <si>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</si>
  <si>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</si>
  <si>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</si>
  <si>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</si>
  <si>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</si>
  <si>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</si>
  <si>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</si>
  <si>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</si>
  <si>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</si>
  <si>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</si>
  <si>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</si>
  <si>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</si>
  <si>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</si>
  <si>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</si>
  <si>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</si>
  <si>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</si>
  <si>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</si>
  <si>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</si>
  <si>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</si>
  <si>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</si>
  <si>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</si>
  <si>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</si>
  <si>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</si>
  <si>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</si>
  <si>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</si>
  <si>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</si>
  <si>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</si>
  <si>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</si>
  <si>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</si>
  <si>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</si>
  <si>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</si>
  <si>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</si>
  <si>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</si>
  <si>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</si>
  <si>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</si>
  <si>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</si>
  <si>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</si>
  <si>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</si>
  <si>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</si>
  <si>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</si>
  <si>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</si>
  <si>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</si>
  <si>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</si>
  <si>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</si>
  <si>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</si>
  <si>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</si>
  <si>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</si>
  <si>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</si>
  <si>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</si>
  <si>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</si>
  <si>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</si>
  <si>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</si>
  <si>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</si>
  <si>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</si>
  <si>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</si>
  <si>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</si>
  <si>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</si>
  <si>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</si>
  <si>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</si>
  <si>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</si>
  <si>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</si>
  <si>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</si>
  <si>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</si>
  <si>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</si>
  <si>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</si>
  <si>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</si>
  <si>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</si>
  <si>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</si>
  <si>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</si>
  <si>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</si>
  <si>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</si>
  <si>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</si>
  <si>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</si>
  <si>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</si>
  <si>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</si>
  <si>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</si>
  <si>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</si>
  <si>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</si>
  <si>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</si>
  <si>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</si>
  <si>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</si>
  <si>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</si>
  <si>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</si>
  <si>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</si>
  <si>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</si>
  <si>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</si>
  <si>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</si>
  <si>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</si>
  <si>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</si>
  <si>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</si>
  <si>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</si>
  <si>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</si>
  <si>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</si>
  <si>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</si>
  <si>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</si>
  <si>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</si>
  <si>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</si>
  <si>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</si>
  <si>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</si>
  <si>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</si>
  <si>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</si>
  <si>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</si>
  <si>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</si>
  <si>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</si>
  <si>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</si>
  <si>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</si>
  <si>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</si>
  <si>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</si>
  <si>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</si>
  <si>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</si>
  <si>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</si>
  <si>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</si>
  <si>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</si>
  <si>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</si>
  <si>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</si>
  <si>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</si>
  <si>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</si>
  <si>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</si>
  <si>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</si>
  <si>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</si>
  <si>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</si>
  <si>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</si>
  <si>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</si>
  <si>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</si>
  <si>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</si>
  <si>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</si>
  <si>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</si>
  <si>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</si>
  <si>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</si>
  <si>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</si>
  <si>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</si>
  <si>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</si>
  <si>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</si>
  <si>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</si>
  <si>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</si>
  <si>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</si>
  <si>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</si>
  <si>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</si>
  <si>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</si>
  <si>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</si>
  <si>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</si>
  <si>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</si>
  <si>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</si>
  <si>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</si>
  <si>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</si>
  <si>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</si>
  <si>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</si>
  <si>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</si>
  <si>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</si>
  <si>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</si>
  <si>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</si>
  <si>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</si>
  <si>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</si>
  <si>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</si>
  <si>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</si>
  <si>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</si>
  <si>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</si>
  <si>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</si>
  <si>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</si>
  <si>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</si>
  <si>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</si>
  <si>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</si>
  <si>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</si>
  <si>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</si>
  <si>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</si>
  <si>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</si>
  <si>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</si>
  <si>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</si>
  <si>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</si>
  <si>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</si>
  <si>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</si>
  <si>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</si>
  <si>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</si>
  <si>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</si>
  <si>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</si>
  <si>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</si>
  <si>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</si>
  <si>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</si>
  <si>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</si>
  <si>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</si>
  <si>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</si>
  <si>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</si>
  <si>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</si>
  <si>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</si>
  <si>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</si>
  <si>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</si>
  <si>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</si>
  <si>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</si>
  <si>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</si>
  <si>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</si>
  <si>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</si>
  <si>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</si>
  <si>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</si>
  <si>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</si>
  <si>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</si>
  <si>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</si>
  <si>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</si>
  <si>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</si>
  <si>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</si>
  <si>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</si>
  <si>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</si>
  <si>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</si>
  <si>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</si>
  <si>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</si>
  <si>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</si>
  <si>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</si>
  <si>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</si>
  <si>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</si>
  <si>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</si>
  <si>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</si>
  <si>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</si>
  <si>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</si>
  <si>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</si>
  <si>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</si>
  <si>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</si>
  <si>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</si>
  <si>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</si>
  <si>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</si>
  <si>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</si>
  <si>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</si>
  <si>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</si>
  <si>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</si>
  <si>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</si>
  <si>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</si>
  <si>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</si>
  <si>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</si>
  <si>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</si>
  <si>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</si>
  <si>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</si>
  <si>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</si>
  <si>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</si>
  <si>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</si>
  <si>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</si>
  <si>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</si>
  <si>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</si>
  <si>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</si>
  <si>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</si>
  <si>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</si>
  <si>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</si>
  <si>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</si>
  <si>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</si>
  <si>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</si>
  <si>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</si>
  <si>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</si>
  <si>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</si>
  <si>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</si>
  <si>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</si>
  <si>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</si>
  <si>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</si>
  <si>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</si>
  <si>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</si>
  <si>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</si>
  <si>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</si>
  <si>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</si>
  <si>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</si>
  <si>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</si>
  <si>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</si>
  <si>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</si>
  <si>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</si>
  <si>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</si>
  <si>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</si>
  <si>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</si>
  <si>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</si>
  <si>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</si>
  <si>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</si>
  <si>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</si>
  <si>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</si>
  <si>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</si>
  <si>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</si>
  <si>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</si>
  <si>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</si>
  <si>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</si>
  <si>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</si>
  <si>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</si>
  <si>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</si>
  <si>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</si>
  <si>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</si>
  <si>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</si>
  <si>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</si>
  <si>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</si>
  <si>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</si>
  <si>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</si>
  <si>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</si>
  <si>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</si>
  <si>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</si>
  <si>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</si>
  <si>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</si>
  <si>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</si>
  <si>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</si>
  <si>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</si>
  <si>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</si>
  <si>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</si>
  <si>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</si>
  <si>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</si>
  <si>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</si>
  <si>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</si>
  <si>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</si>
  <si>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</si>
  <si>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</si>
  <si>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</si>
  <si>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</si>
  <si>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</si>
  <si>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</si>
  <si>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</si>
  <si>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</si>
  <si>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</si>
  <si>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</si>
  <si>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</si>
  <si>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</si>
  <si>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</si>
  <si>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</si>
  <si>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</si>
  <si>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</si>
  <si>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</si>
  <si>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</si>
  <si>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</si>
  <si>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</si>
  <si>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</si>
  <si>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</si>
  <si>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</si>
  <si>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</si>
  <si>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</si>
  <si>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</si>
  <si>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</si>
  <si>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</si>
  <si>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</si>
  <si>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</si>
  <si>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</si>
  <si>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</si>
  <si>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</si>
  <si>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</si>
  <si>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</si>
  <si>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</si>
  <si>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</si>
  <si>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</si>
  <si>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</si>
  <si>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</si>
  <si>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</si>
  <si>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</si>
  <si>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</si>
  <si>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</si>
  <si>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</si>
  <si>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</si>
  <si>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</si>
  <si>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</si>
  <si>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</si>
  <si>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</si>
  <si>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</si>
  <si>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</si>
  <si>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</si>
  <si>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</si>
  <si>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</si>
  <si>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</si>
  <si>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</si>
  <si>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</si>
  <si>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</si>
  <si>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</si>
  <si>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</si>
  <si>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</si>
  <si>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</si>
  <si>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</si>
  <si>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</si>
  <si>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</si>
  <si>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</si>
  <si>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</si>
  <si>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</si>
  <si>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</si>
  <si>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</si>
  <si>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</si>
  <si>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</si>
  <si>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</si>
  <si>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</si>
  <si>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</si>
  <si>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</si>
  <si>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</si>
  <si>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</si>
  <si>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</si>
  <si>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</si>
  <si>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</si>
  <si>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</si>
  <si>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</si>
  <si>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</si>
  <si>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</si>
  <si>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</si>
  <si>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</si>
  <si>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</si>
  <si>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</si>
  <si>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</si>
  <si>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</si>
  <si>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</si>
  <si>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</si>
  <si>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</si>
  <si>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</si>
  <si>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</si>
  <si>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</si>
  <si>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</si>
  <si>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</si>
  <si>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</si>
  <si>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</si>
  <si>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</si>
  <si>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</si>
  <si>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</si>
  <si>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</si>
  <si>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</si>
  <si>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</si>
  <si>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</si>
  <si>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</si>
  <si>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</si>
  <si>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</si>
  <si>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</si>
  <si>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</si>
  <si>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</si>
  <si>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</si>
  <si>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</si>
  <si>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</si>
  <si>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</si>
  <si>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</si>
  <si>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</si>
  <si>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</si>
  <si>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</si>
  <si>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</si>
  <si>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</si>
  <si>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</si>
  <si>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</si>
  <si>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</si>
  <si>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</si>
  <si>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</si>
  <si>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</si>
  <si>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</si>
  <si>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</si>
  <si>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</si>
  <si>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</si>
  <si>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</si>
  <si>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</si>
  <si>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</si>
  <si>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</si>
  <si>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</si>
  <si>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</si>
  <si>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</si>
  <si>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</si>
  <si>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</si>
  <si>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</si>
  <si>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</si>
  <si>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</si>
  <si>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</si>
  <si>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</si>
  <si>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</si>
  <si>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</si>
  <si>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</si>
  <si>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</si>
  <si>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</si>
  <si>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</si>
  <si>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</si>
  <si>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</si>
  <si>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</si>
  <si>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</si>
  <si>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</si>
  <si>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</si>
  <si>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</si>
  <si>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</si>
  <si>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</si>
  <si>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</si>
  <si>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</si>
  <si>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</si>
  <si>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</si>
  <si>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</si>
  <si>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</si>
  <si>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</si>
  <si>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</si>
  <si>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</si>
  <si>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</si>
  <si>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</si>
  <si>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</si>
  <si>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</si>
  <si>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</si>
  <si>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</si>
  <si>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</si>
  <si>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</si>
  <si>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</si>
  <si>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</si>
  <si>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</si>
  <si>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</si>
  <si>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</si>
  <si>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</si>
  <si>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</si>
  <si>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</si>
  <si>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</si>
  <si>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</si>
  <si>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</si>
  <si>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</si>
  <si>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</si>
  <si>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</si>
  <si>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</si>
  <si>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</si>
  <si>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</si>
  <si>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</si>
  <si>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</si>
  <si>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</si>
  <si>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</si>
  <si>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</si>
  <si>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</si>
  <si>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</si>
  <si>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</si>
  <si>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</si>
  <si>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</si>
  <si>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</si>
  <si>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</si>
  <si>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</si>
  <si>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</si>
  <si>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</si>
  <si>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</si>
  <si>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</si>
  <si>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</si>
  <si>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</si>
  <si>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</si>
  <si>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</si>
  <si>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</si>
  <si>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</si>
  <si>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</si>
  <si>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</si>
  <si>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</si>
  <si>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</si>
  <si>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</si>
  <si>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</si>
  <si>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</si>
  <si>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</si>
  <si>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</si>
  <si>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</si>
  <si>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</si>
  <si>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</si>
  <si>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</si>
  <si>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</si>
  <si>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</si>
  <si>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</si>
  <si>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</si>
  <si>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</si>
  <si>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</si>
  <si>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</si>
  <si>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</si>
  <si>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</si>
  <si>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</si>
  <si>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</si>
  <si>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</si>
  <si>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</si>
  <si>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</si>
  <si>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</si>
  <si>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</si>
  <si>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</si>
  <si>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</si>
  <si>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</si>
  <si>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</si>
  <si>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</si>
  <si>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</si>
  <si>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</si>
  <si>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</si>
  <si>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</si>
  <si>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</si>
  <si>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</si>
  <si>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</si>
  <si>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</si>
  <si>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</si>
  <si>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</si>
  <si>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</si>
  <si>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</si>
  <si>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</si>
  <si>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</si>
  <si>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</si>
  <si>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</si>
  <si>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</si>
  <si>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</si>
  <si>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</si>
  <si>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</si>
  <si>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</si>
  <si>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</si>
  <si>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</si>
  <si>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</si>
  <si>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</si>
  <si>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</si>
  <si>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</si>
  <si>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</si>
  <si>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</si>
  <si>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</si>
  <si>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</si>
  <si>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</si>
  <si>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</si>
  <si>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</si>
  <si>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</si>
  <si>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</si>
  <si>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</si>
  <si>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</si>
  <si>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</si>
  <si>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</si>
  <si>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</si>
  <si>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</si>
  <si>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</si>
  <si>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</si>
  <si>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</si>
  <si>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</si>
  <si>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</si>
  <si>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</si>
  <si>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</si>
  <si>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</si>
  <si>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</si>
  <si>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</si>
  <si>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</si>
  <si>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</si>
  <si>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</si>
  <si>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</si>
  <si>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</si>
  <si>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</si>
  <si>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</si>
  <si>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</si>
  <si>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</si>
  <si>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</si>
  <si>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</si>
  <si>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</si>
  <si>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</si>
  <si>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</si>
  <si>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</si>
  <si>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</si>
  <si>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</si>
  <si>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</si>
  <si>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</si>
  <si>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</si>
  <si>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</si>
  <si>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</si>
  <si>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</si>
  <si>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</si>
  <si>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</si>
  <si>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</si>
  <si>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</si>
  <si>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</si>
  <si>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</si>
  <si>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</si>
  <si>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</si>
  <si>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</si>
  <si>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</si>
  <si>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</si>
  <si>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</si>
  <si>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</si>
  <si>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</si>
  <si>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</si>
  <si>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</si>
  <si>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</si>
  <si>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</si>
  <si>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</si>
  <si>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</si>
  <si>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</si>
  <si>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</si>
  <si>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</si>
  <si>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</si>
  <si>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</si>
  <si>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</si>
  <si>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</si>
  <si>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</si>
  <si>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</si>
  <si>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</si>
  <si>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</si>
  <si>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</si>
  <si>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</si>
  <si>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</si>
  <si>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</si>
  <si>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</si>
  <si>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</si>
  <si>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</si>
  <si>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</si>
  <si>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</si>
  <si>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</si>
  <si>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</si>
  <si>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</si>
  <si>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</si>
  <si>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</si>
  <si>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</si>
  <si>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</si>
  <si>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</si>
  <si>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</si>
  <si>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</si>
  <si>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</si>
  <si>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</si>
  <si>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</si>
  <si>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</si>
  <si>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</si>
  <si>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</si>
  <si>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</si>
  <si>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</si>
  <si>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</si>
  <si>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</si>
  <si>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</si>
  <si>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</si>
  <si>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</si>
  <si>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</si>
  <si>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</si>
  <si>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</si>
  <si>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</si>
  <si>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</si>
  <si>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</si>
  <si>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</si>
  <si>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</si>
  <si>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</si>
  <si>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</si>
  <si>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</si>
  <si>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</si>
  <si>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</si>
  <si>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</si>
  <si>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</si>
  <si>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</si>
  <si>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</si>
  <si>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</si>
  <si>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</si>
  <si>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</si>
  <si>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</si>
  <si>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</si>
  <si>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</si>
  <si>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</si>
  <si>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</si>
  <si>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</si>
  <si>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</si>
  <si>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</si>
  <si>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</si>
  <si>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</si>
  <si>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</si>
  <si>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</si>
  <si>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</si>
  <si>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</si>
  <si>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</si>
  <si>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</si>
  <si>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</si>
  <si>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</si>
  <si>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</si>
  <si>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</si>
  <si>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</si>
  <si>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</si>
  <si>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</si>
  <si>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</si>
  <si>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</si>
  <si>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</si>
  <si>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</si>
  <si>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</si>
  <si>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</si>
  <si>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</si>
  <si>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</si>
  <si>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</si>
  <si>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</si>
  <si>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</si>
  <si>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</si>
  <si>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</si>
  <si>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</si>
  <si>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</si>
  <si>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</si>
  <si>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</si>
  <si>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</si>
  <si>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</si>
  <si>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</si>
  <si>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</si>
  <si>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</si>
  <si>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</si>
  <si>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</si>
  <si>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</si>
  <si>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</si>
  <si>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</si>
  <si>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</si>
  <si>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</si>
  <si>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</si>
  <si>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</si>
  <si>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</si>
  <si>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</si>
  <si>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</si>
  <si>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</si>
  <si>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</si>
  <si>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</si>
  <si>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</si>
  <si>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</si>
  <si>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</si>
  <si>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</si>
  <si>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</si>
  <si>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</si>
  <si>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</si>
  <si>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</si>
  <si>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</si>
  <si>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</si>
  <si>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</si>
  <si>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</si>
  <si>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</si>
  <si>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</si>
  <si>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</si>
  <si>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</si>
  <si>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</si>
  <si>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</si>
  <si>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</si>
  <si>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</si>
  <si>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</si>
  <si>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</si>
  <si>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</si>
  <si>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</si>
  <si>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</si>
  <si>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</si>
  <si>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</si>
  <si>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</si>
  <si>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</si>
  <si>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</si>
  <si>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</si>
  <si>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</si>
  <si>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</si>
  <si>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</si>
  <si>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</si>
  <si>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</si>
  <si>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</si>
  <si>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</si>
  <si>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</si>
  <si>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</si>
  <si>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</si>
  <si>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</si>
  <si>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</si>
  <si>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</si>
  <si>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</si>
  <si>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</si>
  <si>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</si>
  <si>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</si>
  <si>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</si>
  <si>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</si>
  <si>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</si>
  <si>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</si>
  <si>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</si>
  <si>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</si>
  <si>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</si>
  <si>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</si>
  <si>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</si>
  <si>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</si>
  <si>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</si>
  <si>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</si>
  <si>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</si>
  <si>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</si>
  <si>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</si>
  <si>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</si>
  <si>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</si>
  <si>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</si>
  <si>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</si>
  <si>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</si>
  <si>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</si>
  <si>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</si>
  <si>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</si>
  <si>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</si>
  <si>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</si>
  <si>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</si>
  <si>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</si>
  <si>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</si>
  <si>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</si>
  <si>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</si>
  <si>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</si>
  <si>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</si>
  <si>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</si>
  <si>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</si>
  <si>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</si>
  <si>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</si>
  <si>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</si>
  <si>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</si>
  <si>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</si>
  <si>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</si>
  <si>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</si>
  <si>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</si>
  <si>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</si>
  <si>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</si>
  <si>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</si>
  <si>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</si>
  <si>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</si>
  <si>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</si>
  <si>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</si>
  <si>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</si>
  <si>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</si>
  <si>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</si>
  <si>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</si>
  <si>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</si>
  <si>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</si>
  <si>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</si>
  <si>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</si>
  <si>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</si>
  <si>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</si>
  <si>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</si>
  <si>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</si>
  <si>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</si>
  <si>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</si>
  <si>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</si>
  <si>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</si>
  <si>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</si>
  <si>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</si>
  <si>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</si>
  <si>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</si>
  <si>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</si>
  <si>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</si>
  <si>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</si>
  <si>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</si>
  <si>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</si>
  <si>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</si>
  <si>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</si>
  <si>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</si>
  <si>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</si>
  <si>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</si>
  <si>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</si>
  <si>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</si>
  <si>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</si>
  <si>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</si>
  <si>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</si>
  <si>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</si>
  <si>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</si>
  <si>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</si>
  <si>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</si>
  <si>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</si>
  <si>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</si>
  <si>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</si>
  <si>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</si>
  <si>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</si>
  <si>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</si>
  <si>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</si>
  <si>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</si>
  <si>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</si>
  <si>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</si>
  <si>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</si>
  <si>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</si>
  <si>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</si>
  <si>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</si>
  <si>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</si>
  <si>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</si>
  <si>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</si>
  <si>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</si>
  <si>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</si>
  <si>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</si>
  <si>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</si>
  <si>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</si>
  <si>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</si>
  <si>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</si>
  <si>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</si>
  <si>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</si>
  <si>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</si>
  <si>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</si>
  <si>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</si>
  <si>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</si>
  <si>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</si>
  <si>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</si>
  <si>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</si>
  <si>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</si>
  <si>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</si>
  <si>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</si>
  <si>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</si>
  <si>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</si>
  <si>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</si>
  <si>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</si>
  <si>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</si>
  <si>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</si>
  <si>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</si>
  <si>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</si>
  <si>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</si>
  <si>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</si>
  <si>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</si>
  <si>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</si>
  <si>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</si>
  <si>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</si>
  <si>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</si>
  <si>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</si>
  <si>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</si>
  <si>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</si>
  <si>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</si>
  <si>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</si>
  <si>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</si>
  <si>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</si>
  <si>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</si>
  <si>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</si>
  <si>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</si>
  <si>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</si>
  <si>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</si>
  <si>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</si>
  <si>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</si>
  <si>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</si>
  <si>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</si>
  <si>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</si>
  <si>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</si>
  <si>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</si>
  <si>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</si>
  <si>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</si>
  <si>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</si>
  <si>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</si>
  <si>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</si>
  <si>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</si>
  <si>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</si>
  <si>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</si>
  <si>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</si>
  <si>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</si>
  <si>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</si>
  <si>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</si>
  <si>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</si>
  <si>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</si>
  <si>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</si>
  <si>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</si>
  <si>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</si>
  <si>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</si>
  <si>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</si>
  <si>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</si>
  <si>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</si>
  <si>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</si>
  <si>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</si>
  <si>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</si>
  <si>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</si>
  <si>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</si>
  <si>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</si>
  <si>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</si>
  <si>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</si>
  <si>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</si>
  <si>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</si>
  <si>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</si>
  <si>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</si>
  <si>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</si>
  <si>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</si>
  <si>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</si>
  <si>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</si>
  <si>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</si>
  <si>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</si>
  <si>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</si>
  <si>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</si>
  <si>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</si>
  <si>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</si>
  <si>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</si>
  <si>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</si>
  <si>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</si>
  <si>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</si>
  <si>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</si>
  <si>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</si>
  <si>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</si>
  <si>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</si>
  <si>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</si>
  <si>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</si>
  <si>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</si>
  <si>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</si>
  <si>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</si>
  <si>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</si>
  <si>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</si>
  <si>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</si>
  <si>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</si>
  <si>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</si>
  <si>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</si>
  <si>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</si>
  <si>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</si>
  <si>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</si>
  <si>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</si>
  <si>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</si>
  <si>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</si>
  <si>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</si>
  <si>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</si>
  <si>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</si>
  <si>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</si>
  <si>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</si>
  <si>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</si>
  <si>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</si>
  <si>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</si>
  <si>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</si>
  <si>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</si>
  <si>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</si>
  <si>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</si>
  <si>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</si>
  <si>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</si>
  <si>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</si>
  <si>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</si>
  <si>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</si>
  <si>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</si>
  <si>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</si>
  <si>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</si>
  <si>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</si>
  <si>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</si>
  <si>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</si>
  <si>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</si>
  <si>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</si>
  <si>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</si>
  <si>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</si>
  <si>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</si>
  <si>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</si>
  <si>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</si>
  <si>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</si>
  <si>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</si>
  <si>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</si>
  <si>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</si>
  <si>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</si>
  <si>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</si>
  <si>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</si>
  <si>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</si>
  <si>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</si>
  <si>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</si>
  <si>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</si>
  <si>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</si>
  <si>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</si>
  <si>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</si>
  <si>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</si>
  <si>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</si>
  <si>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</si>
  <si>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</si>
  <si>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</si>
  <si>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</si>
  <si>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</si>
  <si>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</si>
  <si>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</si>
  <si>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</si>
  <si>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</si>
  <si>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</si>
  <si>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</si>
  <si>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</si>
  <si>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</si>
  <si>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</si>
  <si>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</si>
  <si>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</si>
  <si>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</si>
  <si>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</si>
  <si>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</si>
  <si>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</si>
  <si>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</si>
  <si>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</si>
  <si>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</si>
  <si>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</si>
  <si>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</si>
  <si>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</si>
  <si>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</si>
  <si>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</si>
  <si>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</si>
  <si>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</si>
  <si>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</si>
  <si>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</si>
  <si>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</si>
  <si>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</si>
  <si>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</si>
  <si>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</si>
  <si>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</si>
  <si>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</si>
  <si>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</si>
  <si>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</si>
  <si>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</si>
  <si>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</si>
  <si>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</si>
  <si>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</si>
  <si>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</si>
  <si>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</si>
  <si>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</si>
  <si>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</si>
  <si>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</si>
  <si>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</si>
  <si>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</si>
  <si>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</si>
  <si>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</si>
  <si>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</si>
  <si>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</si>
  <si>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</si>
  <si>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</si>
  <si>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</si>
  <si>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</si>
  <si>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</si>
  <si>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</si>
  <si>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</si>
  <si>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</si>
  <si>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</si>
  <si>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</si>
  <si>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</si>
  <si>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</si>
  <si>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</si>
  <si>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</si>
  <si>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</si>
  <si>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</si>
  <si>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</si>
  <si>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</si>
  <si>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</si>
  <si>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</si>
  <si>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</si>
  <si>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</si>
  <si>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</si>
  <si>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</si>
  <si>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</si>
  <si>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</si>
  <si>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</si>
  <si>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</si>
  <si>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</si>
  <si>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</si>
  <si>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</si>
  <si>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</si>
  <si>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</si>
  <si>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</si>
  <si>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</si>
  <si>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</si>
  <si>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</si>
  <si>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</si>
  <si>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</si>
  <si>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</si>
  <si>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</si>
  <si>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</si>
  <si>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</si>
  <si>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</si>
  <si>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</si>
  <si>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</si>
  <si>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</si>
  <si>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</si>
  <si>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</si>
  <si>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</si>
  <si>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</si>
  <si>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</si>
  <si>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</si>
  <si>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</si>
  <si>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</si>
  <si>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</si>
  <si>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</si>
  <si>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</si>
  <si>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</si>
  <si>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</si>
  <si>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</si>
  <si>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</si>
  <si>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</si>
  <si>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</si>
  <si>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</si>
  <si>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</si>
  <si>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</si>
  <si>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</si>
  <si>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</si>
  <si>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</si>
  <si>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</si>
  <si>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</si>
  <si>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</si>
  <si>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</si>
  <si>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</si>
  <si>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</si>
  <si>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</si>
  <si>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</si>
  <si>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</si>
  <si>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</si>
  <si>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</si>
  <si>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</si>
  <si>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</si>
  <si>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</si>
  <si>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</si>
  <si>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</si>
  <si>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</si>
  <si>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</si>
  <si>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</si>
  <si>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</si>
  <si>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</si>
  <si>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</si>
  <si>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</si>
  <si>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</si>
  <si>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</si>
  <si>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</si>
  <si>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</si>
  <si>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</si>
  <si>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</si>
  <si>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</si>
  <si>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</si>
  <si>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</si>
  <si>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</si>
  <si>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</si>
  <si>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</si>
  <si>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</si>
  <si>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</si>
  <si>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</si>
  <si>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</si>
  <si>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</si>
  <si>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</si>
  <si>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</si>
  <si>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</si>
  <si>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</si>
  <si>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</si>
  <si>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</si>
  <si>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</si>
  <si>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</si>
  <si>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</si>
  <si>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</si>
  <si>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</si>
  <si>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</si>
  <si>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</si>
  <si>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</si>
  <si>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</si>
  <si>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</si>
  <si>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</si>
  <si>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</si>
  <si>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</si>
  <si>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</si>
  <si>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</si>
  <si>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</si>
  <si>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</si>
  <si>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</si>
  <si>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</si>
  <si>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</si>
  <si>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</si>
  <si>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</si>
  <si>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</si>
  <si>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</si>
  <si>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</si>
  <si>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</si>
  <si>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</si>
  <si>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</si>
  <si>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</si>
  <si>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</si>
  <si>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</si>
  <si>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</si>
  <si>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</si>
  <si>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</si>
  <si>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</si>
  <si>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</si>
  <si>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</si>
  <si>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</si>
  <si>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</si>
  <si>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</si>
  <si>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</si>
  <si>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</si>
  <si>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</si>
  <si>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</si>
  <si>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</si>
  <si>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</si>
  <si>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</si>
  <si>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</si>
  <si>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</si>
  <si>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</si>
  <si>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</si>
  <si>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</si>
  <si>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</si>
  <si>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</si>
  <si>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</si>
  <si>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</si>
  <si>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</si>
  <si>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</si>
  <si>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</si>
  <si>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</si>
  <si>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</si>
  <si>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</si>
  <si>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</si>
  <si>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</si>
  <si>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</si>
  <si>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</si>
  <si>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</si>
  <si>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</si>
  <si>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</si>
  <si>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</si>
  <si>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</si>
  <si>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</si>
  <si>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</si>
  <si>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</si>
  <si>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</si>
  <si>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</si>
  <si>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</si>
  <si>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</si>
  <si>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</si>
  <si>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</si>
  <si>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</si>
  <si>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</si>
  <si>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</si>
  <si>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</si>
  <si>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</si>
  <si>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</si>
  <si>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</si>
  <si>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</si>
  <si>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</si>
  <si>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</si>
  <si>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</si>
  <si>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</si>
  <si>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</si>
  <si>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</si>
  <si>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</si>
  <si>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</si>
  <si>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</si>
  <si>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</si>
  <si>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</si>
  <si>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</si>
  <si>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</si>
  <si>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</si>
  <si>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</si>
  <si>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</si>
  <si>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</si>
  <si>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</si>
  <si>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</si>
  <si>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</si>
  <si>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</si>
  <si>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</si>
  <si>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</si>
  <si>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</si>
  <si>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</si>
  <si>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</si>
  <si>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</si>
  <si>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</si>
  <si>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</si>
  <si>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</si>
  <si>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</si>
  <si>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</si>
  <si>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</si>
  <si>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</si>
  <si>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</si>
  <si>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</si>
  <si>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</si>
  <si>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</si>
  <si>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</si>
  <si>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</si>
  <si>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</si>
  <si>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</si>
  <si>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</si>
  <si>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</si>
  <si>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</si>
  <si>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</si>
  <si>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</si>
  <si>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</si>
  <si>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</si>
  <si>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</si>
  <si>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</si>
  <si>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</si>
  <si>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</si>
  <si>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</si>
  <si>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</si>
  <si>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</si>
  <si>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</si>
  <si>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</si>
  <si>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</si>
  <si>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</si>
  <si>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</si>
  <si>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</si>
  <si>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</si>
  <si>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</si>
  <si>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</si>
  <si>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</si>
  <si>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</si>
  <si>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</si>
  <si>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</si>
  <si>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</si>
  <si>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</si>
  <si>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</si>
  <si>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</si>
  <si>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</si>
  <si>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</si>
  <si>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</si>
  <si>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</si>
  <si>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</si>
  <si>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</si>
  <si>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</si>
  <si>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</si>
  <si>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</si>
  <si>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</si>
  <si>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</si>
  <si>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</si>
  <si>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</si>
  <si>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</si>
  <si>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</si>
  <si>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</si>
  <si>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</si>
  <si>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</si>
  <si>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</si>
  <si>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</si>
  <si>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</si>
  <si>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</si>
  <si>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</si>
  <si>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</si>
  <si>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</si>
  <si>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</si>
  <si>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</si>
  <si>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</si>
  <si>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</si>
  <si>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</si>
  <si>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</si>
  <si>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</si>
  <si>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</si>
  <si>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</si>
  <si>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</si>
  <si>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</si>
  <si>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</si>
  <si>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</si>
  <si>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</si>
  <si>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</si>
  <si>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</si>
  <si>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</si>
  <si>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</si>
  <si>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</si>
  <si>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</si>
  <si>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</si>
  <si>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</si>
  <si>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</si>
  <si>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</si>
  <si>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</si>
  <si>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</si>
  <si>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</si>
  <si>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</si>
  <si>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</si>
  <si>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</si>
  <si>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</si>
  <si>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</si>
  <si>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</si>
  <si>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</si>
  <si>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</si>
  <si>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</si>
  <si>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</si>
  <si>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</si>
  <si>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</si>
  <si>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</si>
  <si>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</si>
  <si>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</si>
  <si>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</si>
  <si>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</si>
  <si>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</si>
  <si>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</si>
  <si>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</si>
  <si>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</si>
  <si>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</si>
  <si>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</si>
  <si>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</si>
  <si>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</si>
  <si>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</si>
  <si>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</si>
  <si>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</si>
  <si>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</si>
  <si>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</si>
  <si>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</si>
  <si>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</si>
  <si>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</si>
  <si>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</si>
  <si>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</si>
  <si>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</si>
  <si>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</si>
  <si>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</si>
  <si>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</si>
  <si>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</si>
  <si>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</si>
  <si>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</si>
  <si>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</si>
  <si>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</si>
  <si>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</si>
  <si>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</si>
  <si>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</si>
  <si>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</si>
  <si>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</si>
  <si>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</si>
  <si>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</si>
  <si>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</si>
  <si>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</si>
  <si>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</si>
  <si>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</si>
  <si>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</si>
  <si>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</si>
  <si>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</si>
  <si>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</si>
  <si>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</si>
  <si>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</si>
  <si>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</si>
  <si>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</si>
  <si>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</si>
  <si>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</si>
  <si>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</si>
  <si>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</si>
  <si>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</si>
  <si>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</si>
  <si>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</si>
  <si>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</si>
  <si>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</si>
  <si>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</si>
  <si>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</si>
  <si>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</si>
  <si>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</si>
  <si>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</si>
  <si>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</si>
  <si>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</si>
  <si>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</si>
  <si>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</si>
  <si>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</si>
  <si>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</si>
  <si>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</si>
  <si>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</si>
  <si>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</si>
  <si>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</si>
  <si>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</si>
  <si>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</si>
  <si>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</si>
  <si>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</si>
  <si>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</si>
  <si>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</si>
  <si>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</si>
  <si>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</si>
  <si>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</si>
  <si>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</si>
  <si>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</si>
  <si>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</si>
  <si>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</si>
  <si>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</si>
  <si>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</si>
  <si>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</si>
  <si>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</si>
  <si>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</si>
  <si>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</si>
  <si>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</si>
  <si>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</si>
  <si>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</si>
  <si>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</si>
  <si>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</si>
  <si>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</si>
  <si>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</si>
  <si>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</si>
  <si>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</si>
  <si>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</si>
  <si>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</si>
  <si>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</si>
  <si>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</si>
  <si>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</si>
  <si>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</si>
  <si>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</si>
  <si>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</si>
  <si>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</si>
  <si>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</si>
  <si>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</si>
  <si>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</si>
  <si>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</si>
  <si>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</si>
  <si>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</si>
  <si>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</si>
  <si>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</si>
  <si>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</si>
  <si>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</si>
  <si>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</si>
  <si>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</si>
  <si>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</si>
  <si>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</si>
  <si>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</si>
  <si>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</si>
  <si>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</si>
  <si>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</si>
  <si>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</si>
  <si>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</si>
  <si>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</si>
  <si>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</si>
  <si>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</si>
  <si>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</si>
  <si>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</si>
  <si>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</si>
  <si>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</si>
  <si>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</si>
  <si>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</si>
  <si>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</si>
  <si>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</si>
  <si>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</si>
  <si>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</si>
  <si>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</si>
  <si>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</si>
  <si>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</si>
  <si>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</si>
  <si>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</si>
  <si>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</si>
  <si>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</si>
  <si>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</si>
  <si>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</si>
  <si>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</si>
  <si>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</si>
  <si>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</si>
  <si>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</si>
  <si>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</si>
  <si>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</si>
  <si>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</si>
  <si>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</si>
  <si>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</si>
  <si>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</si>
  <si>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</si>
  <si>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</si>
  <si>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</si>
  <si>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</si>
  <si>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</si>
  <si>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</si>
  <si>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</si>
  <si>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</si>
  <si>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</si>
  <si>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</si>
  <si>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</si>
  <si>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</si>
  <si>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</si>
  <si>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</si>
  <si>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</si>
  <si>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</si>
  <si>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</si>
  <si>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</si>
  <si>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</si>
  <si>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</si>
  <si>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</si>
  <si>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</si>
  <si>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</si>
  <si>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</si>
  <si>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</si>
  <si>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</si>
  <si>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</si>
  <si>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</si>
  <si>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</si>
  <si>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</si>
  <si>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</si>
  <si>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</si>
  <si>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</si>
  <si>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</si>
  <si>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</si>
  <si>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</si>
  <si>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</si>
  <si>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</si>
  <si>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</si>
  <si>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</si>
  <si>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</si>
  <si>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</si>
  <si>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</si>
  <si>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</si>
  <si>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</si>
  <si>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</si>
  <si>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</si>
  <si>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</si>
  <si>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</si>
  <si>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</si>
  <si>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</si>
  <si>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</si>
  <si>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</si>
  <si>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</si>
  <si>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</si>
  <si>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</si>
  <si>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</si>
  <si>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</si>
  <si>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</si>
  <si>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</si>
  <si>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</si>
  <si>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</si>
  <si>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</si>
  <si>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</si>
  <si>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</si>
  <si>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</si>
  <si>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</si>
  <si>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</si>
  <si>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</si>
  <si>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</si>
  <si>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</si>
  <si>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</si>
  <si>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</si>
  <si>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</si>
  <si>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</si>
  <si>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</si>
  <si>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</si>
  <si>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</si>
  <si>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</si>
  <si>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</si>
  <si>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</si>
  <si>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</si>
  <si>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</si>
  <si>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</si>
  <si>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</si>
  <si>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</si>
  <si>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</si>
  <si>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</si>
  <si>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</si>
  <si>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</si>
  <si>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</si>
  <si>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</si>
  <si>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</si>
  <si>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</si>
  <si>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</si>
  <si>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</si>
  <si>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</si>
  <si>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</si>
  <si>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</si>
  <si>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</si>
  <si>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</si>
  <si>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</si>
  <si>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</si>
  <si>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</si>
  <si>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</si>
  <si>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</si>
  <si>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</si>
  <si>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</si>
  <si>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</si>
  <si>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</si>
  <si>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</si>
  <si>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</si>
  <si>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</si>
  <si>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</si>
  <si>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</si>
  <si>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</si>
  <si>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</si>
  <si>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</si>
  <si>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</si>
  <si>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</si>
  <si>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</si>
  <si>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</si>
  <si>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</si>
  <si>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</si>
  <si>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</si>
  <si>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</si>
  <si>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</si>
  <si>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</si>
  <si>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</si>
  <si>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</si>
  <si>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</si>
  <si>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</si>
  <si>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</si>
  <si>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</si>
  <si>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</si>
  <si>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</si>
  <si>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</si>
  <si>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</si>
  <si>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</si>
  <si>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</si>
  <si>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</si>
  <si>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</si>
  <si>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</si>
  <si>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</si>
  <si>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</si>
  <si>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</si>
  <si>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</si>
  <si>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</si>
  <si>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</si>
  <si>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</si>
  <si>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</si>
  <si>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</si>
  <si>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</si>
  <si>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</si>
  <si>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</si>
  <si>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</si>
  <si>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</si>
  <si>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</si>
  <si>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</si>
  <si>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</si>
  <si>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</si>
  <si>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</si>
  <si>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</si>
  <si>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</si>
  <si>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</si>
  <si>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</si>
  <si>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</si>
  <si>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</si>
  <si>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</si>
  <si>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</si>
  <si>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</si>
  <si>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</si>
  <si>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</si>
  <si>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</si>
  <si>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</si>
  <si>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</si>
  <si>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</si>
  <si>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</si>
  <si>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</si>
  <si>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</si>
  <si>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</si>
  <si>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</si>
  <si>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</si>
  <si>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</si>
  <si>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</si>
  <si>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</si>
  <si>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</si>
  <si>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</si>
  <si>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</si>
  <si>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</si>
  <si>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</si>
  <si>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</si>
  <si>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</si>
  <si>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</si>
  <si>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</si>
  <si>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</si>
  <si>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</si>
  <si>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</si>
  <si>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</si>
  <si>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</si>
  <si>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</si>
  <si>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</si>
  <si>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</si>
  <si>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</si>
  <si>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</si>
  <si>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</si>
  <si>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</si>
  <si>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</si>
  <si>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</si>
  <si>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</si>
  <si>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</si>
  <si>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</si>
  <si>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</si>
  <si>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</si>
  <si>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</si>
  <si>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</si>
  <si>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</si>
  <si>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</si>
  <si>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</si>
  <si>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</si>
  <si>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</si>
  <si>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</si>
  <si>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</si>
  <si>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</si>
  <si>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</si>
  <si>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</si>
  <si>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</si>
  <si>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</si>
  <si>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</si>
  <si>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</si>
  <si>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</si>
  <si>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</si>
  <si>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</si>
  <si>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</si>
  <si>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</si>
  <si>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</si>
  <si>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</si>
  <si>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</si>
  <si>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</si>
  <si>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</si>
  <si>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</si>
  <si>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</si>
  <si>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</si>
  <si>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</si>
  <si>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</si>
  <si>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</si>
  <si>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</si>
  <si>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</si>
  <si>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</si>
  <si>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</si>
  <si>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</si>
  <si>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</si>
  <si>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</si>
  <si>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</si>
  <si>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</si>
  <si>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</si>
  <si>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</si>
  <si>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</si>
  <si>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</si>
  <si>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</si>
  <si>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</si>
  <si>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</si>
  <si>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</si>
  <si>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</si>
  <si>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</si>
  <si>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</si>
  <si>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</si>
  <si>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</si>
  <si>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</si>
  <si>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</si>
  <si>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</si>
  <si>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</si>
  <si>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</si>
  <si>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</si>
  <si>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</si>
  <si>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</si>
  <si>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</si>
  <si>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</si>
  <si>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</si>
  <si>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</si>
  <si>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</si>
  <si>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</si>
  <si>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</si>
  <si>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</si>
  <si>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</si>
  <si>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</si>
  <si>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</si>
  <si>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</si>
  <si>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</si>
  <si>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</si>
  <si>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</si>
  <si>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</si>
  <si>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</si>
  <si>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</si>
  <si>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</si>
  <si>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</si>
  <si>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</si>
  <si>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</si>
  <si>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</si>
  <si>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</si>
  <si>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</si>
  <si>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</si>
  <si>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</si>
  <si>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</si>
  <si>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</si>
  <si>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</si>
  <si>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</si>
  <si>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</si>
  <si>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</si>
  <si>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</si>
  <si>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</si>
  <si>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</si>
  <si>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</si>
  <si>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</si>
  <si>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</si>
  <si>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</si>
  <si>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</si>
  <si>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</si>
  <si>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</si>
  <si>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</si>
  <si>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</si>
  <si>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</si>
  <si>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</si>
  <si>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</si>
  <si>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</si>
  <si>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</si>
  <si>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</si>
  <si>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</si>
  <si>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</si>
  <si>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</si>
  <si>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</si>
  <si>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</si>
  <si>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</si>
  <si>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</si>
  <si>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</si>
  <si>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</si>
  <si>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</si>
  <si>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</si>
  <si>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</si>
  <si>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</si>
  <si>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</si>
  <si>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</si>
  <si>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</si>
  <si>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</si>
  <si>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</si>
  <si>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</si>
  <si>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</si>
  <si>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</si>
  <si>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</si>
  <si>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</si>
  <si>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</si>
  <si>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</si>
  <si>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</si>
  <si>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</si>
  <si>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</si>
  <si>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</si>
  <si>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</si>
  <si>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</si>
  <si>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</si>
  <si>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</si>
  <si>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</si>
  <si>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</si>
  <si>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</si>
  <si>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</si>
  <si>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</si>
  <si>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</si>
  <si>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</si>
  <si>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</si>
  <si>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</si>
  <si>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</si>
  <si>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</si>
  <si>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</si>
  <si>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</si>
  <si>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</si>
  <si>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</si>
  <si>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</si>
  <si>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</si>
  <si>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</si>
  <si>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</si>
  <si>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</si>
  <si>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</si>
  <si>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</si>
  <si>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</si>
  <si>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</si>
  <si>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</si>
  <si>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</si>
  <si>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</si>
  <si>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</si>
  <si>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</si>
  <si>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</si>
  <si>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</si>
  <si>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</si>
  <si>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</si>
  <si>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</si>
  <si>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</si>
  <si>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</si>
  <si>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</si>
  <si>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</si>
  <si>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</si>
  <si>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</si>
  <si>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</si>
  <si>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</si>
  <si>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</si>
  <si>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</si>
  <si>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</si>
  <si>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</si>
  <si>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</si>
  <si>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</si>
  <si>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</si>
  <si>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</si>
  <si>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</si>
  <si>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</si>
  <si>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</si>
  <si>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</si>
  <si>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</si>
  <si>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</si>
  <si>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</si>
  <si>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</si>
  <si>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</si>
  <si>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</si>
  <si>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</si>
  <si>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</si>
  <si>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</si>
  <si>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</si>
  <si>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</si>
  <si>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</si>
  <si>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</si>
  <si>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</si>
  <si>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</si>
  <si>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</si>
  <si>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</si>
  <si>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</si>
  <si>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</si>
  <si>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</si>
  <si>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</si>
  <si>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</si>
  <si>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</si>
  <si>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</si>
  <si>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</si>
  <si>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</si>
  <si>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</si>
  <si>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</si>
  <si>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</si>
  <si>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</si>
  <si>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</si>
  <si>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</si>
  <si>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</si>
  <si>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</si>
  <si>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</si>
  <si>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</si>
  <si>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</si>
  <si>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</si>
  <si>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</si>
  <si>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</si>
  <si>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</si>
  <si>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</si>
  <si>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</si>
  <si>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</si>
  <si>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</si>
  <si>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</si>
  <si>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</si>
  <si>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</si>
  <si>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</si>
  <si>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</si>
  <si>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</si>
  <si>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</si>
  <si>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</si>
  <si>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</si>
  <si>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</si>
  <si>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</si>
  <si>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</si>
  <si>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</si>
  <si>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</si>
  <si>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</si>
  <si>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</si>
  <si>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</si>
  <si>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</si>
  <si>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</si>
  <si>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</si>
  <si>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</si>
  <si>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</si>
  <si>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</si>
  <si>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</si>
  <si>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</si>
  <si>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</si>
  <si>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</si>
  <si>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</si>
  <si>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</si>
  <si>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</si>
  <si>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</si>
  <si>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</si>
  <si>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</si>
  <si>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</si>
  <si>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</si>
  <si>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</si>
  <si>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</si>
  <si>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</si>
  <si>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</si>
  <si>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</si>
  <si>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</si>
  <si>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</si>
  <si>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</si>
  <si>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</si>
  <si>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</si>
  <si>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</si>
  <si>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</si>
  <si>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</si>
  <si>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</si>
  <si>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</si>
  <si>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</si>
  <si>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</si>
  <si>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</si>
  <si>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</si>
  <si>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</si>
  <si>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</si>
  <si>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</si>
  <si>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</si>
  <si>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</si>
  <si>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</si>
  <si>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</si>
  <si>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</si>
  <si>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</si>
  <si>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</si>
  <si>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</si>
  <si>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</si>
  <si>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</si>
  <si>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</si>
  <si>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</si>
  <si>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</si>
  <si>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</si>
  <si>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</si>
  <si>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</si>
  <si>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</si>
  <si>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</si>
  <si>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</si>
  <si>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</si>
  <si>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</si>
  <si>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</si>
  <si>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</si>
  <si>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</si>
  <si>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</si>
  <si>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</si>
  <si>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</si>
  <si>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</si>
  <si>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</si>
  <si>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</si>
  <si>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</si>
  <si>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</si>
  <si>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</si>
  <si>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</si>
  <si>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</si>
  <si>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</si>
  <si>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</si>
  <si>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</si>
  <si>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</si>
  <si>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</si>
  <si>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</si>
  <si>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</si>
  <si>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</si>
  <si>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</si>
  <si>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</si>
  <si>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</si>
  <si>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</si>
  <si>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</si>
  <si>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</si>
  <si>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</si>
  <si>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</si>
  <si>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</si>
  <si>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</si>
  <si>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</si>
  <si>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</si>
  <si>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</si>
  <si>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</si>
  <si>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</si>
  <si>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</si>
  <si>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</si>
  <si>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</si>
  <si>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</si>
  <si>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</si>
  <si>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</si>
  <si>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</si>
  <si>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</si>
  <si>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</si>
  <si>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</si>
  <si>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</si>
  <si>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</si>
  <si>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</si>
  <si>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</si>
  <si>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</si>
  <si>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</si>
  <si>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</si>
  <si>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</si>
  <si>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</si>
  <si>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</si>
  <si>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</si>
  <si>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</si>
  <si>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</si>
  <si>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</si>
  <si>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</si>
  <si>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</si>
  <si>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</si>
  <si>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</si>
  <si>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</si>
  <si>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</si>
  <si>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</si>
  <si>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</si>
  <si>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</si>
  <si>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</si>
  <si>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</si>
  <si>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</si>
  <si>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</si>
  <si>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</si>
  <si>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</si>
  <si>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</si>
  <si>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</si>
  <si>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</si>
  <si>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</si>
  <si>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</si>
  <si>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</si>
  <si>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</si>
  <si>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</si>
  <si>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</si>
  <si>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</si>
  <si>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</si>
  <si>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</si>
  <si>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</si>
  <si>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</si>
  <si>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</si>
  <si>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</si>
  <si>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</si>
  <si>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</si>
  <si>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</si>
  <si>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</si>
  <si>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</si>
  <si>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</si>
  <si>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</si>
  <si>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</si>
  <si>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</si>
  <si>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</si>
  <si>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</si>
  <si>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</si>
  <si>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</si>
  <si>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</si>
  <si>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</si>
  <si>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</si>
  <si>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</si>
  <si>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</si>
  <si>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</si>
  <si>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</si>
  <si>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</si>
  <si>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</si>
  <si>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</si>
  <si>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</si>
  <si>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</si>
  <si>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</si>
  <si>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</si>
  <si>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</si>
  <si>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</si>
  <si>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</si>
  <si>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</si>
  <si>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</si>
  <si>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</si>
  <si>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</si>
  <si>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</si>
  <si>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</si>
  <si>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</si>
  <si>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</si>
  <si>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</si>
  <si>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</si>
  <si>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</si>
  <si>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</si>
  <si>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</si>
  <si>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</si>
  <si>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</si>
  <si>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</si>
  <si>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</si>
  <si>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</si>
  <si>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</si>
  <si>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</si>
  <si>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</si>
  <si>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</si>
  <si>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</si>
  <si>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</si>
  <si>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</si>
  <si>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</si>
  <si>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</si>
  <si>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</si>
  <si>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</si>
  <si>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</si>
  <si>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</si>
  <si>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</si>
  <si>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</si>
  <si>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</si>
  <si>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</si>
  <si>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</si>
  <si>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</si>
  <si>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</si>
  <si>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</si>
  <si>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</si>
  <si>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</si>
  <si>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</si>
  <si>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</si>
  <si>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</si>
  <si>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</si>
  <si>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</si>
  <si>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</si>
  <si>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</si>
  <si>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</si>
  <si>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</si>
  <si>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</si>
  <si>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</si>
  <si>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</si>
  <si>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</si>
  <si>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</si>
  <si>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</si>
  <si>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</si>
  <si>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</si>
  <si>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</si>
  <si>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</si>
  <si>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</si>
  <si>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</si>
  <si>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</si>
  <si>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</si>
  <si>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</si>
  <si>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</si>
  <si>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</si>
  <si>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</si>
  <si>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</si>
  <si>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</si>
  <si>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</si>
  <si>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</si>
  <si>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</si>
  <si>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</si>
  <si>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</si>
  <si>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</si>
  <si>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</si>
  <si>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</si>
  <si>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</si>
  <si>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</si>
  <si>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</si>
  <si>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</si>
  <si>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</si>
  <si>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</si>
  <si>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</si>
  <si>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</si>
  <si>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</si>
  <si>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</si>
  <si>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</si>
  <si>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</si>
  <si>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</si>
  <si>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</si>
  <si>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</si>
  <si>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</si>
  <si>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</si>
  <si>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</si>
  <si>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</si>
  <si>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</si>
  <si>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</si>
  <si>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</si>
  <si>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</si>
  <si>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</si>
  <si>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</si>
  <si>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</si>
  <si>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</si>
  <si>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</si>
  <si>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</si>
  <si>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</si>
  <si>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</si>
  <si>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</si>
  <si>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</si>
  <si>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</si>
  <si>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</si>
  <si>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</si>
  <si>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</si>
  <si>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</si>
  <si>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</si>
  <si>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</si>
  <si>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</si>
  <si>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</si>
  <si>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</si>
  <si>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</si>
  <si>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</si>
  <si>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</si>
  <si>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</si>
  <si>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</si>
  <si>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</si>
  <si>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</si>
  <si>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</si>
  <si>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</si>
  <si>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</si>
  <si>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</si>
  <si>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</si>
  <si>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</si>
  <si>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</si>
  <si>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</si>
  <si>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</si>
  <si>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</si>
  <si>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</si>
  <si>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</si>
  <si>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</si>
  <si>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</si>
  <si>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</si>
  <si>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</si>
  <si>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</si>
  <si>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</si>
  <si>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</si>
  <si>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</si>
  <si>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</si>
  <si>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</si>
  <si>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</si>
  <si>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</si>
  <si>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</si>
  <si>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</si>
  <si>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</si>
  <si>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</si>
  <si>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</si>
  <si>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</si>
  <si>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</si>
  <si>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</si>
  <si>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</si>
  <si>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</si>
  <si>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</si>
  <si>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</si>
  <si>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</si>
  <si>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</si>
  <si>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</si>
  <si>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</si>
  <si>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</si>
  <si>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</si>
  <si>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</si>
  <si>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</si>
  <si>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</si>
  <si>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</si>
  <si>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</si>
  <si>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</si>
  <si>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</si>
  <si>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</si>
  <si>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</si>
  <si>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</si>
  <si>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</si>
  <si>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</si>
  <si>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</si>
  <si>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</si>
  <si>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</si>
  <si>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</si>
  <si>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</si>
  <si>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</si>
  <si>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</si>
  <si>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</si>
  <si>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</si>
  <si>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</si>
  <si>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</si>
  <si>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</si>
  <si>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</si>
  <si>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</si>
  <si>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</si>
  <si>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</si>
  <si>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</si>
  <si>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</si>
  <si>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</si>
  <si>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</si>
  <si>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</si>
  <si>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</si>
  <si>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</si>
  <si>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</si>
  <si>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</si>
  <si>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</si>
  <si>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</si>
  <si>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</si>
  <si>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</si>
  <si>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</si>
  <si>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</si>
  <si>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</si>
  <si>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</si>
  <si>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</si>
  <si>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</si>
  <si>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</si>
  <si>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</si>
  <si>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</si>
  <si>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</si>
  <si>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</si>
  <si>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</si>
  <si>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</si>
  <si>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</si>
  <si>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</si>
  <si>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</si>
  <si>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</si>
  <si>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</si>
  <si>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</si>
  <si>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</si>
  <si>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</si>
  <si>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</si>
  <si>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</si>
  <si>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</si>
  <si>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</si>
  <si>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</si>
  <si>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</si>
  <si>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</si>
  <si>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</si>
  <si>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</si>
  <si>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</si>
  <si>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</si>
  <si>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</si>
  <si>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</si>
  <si>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</si>
  <si>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</si>
  <si>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</si>
  <si>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</si>
  <si>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</si>
  <si>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</si>
  <si>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</si>
  <si>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</si>
  <si>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</si>
  <si>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</si>
  <si>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</si>
  <si>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</si>
  <si>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</si>
  <si>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</si>
  <si>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</si>
  <si>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</si>
  <si>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</si>
  <si>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</si>
  <si>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</si>
  <si>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</si>
  <si>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</si>
  <si>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</si>
  <si>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</si>
  <si>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</si>
  <si>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</si>
  <si>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</si>
  <si>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</si>
  <si>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</si>
  <si>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</si>
  <si>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</si>
  <si>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</si>
  <si>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</si>
  <si>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</si>
  <si>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</si>
  <si>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</si>
  <si>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</si>
  <si>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</si>
  <si>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</si>
  <si>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</si>
  <si>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</si>
  <si>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</si>
  <si>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</si>
  <si>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</si>
  <si>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</si>
  <si>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</si>
  <si>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</si>
  <si>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</si>
  <si>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</si>
  <si>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</si>
  <si>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</si>
  <si>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</si>
  <si>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</si>
  <si>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</si>
  <si>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</si>
  <si>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</si>
  <si>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</si>
  <si>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</si>
  <si>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</si>
  <si>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</si>
  <si>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</si>
  <si>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</si>
  <si>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</si>
  <si>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</si>
  <si>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</si>
  <si>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</si>
  <si>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</si>
  <si>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</si>
  <si>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</si>
  <si>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</si>
  <si>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</si>
  <si>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</si>
  <si>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</si>
  <si>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</si>
  <si>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</si>
  <si>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</si>
  <si>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</si>
  <si>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</si>
  <si>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</si>
  <si>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</si>
  <si>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</si>
  <si>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</si>
  <si>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</si>
  <si>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</si>
  <si>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</si>
  <si>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</si>
  <si>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</si>
  <si>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</si>
  <si>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</si>
  <si>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</si>
  <si>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</si>
  <si>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</si>
  <si>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</si>
  <si>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</si>
  <si>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</si>
  <si>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</si>
  <si>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</si>
  <si>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</si>
  <si>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</si>
  <si>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</si>
  <si>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</si>
  <si>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</si>
  <si>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</si>
  <si>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</si>
  <si>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</si>
  <si>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</si>
  <si>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</si>
  <si>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</si>
  <si>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</si>
  <si>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</si>
  <si>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</si>
  <si>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</si>
  <si>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</si>
  <si>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</si>
  <si>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</si>
  <si>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</si>
  <si>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</si>
  <si>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</si>
  <si>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</si>
  <si>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</si>
  <si>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</si>
  <si>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</si>
  <si>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</si>
  <si>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</si>
  <si>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</si>
  <si>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</si>
  <si>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</si>
  <si>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</si>
  <si>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</si>
  <si>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</si>
  <si>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</si>
  <si>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</si>
  <si>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</si>
  <si>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</si>
  <si>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</si>
  <si>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</si>
  <si>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</si>
  <si>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</si>
  <si>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</si>
  <si>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</si>
  <si>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</si>
  <si>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</si>
  <si>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</si>
  <si>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</si>
  <si>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</si>
  <si>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</si>
  <si>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</si>
  <si>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</si>
  <si>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</si>
  <si>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</si>
  <si>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</si>
  <si>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</si>
  <si>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</si>
  <si>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</si>
  <si>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</si>
  <si>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</si>
  <si>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</si>
  <si>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</si>
  <si>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</si>
  <si>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</si>
  <si>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</si>
  <si>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</si>
  <si>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</si>
  <si>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</si>
  <si>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</si>
  <si>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</si>
  <si>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</si>
  <si>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</si>
  <si>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</si>
  <si>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</si>
  <si>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</si>
  <si>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</si>
  <si>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</si>
  <si>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</si>
  <si>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</si>
  <si>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</si>
  <si>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</si>
  <si>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</si>
  <si>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</si>
  <si>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</si>
  <si>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</si>
  <si>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</si>
  <si>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</si>
  <si>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</si>
  <si>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</si>
  <si>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</si>
  <si>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</si>
  <si>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</si>
  <si>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</si>
  <si>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</si>
  <si>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</si>
  <si>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</si>
  <si>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</si>
  <si>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</si>
  <si>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</si>
  <si>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</si>
  <si>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</si>
  <si>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</si>
  <si>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</si>
  <si>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</si>
  <si>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</si>
  <si>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</si>
  <si>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</si>
  <si>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</si>
  <si>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</si>
  <si>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</si>
  <si>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</si>
  <si>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</si>
  <si>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</si>
  <si>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</si>
  <si>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</si>
  <si>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</si>
  <si>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</si>
  <si>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</si>
  <si>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</si>
  <si>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</si>
  <si>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</si>
  <si>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</si>
  <si>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</si>
  <si>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</si>
  <si>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</si>
  <si>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</si>
  <si>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</si>
  <si>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</si>
  <si>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</si>
  <si>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</si>
  <si>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</si>
  <si>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</si>
  <si>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</si>
  <si>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</si>
  <si>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</si>
  <si>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</si>
  <si>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</si>
  <si>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</si>
  <si>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</si>
  <si>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</si>
  <si>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</si>
  <si>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</si>
  <si>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</si>
  <si>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</si>
  <si>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</si>
  <si>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</si>
  <si>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</si>
  <si>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</si>
  <si>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</si>
  <si>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</si>
  <si>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</si>
  <si>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</si>
  <si>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</si>
  <si>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</si>
  <si>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</si>
  <si>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</si>
  <si>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</si>
  <si>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</si>
  <si>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</si>
  <si>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</si>
  <si>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</si>
  <si>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</si>
  <si>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</si>
  <si>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</si>
  <si>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</si>
  <si>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</si>
  <si>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</si>
  <si>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</si>
  <si>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</si>
  <si>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</si>
  <si>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</si>
  <si>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</si>
  <si>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</si>
  <si>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</si>
  <si>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</si>
  <si>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</si>
  <si>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</si>
  <si>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</si>
  <si>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</si>
  <si>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</si>
  <si>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</si>
  <si>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</si>
  <si>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</si>
  <si>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</si>
  <si>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</si>
  <si>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</si>
  <si>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</si>
  <si>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</si>
  <si>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</si>
  <si>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</si>
  <si>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</si>
  <si>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</si>
  <si>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</si>
  <si>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</si>
  <si>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</si>
  <si>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</si>
  <si>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</si>
  <si>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</si>
  <si>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</si>
  <si>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</si>
  <si>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</si>
  <si>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</si>
  <si>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</si>
  <si>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</si>
  <si>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</si>
  <si>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</si>
  <si>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</si>
  <si>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</si>
  <si>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</si>
  <si>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</si>
  <si>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</si>
  <si>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</si>
  <si>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</si>
  <si>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</si>
  <si>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</si>
  <si>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</si>
  <si>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</si>
  <si>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</si>
  <si>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</si>
  <si>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</si>
  <si>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</si>
  <si>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</si>
  <si>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</si>
  <si>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</si>
  <si>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</si>
  <si>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</si>
  <si>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</si>
  <si>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</si>
  <si>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</si>
  <si>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</si>
  <si>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</si>
  <si>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</si>
  <si>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</si>
  <si>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</si>
  <si>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</si>
  <si>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</si>
  <si>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</si>
  <si>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</si>
  <si>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</si>
  <si>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</si>
  <si>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</si>
  <si>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</si>
  <si>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</si>
  <si>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</si>
  <si>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</si>
  <si>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</si>
  <si>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</si>
  <si>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</si>
  <si>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</si>
  <si>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</si>
  <si>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</si>
  <si>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</si>
  <si>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</si>
  <si>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</si>
  <si>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</si>
  <si>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</si>
  <si>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</si>
  <si>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</si>
  <si>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</si>
  <si>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</si>
  <si>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</si>
  <si>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</si>
  <si>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</si>
  <si>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</si>
  <si>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</si>
  <si>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</si>
  <si>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</si>
  <si>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</si>
  <si>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</si>
  <si>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</si>
  <si>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</si>
  <si>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</si>
  <si>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</si>
  <si>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</si>
  <si>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</si>
  <si>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</si>
  <si>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</si>
  <si>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</si>
  <si>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</si>
  <si>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</si>
  <si>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</si>
  <si>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</si>
  <si>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</si>
  <si>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</si>
  <si>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</si>
  <si>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</si>
  <si>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</si>
  <si>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</si>
  <si>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</si>
  <si>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</si>
  <si>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</si>
  <si>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</si>
  <si>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</si>
  <si>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</si>
  <si>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</si>
  <si>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</si>
  <si>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</si>
  <si>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</si>
  <si>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</si>
  <si>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</si>
  <si>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</si>
  <si>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</si>
  <si>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</si>
  <si>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</si>
  <si>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</si>
  <si>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</si>
  <si>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</si>
  <si>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</si>
  <si>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</si>
  <si>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</si>
  <si>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</si>
  <si>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</si>
  <si>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</si>
  <si>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</si>
  <si>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</si>
  <si>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</si>
  <si>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</si>
  <si>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</si>
  <si>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</si>
  <si>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</si>
  <si>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</si>
  <si>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</si>
  <si>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</si>
  <si>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</si>
  <si>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</si>
  <si>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</si>
  <si>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</si>
  <si>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</si>
  <si>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</si>
  <si>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</si>
  <si>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</si>
  <si>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</si>
  <si>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</si>
  <si>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</si>
  <si>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</si>
  <si>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</si>
  <si>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</si>
  <si>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</si>
  <si>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</si>
  <si>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</si>
  <si>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</si>
  <si>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</si>
  <si>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</si>
  <si>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</si>
  <si>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</si>
  <si>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</si>
  <si>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</si>
  <si>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</si>
  <si>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</si>
  <si>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</si>
  <si>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</si>
  <si>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</si>
  <si>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</si>
  <si>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</si>
  <si>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</si>
  <si>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</si>
  <si>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</si>
  <si>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</si>
  <si>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</si>
  <si>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</si>
  <si>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</si>
  <si>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</si>
  <si>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</si>
  <si>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</si>
  <si>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</si>
  <si>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</si>
  <si>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</si>
  <si>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</si>
  <si>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</si>
  <si>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</si>
  <si>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</si>
  <si>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</si>
  <si>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</si>
  <si>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</si>
  <si>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</si>
  <si>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</si>
  <si>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</si>
  <si>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</si>
  <si>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</si>
  <si>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</si>
  <si>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</si>
  <si>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</si>
  <si>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</si>
  <si>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</si>
  <si>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</si>
  <si>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</si>
  <si>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</si>
  <si>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</si>
  <si>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</si>
  <si>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</si>
  <si>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</si>
  <si>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</si>
  <si>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</si>
  <si>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</si>
  <si>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</si>
  <si>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</si>
  <si>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</si>
  <si>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</si>
  <si>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</si>
  <si>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</si>
  <si>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</si>
  <si>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</si>
  <si>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</si>
  <si>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</si>
  <si>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</si>
  <si>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</si>
  <si>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</si>
  <si>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</si>
  <si>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</si>
  <si>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</si>
  <si>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</si>
  <si>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</si>
  <si>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</si>
  <si>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</si>
  <si>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</si>
  <si>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</si>
  <si>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</si>
  <si>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</si>
  <si>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</si>
  <si>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</si>
  <si>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</si>
  <si>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</si>
  <si>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</si>
  <si>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</si>
  <si>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</si>
  <si>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</si>
  <si>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</si>
  <si>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</si>
  <si>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</si>
  <si>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</si>
  <si>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</si>
  <si>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</si>
  <si>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</si>
  <si>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</si>
  <si>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</si>
  <si>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</si>
  <si>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</si>
  <si>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</si>
  <si>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</si>
  <si>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</si>
  <si>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</si>
  <si>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</si>
  <si>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</si>
  <si>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</si>
  <si>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</si>
  <si>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</si>
  <si>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</si>
  <si>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</si>
  <si>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</si>
  <si>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</si>
  <si>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</si>
  <si>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</si>
  <si>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</si>
  <si>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</si>
  <si>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</si>
  <si>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</si>
  <si>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</si>
  <si>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</si>
  <si>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</si>
  <si>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</si>
  <si>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</si>
  <si>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</si>
  <si>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</si>
  <si>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</si>
  <si>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</si>
  <si>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</si>
  <si>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</si>
  <si>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</si>
  <si>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</si>
  <si>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</si>
  <si>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</si>
  <si>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</si>
  <si>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</si>
  <si>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</si>
  <si>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</si>
  <si>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</si>
  <si>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</si>
  <si>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</si>
  <si>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</si>
  <si>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</si>
  <si>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</si>
  <si>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</si>
  <si>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</si>
  <si>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</si>
  <si>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</si>
  <si>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</si>
  <si>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</si>
  <si>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</si>
  <si>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</si>
  <si>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</si>
  <si>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</si>
  <si>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</si>
  <si>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</si>
  <si>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</si>
  <si>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</si>
  <si>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</si>
  <si>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</si>
  <si>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</si>
  <si>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</si>
  <si>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</si>
  <si>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</si>
  <si>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</si>
  <si>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</si>
  <si>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</si>
  <si>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</si>
  <si>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</si>
  <si>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</si>
  <si>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</si>
  <si>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</si>
  <si>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</si>
  <si>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</si>
  <si>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</si>
  <si>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</si>
  <si>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</si>
  <si>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</si>
  <si>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</si>
  <si>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</si>
  <si>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</si>
  <si>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</si>
  <si>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</si>
  <si>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</si>
  <si>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</si>
  <si>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</si>
  <si>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</si>
  <si>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</si>
  <si>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</si>
  <si>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</si>
  <si>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</si>
  <si>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</si>
  <si>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</si>
  <si>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</si>
  <si>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</si>
  <si>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</si>
  <si>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</si>
  <si>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</si>
  <si>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</si>
  <si>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</si>
  <si>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</si>
  <si>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</si>
  <si>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</si>
  <si>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</si>
  <si>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</si>
  <si>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</si>
  <si>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</si>
  <si>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</si>
  <si>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</si>
  <si>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</si>
  <si>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</si>
  <si>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</si>
  <si>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</si>
  <si>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</si>
  <si>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</si>
  <si>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</si>
  <si>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</si>
  <si>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</si>
  <si>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</si>
  <si>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</si>
  <si>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</si>
  <si>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</si>
  <si>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</si>
  <si>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</si>
  <si>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</si>
  <si>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</si>
  <si>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</si>
  <si>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</si>
  <si>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</si>
  <si>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</si>
  <si>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</si>
  <si>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</si>
  <si>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</si>
  <si>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</si>
  <si>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</si>
  <si>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</si>
  <si>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</si>
  <si>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</si>
  <si>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</si>
  <si>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</si>
  <si>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</si>
  <si>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</si>
  <si>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</si>
  <si>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</si>
  <si>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</si>
  <si>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</si>
  <si>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</si>
  <si>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</si>
  <si>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</si>
  <si>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</si>
  <si>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</si>
  <si>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</si>
  <si>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</si>
  <si>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</si>
  <si>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</si>
  <si>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</si>
  <si>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</si>
  <si>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</si>
  <si>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</si>
  <si>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</si>
  <si>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</si>
  <si>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</si>
  <si>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</si>
  <si>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</si>
  <si>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</si>
  <si>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</si>
  <si>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</si>
  <si>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</si>
  <si>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</si>
  <si>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</si>
  <si>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</si>
  <si>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</si>
  <si>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</si>
  <si>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</si>
  <si>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</si>
  <si>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</si>
  <si>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</si>
  <si>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</si>
  <si>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</si>
  <si>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</si>
  <si>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</si>
  <si>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</si>
  <si>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</si>
  <si>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</si>
  <si>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</si>
  <si>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</si>
  <si>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</si>
  <si>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</si>
  <si>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</si>
  <si>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</si>
  <si>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</si>
  <si>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</si>
  <si>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</si>
  <si>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</si>
  <si>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</si>
  <si>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</si>
  <si>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</si>
  <si>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</si>
  <si>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</si>
  <si>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</si>
  <si>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</si>
  <si>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</si>
  <si>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</si>
  <si>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</si>
  <si>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</si>
  <si>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</si>
  <si>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</si>
  <si>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</si>
  <si>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</si>
  <si>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</si>
  <si>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</si>
  <si>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</si>
  <si>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</si>
  <si>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</si>
  <si>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</si>
  <si>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</si>
  <si>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</si>
  <si>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</si>
  <si>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</si>
  <si>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</si>
  <si>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</si>
  <si>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</si>
  <si>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</si>
  <si>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</si>
  <si>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</si>
  <si>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</si>
  <si>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</si>
  <si>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</si>
  <si>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</si>
  <si>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</si>
  <si>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</si>
  <si>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</si>
  <si>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</si>
  <si>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</si>
  <si>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</si>
  <si>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</si>
  <si>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</si>
  <si>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</si>
  <si>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</si>
  <si>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</si>
  <si>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</si>
  <si>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</si>
  <si>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</si>
  <si>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</si>
  <si>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</si>
  <si>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</si>
  <si>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</si>
  <si>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</si>
  <si>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</si>
  <si>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</si>
  <si>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</si>
  <si>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</si>
  <si>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</si>
  <si>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</si>
  <si>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</si>
  <si>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</si>
  <si>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</si>
  <si>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</si>
  <si>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</si>
  <si>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</si>
  <si>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</si>
  <si>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</si>
  <si>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</si>
  <si>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</si>
  <si>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</si>
  <si>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</si>
  <si>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</si>
  <si>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</si>
  <si>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</si>
  <si>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</si>
  <si>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</si>
  <si>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</si>
  <si>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</si>
  <si>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</si>
  <si>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</si>
  <si>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</si>
  <si>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</si>
  <si>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</si>
  <si>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</si>
  <si>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</si>
  <si>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</si>
  <si>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</si>
  <si>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</si>
  <si>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</si>
  <si>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</si>
  <si>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</si>
  <si>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</si>
  <si>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</si>
  <si>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</si>
  <si>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</si>
  <si>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</si>
  <si>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</si>
  <si>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</si>
  <si>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</si>
  <si>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</si>
  <si>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</si>
  <si>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</si>
  <si>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</si>
  <si>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</si>
  <si>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</si>
  <si>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</si>
  <si>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</si>
  <si>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</si>
  <si>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</si>
  <si>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</si>
  <si>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</si>
  <si>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</si>
  <si>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</si>
  <si>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</si>
  <si>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</si>
  <si>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</si>
  <si>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</si>
  <si>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</si>
  <si>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</si>
  <si>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</si>
  <si>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</si>
  <si>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</si>
  <si>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</si>
  <si>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</si>
  <si>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</si>
  <si>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</si>
  <si>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</si>
  <si>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</si>
  <si>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</si>
  <si>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</si>
  <si>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</si>
  <si>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</si>
  <si>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</si>
  <si>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</si>
  <si>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</si>
  <si>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</si>
  <si>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</si>
  <si>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</si>
  <si>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</si>
  <si>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</si>
  <si>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</si>
  <si>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</si>
  <si>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</si>
  <si>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</si>
  <si>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</si>
  <si>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</si>
  <si>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</si>
  <si>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</si>
  <si>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</si>
  <si>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</si>
  <si>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</si>
  <si>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</si>
  <si>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</si>
  <si>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</si>
  <si>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</si>
  <si>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</si>
  <si>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</si>
  <si>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</si>
  <si>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</si>
  <si>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</si>
  <si>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</si>
  <si>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</si>
  <si>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</si>
  <si>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</si>
  <si>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</si>
  <si>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</si>
  <si>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</si>
  <si>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</si>
  <si>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</si>
  <si>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</si>
  <si>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</si>
  <si>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</si>
  <si>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</si>
  <si>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</si>
  <si>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</si>
  <si>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</si>
  <si>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</si>
  <si>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</si>
  <si>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</si>
  <si>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</si>
  <si>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</si>
  <si>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</si>
  <si>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</si>
  <si>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</si>
  <si>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</si>
  <si>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</si>
  <si>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</si>
  <si>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</si>
  <si>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</si>
  <si>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</si>
  <si>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</si>
  <si>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</si>
  <si>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</si>
  <si>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</si>
  <si>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</si>
  <si>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</si>
  <si>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</si>
  <si>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</si>
  <si>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</si>
  <si>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</si>
  <si>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</si>
  <si>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</si>
  <si>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</si>
  <si>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</si>
  <si>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</si>
  <si>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</si>
  <si>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</si>
  <si>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</si>
  <si>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</si>
  <si>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</si>
  <si>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</si>
  <si>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</si>
  <si>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</si>
  <si>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</si>
  <si>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</si>
  <si>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</si>
  <si>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</si>
  <si>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</si>
  <si>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</si>
  <si>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</si>
  <si>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</si>
  <si>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</si>
  <si>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</si>
  <si>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</si>
  <si>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</si>
  <si>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</si>
  <si>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</si>
  <si>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</si>
  <si>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</si>
  <si>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</si>
  <si>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</si>
  <si>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</si>
  <si>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</si>
  <si>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</si>
  <si>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</si>
  <si>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</si>
  <si>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</si>
  <si>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</si>
  <si>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</si>
  <si>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</si>
  <si>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</si>
  <si>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</si>
  <si>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</si>
  <si>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</si>
  <si>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</si>
  <si>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</si>
  <si>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</si>
  <si>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</si>
  <si>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</si>
  <si>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</si>
  <si>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</si>
  <si>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</si>
  <si>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</si>
  <si>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</si>
  <si>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</si>
  <si>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</si>
  <si>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</si>
  <si>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</si>
  <si>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</si>
  <si>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</si>
  <si>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</si>
  <si>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</si>
  <si>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</si>
  <si>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</si>
  <si>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</si>
  <si>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</si>
  <si>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</si>
  <si>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</si>
  <si>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</si>
  <si>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</si>
  <si>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</si>
  <si>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</si>
  <si>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</si>
  <si>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</si>
  <si>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</si>
  <si>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</si>
  <si>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</si>
  <si>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</si>
  <si>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</si>
  <si>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</si>
  <si>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</si>
  <si>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</si>
  <si>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</si>
  <si>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</si>
  <si>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</si>
  <si>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</si>
  <si>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</si>
  <si>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</si>
  <si>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</si>
  <si>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</si>
  <si>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</si>
  <si>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</si>
  <si>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</si>
  <si>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</si>
  <si>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</si>
  <si>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</si>
  <si>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</si>
  <si>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</si>
  <si>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</si>
  <si>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</si>
  <si>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</si>
  <si>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</si>
  <si>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</si>
  <si>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</si>
  <si>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</si>
  <si>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</si>
  <si>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</si>
  <si>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</si>
  <si>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</si>
  <si>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</si>
  <si>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</si>
  <si>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</si>
  <si>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</si>
  <si>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</si>
  <si>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</si>
  <si>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</si>
  <si>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</si>
  <si>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</si>
  <si>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</si>
  <si>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</si>
  <si>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</si>
  <si>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</si>
  <si>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</si>
  <si>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</si>
  <si>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</si>
  <si>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</si>
  <si>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</si>
  <si>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</si>
  <si>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</si>
  <si>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</si>
  <si>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</si>
  <si>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</si>
  <si>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</si>
  <si>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</si>
  <si>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</si>
  <si>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</si>
  <si>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</si>
  <si>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</si>
  <si>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</si>
  <si>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</si>
  <si>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</si>
  <si>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</si>
  <si>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</si>
  <si>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</si>
  <si>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</si>
  <si>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</si>
  <si>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</si>
  <si>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</si>
  <si>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</si>
  <si>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</si>
  <si>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</si>
  <si>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</si>
  <si>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</si>
  <si>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</si>
  <si>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</si>
  <si>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</si>
  <si>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</si>
  <si>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</si>
  <si>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</si>
  <si>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</si>
  <si>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</si>
  <si>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</si>
  <si>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</si>
  <si>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</si>
  <si>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</si>
  <si>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</si>
  <si>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</si>
  <si>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</si>
  <si>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</si>
  <si>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</si>
  <si>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</si>
  <si>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</si>
  <si>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</si>
  <si>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</si>
  <si>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</si>
  <si>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</si>
  <si>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</si>
  <si>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</si>
  <si>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</si>
  <si>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</si>
  <si>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</si>
  <si>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</si>
  <si>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</si>
  <si>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</si>
  <si>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</si>
  <si>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</si>
  <si>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</si>
  <si>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</si>
  <si>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</si>
  <si>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</si>
  <si>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</si>
  <si>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</si>
  <si>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</si>
  <si>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</si>
  <si>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</si>
  <si>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</si>
  <si>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</si>
  <si>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</si>
  <si>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</si>
  <si>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</si>
  <si>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</si>
  <si>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</si>
  <si>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</si>
  <si>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</si>
  <si>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</si>
  <si>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</si>
  <si>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</si>
  <si>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</si>
  <si>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</si>
  <si>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</si>
  <si>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</si>
  <si>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</si>
  <si>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</si>
  <si>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</si>
  <si>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</si>
  <si>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</si>
  <si>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</si>
  <si>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</si>
  <si>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</si>
  <si>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</si>
  <si>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</si>
  <si>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</si>
  <si>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</si>
  <si>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</si>
  <si>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</si>
  <si>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</si>
  <si>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</si>
  <si>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</si>
  <si>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</si>
  <si>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</si>
  <si>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</si>
  <si>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</si>
  <si>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</si>
  <si>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</si>
  <si>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</si>
  <si>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</si>
  <si>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</si>
  <si>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</si>
  <si>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</si>
  <si>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</si>
  <si>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</si>
  <si>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</si>
  <si>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</si>
  <si>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</si>
  <si>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</si>
  <si>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</si>
  <si>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</si>
  <si>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</si>
  <si>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</si>
  <si>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</si>
  <si>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</si>
  <si>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</si>
  <si>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</si>
  <si>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</si>
  <si>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</si>
  <si>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</si>
  <si>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</si>
  <si>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</si>
  <si>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</si>
  <si>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</si>
  <si>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</si>
  <si>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</si>
  <si>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</si>
  <si>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</si>
  <si>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</si>
  <si>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</si>
  <si>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</si>
  <si>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</si>
  <si>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</si>
  <si>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</si>
  <si>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</si>
  <si>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</si>
  <si>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</si>
  <si>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</si>
  <si>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</si>
  <si>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</si>
  <si>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</si>
  <si>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</si>
  <si>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</si>
  <si>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</si>
  <si>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</si>
  <si>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</si>
  <si>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</si>
  <si>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</si>
  <si>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</si>
  <si>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</si>
  <si>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</si>
  <si>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</si>
  <si>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</si>
  <si>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</si>
  <si>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</si>
  <si>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</si>
  <si>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</si>
  <si>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</si>
  <si>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</si>
  <si>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</si>
  <si>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</si>
  <si>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</si>
  <si>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</si>
  <si>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</si>
  <si>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</si>
  <si>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</si>
  <si>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</si>
  <si>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</si>
  <si>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</si>
  <si>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</si>
  <si>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</si>
  <si>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</si>
  <si>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</si>
  <si>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</si>
  <si>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</si>
  <si>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</si>
  <si>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</si>
  <si>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</si>
  <si>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</si>
  <si>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</si>
  <si>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</si>
  <si>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</si>
  <si>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</si>
  <si>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</si>
  <si>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</si>
  <si>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</si>
  <si>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</si>
  <si>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</si>
  <si>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</si>
  <si>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</si>
  <si>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</si>
  <si>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</si>
  <si>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</si>
  <si>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</si>
  <si>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</si>
  <si>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</si>
  <si>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</si>
  <si>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</si>
  <si>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</si>
  <si>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</si>
  <si>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</si>
  <si>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</si>
  <si>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</si>
  <si>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</si>
  <si>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</si>
  <si>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</si>
  <si>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</si>
  <si>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</si>
  <si>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</si>
  <si>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</si>
  <si>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</si>
  <si>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</si>
  <si>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</si>
  <si>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</si>
  <si>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</si>
  <si>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</si>
  <si>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</si>
  <si>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</si>
  <si>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</si>
  <si>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</si>
  <si>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</si>
  <si>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</si>
  <si>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</si>
  <si>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</si>
  <si>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</si>
  <si>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</si>
  <si>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</si>
  <si>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</si>
  <si>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</si>
  <si>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</si>
  <si>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</si>
  <si>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</si>
  <si>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</si>
  <si>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</si>
  <si>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</si>
  <si>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</si>
  <si>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</si>
  <si>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</si>
  <si>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</si>
  <si>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</si>
  <si>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</si>
  <si>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</si>
  <si>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</si>
  <si>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</si>
  <si>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</si>
  <si>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</si>
  <si>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</si>
  <si>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</si>
  <si>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</si>
  <si>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</si>
  <si>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</si>
  <si>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</si>
  <si>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</si>
  <si>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</si>
  <si>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</si>
  <si>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</si>
  <si>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</si>
  <si>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</si>
  <si>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</si>
  <si>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</si>
  <si>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</si>
  <si>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</si>
  <si>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</si>
  <si>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</si>
  <si>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</si>
  <si>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</si>
  <si>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</si>
  <si>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</si>
  <si>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</si>
  <si>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</si>
  <si>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</si>
  <si>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</si>
  <si>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</si>
  <si>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</si>
  <si>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</si>
  <si>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</si>
  <si>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</si>
  <si>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</si>
  <si>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</si>
  <si>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</si>
  <si>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</si>
  <si>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</si>
  <si>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</si>
  <si>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</si>
  <si>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</si>
  <si>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</si>
  <si>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</si>
  <si>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</si>
  <si>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</si>
  <si>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</si>
  <si>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</si>
  <si>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</si>
  <si>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</si>
  <si>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</si>
  <si>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</si>
  <si>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</si>
  <si>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</si>
  <si>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</si>
  <si>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</si>
  <si>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</si>
  <si>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</si>
  <si>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</si>
  <si>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</si>
  <si>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</si>
  <si>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</si>
  <si>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</si>
  <si>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</si>
  <si>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</si>
  <si>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</si>
  <si>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</si>
  <si>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</si>
  <si>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</si>
  <si>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</si>
  <si>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</si>
  <si>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</si>
  <si>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</si>
  <si>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</si>
  <si>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</si>
  <si>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</si>
  <si>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</si>
  <si>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</si>
  <si>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</si>
  <si>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</si>
  <si>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</si>
  <si>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</si>
  <si>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</si>
  <si>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</si>
  <si>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</si>
  <si>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</si>
  <si>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</si>
  <si>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</si>
  <si>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</si>
  <si>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</si>
  <si>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</si>
  <si>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</si>
  <si>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</si>
  <si>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</si>
  <si>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</si>
  <si>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</si>
  <si>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</si>
  <si>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</si>
  <si>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</si>
  <si>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</si>
  <si>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</si>
  <si>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</si>
  <si>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</si>
  <si>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</si>
  <si>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</si>
  <si>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</si>
  <si>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</si>
  <si>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</si>
  <si>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</si>
  <si>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</si>
  <si>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</si>
  <si>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</si>
  <si>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</si>
  <si>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</si>
  <si>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</si>
  <si>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</si>
  <si>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</si>
  <si>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</si>
  <si>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</si>
  <si>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</si>
  <si>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</si>
  <si>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</si>
  <si>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</si>
  <si>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</si>
  <si>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</si>
  <si>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</si>
  <si>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</si>
  <si>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</si>
  <si>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</si>
  <si>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</si>
  <si>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</si>
  <si>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</si>
  <si>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</si>
  <si>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</si>
  <si>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</si>
  <si>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</si>
  <si>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</si>
  <si>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</si>
  <si>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</si>
  <si>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</si>
  <si>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</si>
  <si>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</si>
  <si>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</si>
  <si>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</si>
  <si>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</si>
  <si>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</si>
  <si>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</si>
  <si>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</si>
  <si>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</si>
  <si>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</si>
  <si>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</si>
  <si>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</si>
  <si>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</si>
  <si>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</si>
  <si>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</si>
  <si>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</si>
  <si>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</si>
  <si>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</si>
  <si>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</si>
  <si>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</si>
  <si>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</si>
  <si>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</si>
  <si>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</si>
  <si>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</si>
  <si>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</si>
  <si>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</si>
  <si>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</si>
  <si>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</si>
  <si>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</si>
  <si>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</si>
  <si>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</si>
  <si>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</si>
  <si>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</si>
  <si>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</si>
  <si>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</si>
  <si>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</si>
  <si>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</si>
  <si>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</si>
  <si>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</si>
  <si>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</si>
  <si>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</si>
  <si>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</si>
  <si>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</si>
  <si>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</si>
  <si>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</si>
  <si>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</si>
  <si>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</si>
  <si>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</si>
  <si>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</si>
  <si>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</si>
  <si>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</si>
  <si>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</si>
  <si>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</si>
  <si>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</si>
  <si>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</si>
  <si>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</si>
  <si>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</si>
  <si>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</si>
  <si>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</si>
  <si>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</si>
  <si>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</si>
  <si>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</si>
  <si>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</si>
  <si>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</si>
  <si>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</si>
  <si>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</si>
  <si>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</si>
  <si>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</si>
  <si>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</si>
  <si>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</si>
  <si>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</si>
  <si>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</si>
  <si>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</si>
  <si>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</si>
  <si>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</si>
  <si>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</si>
  <si>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</si>
  <si>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</si>
  <si>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</si>
  <si>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</si>
  <si>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</si>
  <si>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</si>
  <si>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</si>
  <si>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</si>
  <si>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</si>
  <si>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</si>
  <si>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</si>
  <si>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</si>
  <si>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</si>
  <si>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</si>
  <si>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</si>
  <si>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</si>
  <si>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</si>
  <si>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</si>
  <si>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</si>
  <si>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</si>
  <si>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</si>
  <si>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</si>
  <si>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</si>
  <si>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</si>
  <si>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</si>
  <si>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</si>
  <si>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</si>
  <si>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</si>
  <si>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</si>
  <si>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</si>
  <si>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</si>
  <si>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</si>
  <si>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</si>
  <si>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</si>
  <si>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</si>
  <si>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</si>
  <si>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</si>
  <si>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</si>
  <si>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</si>
  <si>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</si>
  <si>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</si>
  <si>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</si>
  <si>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</si>
  <si>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</si>
  <si>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</si>
  <si>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</si>
  <si>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</si>
  <si>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</si>
  <si>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</si>
  <si>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</si>
  <si>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</si>
  <si>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</si>
  <si>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</si>
  <si>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</si>
  <si>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</si>
  <si>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</si>
  <si>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</si>
  <si>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</si>
  <si>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</si>
  <si>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</si>
  <si>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</si>
  <si>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</si>
  <si>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</si>
  <si>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</si>
  <si>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</si>
  <si>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</si>
  <si>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</si>
  <si>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</si>
  <si>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</si>
  <si>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</si>
  <si>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</si>
  <si>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</si>
  <si>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</si>
  <si>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</si>
  <si>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</si>
  <si>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</si>
  <si>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</si>
  <si>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</si>
  <si>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</si>
  <si>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</si>
  <si>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</si>
  <si>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</si>
  <si>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</si>
  <si>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</si>
  <si>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</si>
  <si>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</si>
  <si>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</si>
  <si>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</si>
  <si>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</si>
  <si>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</si>
  <si>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</si>
  <si>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</si>
  <si>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</si>
  <si>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</si>
  <si>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</si>
  <si>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</si>
  <si>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</si>
  <si>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</si>
  <si>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</si>
  <si>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</si>
  <si>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</si>
  <si>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</si>
  <si>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</si>
  <si>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</si>
  <si>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</si>
  <si>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</si>
  <si>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</si>
  <si>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</si>
  <si>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</si>
  <si>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</si>
  <si>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</si>
  <si>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</si>
  <si>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</si>
  <si>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</si>
  <si>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</si>
  <si>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</si>
  <si>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</si>
  <si>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</si>
  <si>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</si>
  <si>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</si>
  <si>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</si>
  <si>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</si>
  <si>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</si>
  <si>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</si>
  <si>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</si>
  <si>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</si>
  <si>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</si>
  <si>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</si>
  <si>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</si>
  <si>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</si>
  <si>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</si>
  <si>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</si>
  <si>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</si>
  <si>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</si>
  <si>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</si>
  <si>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</si>
  <si>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</si>
  <si>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</si>
  <si>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</si>
  <si>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</si>
  <si>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</si>
  <si>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</si>
  <si>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</si>
  <si>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</si>
  <si>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</si>
  <si>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</si>
  <si>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</si>
  <si>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</si>
  <si>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</si>
  <si>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</si>
  <si>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</si>
  <si>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</si>
  <si>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</si>
  <si>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</si>
  <si>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</si>
  <si>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</si>
  <si>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</si>
  <si>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</si>
  <si>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</si>
  <si>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</si>
  <si>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</si>
  <si>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</si>
  <si>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</si>
  <si>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</si>
  <si>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</si>
  <si>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</si>
  <si>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</si>
  <si>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</si>
  <si>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</si>
  <si>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</si>
  <si>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</si>
  <si>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</si>
  <si>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</si>
  <si>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</si>
  <si>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</si>
  <si>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</si>
  <si>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</si>
  <si>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</si>
  <si>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</si>
  <si>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</si>
  <si>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</si>
  <si>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</si>
  <si>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</si>
  <si>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</si>
  <si>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</si>
  <si>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</si>
  <si>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</si>
  <si>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</si>
  <si>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</si>
  <si>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</si>
  <si>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</si>
  <si>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</si>
  <si>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</si>
  <si>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</si>
  <si>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</si>
  <si>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</si>
  <si>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</si>
  <si>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</si>
  <si>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</si>
  <si>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</si>
  <si>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</si>
  <si>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</si>
  <si>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</si>
  <si>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</si>
  <si>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</si>
  <si>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</si>
  <si>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</si>
  <si>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</si>
  <si>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</si>
  <si>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</si>
  <si>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</si>
  <si>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</si>
  <si>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</si>
  <si>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</si>
  <si>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</si>
  <si>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</si>
  <si>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</si>
  <si>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</si>
  <si>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</si>
  <si>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</si>
  <si>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</si>
  <si>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</si>
  <si>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</si>
  <si>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</si>
  <si>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</si>
  <si>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</si>
  <si>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</si>
  <si>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</si>
  <si>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</si>
  <si>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</si>
  <si>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</si>
  <si>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</si>
  <si>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</si>
  <si>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</si>
  <si>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</si>
  <si>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</si>
  <si>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</si>
  <si>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</si>
  <si>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</si>
  <si>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</si>
  <si>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</si>
  <si>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</si>
  <si>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</si>
  <si>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</si>
  <si>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</si>
  <si>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</si>
  <si>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</si>
  <si>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</si>
  <si>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</si>
  <si>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</si>
  <si>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</si>
  <si>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</si>
  <si>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</si>
  <si>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</si>
  <si>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</si>
  <si>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</si>
  <si>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</si>
  <si>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</si>
  <si>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</si>
  <si>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</si>
  <si>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</si>
  <si>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</si>
  <si>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</si>
  <si>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</si>
  <si>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</si>
  <si>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</si>
  <si>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</si>
  <si>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</si>
  <si>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</si>
  <si>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</si>
  <si>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</si>
  <si>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</si>
  <si>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</si>
  <si>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</si>
  <si>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</si>
  <si>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</si>
  <si>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</si>
  <si>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</si>
  <si>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</si>
  <si>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</si>
  <si>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</si>
  <si>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</si>
  <si>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</si>
  <si>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</si>
  <si>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</si>
  <si>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</si>
  <si>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</si>
  <si>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</si>
  <si>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</si>
  <si>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</si>
  <si>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</si>
  <si>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</si>
  <si>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</si>
  <si>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</si>
  <si>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</si>
  <si>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</si>
  <si>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</si>
  <si>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</si>
  <si>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</si>
  <si>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</si>
  <si>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</si>
  <si>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</si>
  <si>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</si>
  <si>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</si>
  <si>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</si>
  <si>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</si>
  <si>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</si>
  <si>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</si>
  <si>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</si>
  <si>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</si>
  <si>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</si>
  <si>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</si>
  <si>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</si>
  <si>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</si>
  <si>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</si>
  <si>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</si>
  <si>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</si>
  <si>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</si>
  <si>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</si>
  <si>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</si>
  <si>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</si>
  <si>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</si>
  <si>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</si>
  <si>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</si>
  <si>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</si>
  <si>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</si>
  <si>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</si>
  <si>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</si>
  <si>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</si>
  <si>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</si>
  <si>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</si>
  <si>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</si>
  <si>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</si>
  <si>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</si>
  <si>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</si>
  <si>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</si>
  <si>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</si>
  <si>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</si>
  <si>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</si>
  <si>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</si>
  <si>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</si>
  <si>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</si>
  <si>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</si>
  <si>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</si>
  <si>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</si>
  <si>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</si>
  <si>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</si>
  <si>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</si>
  <si>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</si>
  <si>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</si>
  <si>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</si>
  <si>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</si>
  <si>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</si>
  <si>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</si>
  <si>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</si>
  <si>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</si>
  <si>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</si>
  <si>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</si>
  <si>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</si>
  <si>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</si>
  <si>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</si>
  <si>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</si>
  <si>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</si>
  <si>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</si>
  <si>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</si>
  <si>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</si>
  <si>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</si>
  <si>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</si>
  <si>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</si>
  <si>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</si>
  <si>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</si>
  <si>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</si>
  <si>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</si>
  <si>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</si>
  <si>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</si>
  <si>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</si>
  <si>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</si>
  <si>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</si>
  <si>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</si>
  <si>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</si>
  <si>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</si>
  <si>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</si>
  <si>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</si>
  <si>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</si>
  <si>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</si>
  <si>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</si>
  <si>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</si>
  <si>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</si>
  <si>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</si>
  <si>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</si>
  <si>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</si>
  <si>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</si>
  <si>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</si>
  <si>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</si>
  <si>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</si>
  <si>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</si>
  <si>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</si>
  <si>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</si>
  <si>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</si>
  <si>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</si>
  <si>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</si>
  <si>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</si>
  <si>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</si>
  <si>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</si>
  <si>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</si>
  <si>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</si>
  <si>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</si>
  <si>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</si>
  <si>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</si>
  <si>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</si>
  <si>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</si>
  <si>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</si>
  <si>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</si>
  <si>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</si>
  <si>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</si>
  <si>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</si>
  <si>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</si>
  <si>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</si>
  <si>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</si>
  <si>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</si>
  <si>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</si>
  <si>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</si>
  <si>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</si>
  <si>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</si>
  <si>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</si>
  <si>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</si>
  <si>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</si>
  <si>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</si>
  <si>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</si>
  <si>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</si>
  <si>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</si>
  <si>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</si>
  <si>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</si>
  <si>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</si>
  <si>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</si>
  <si>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</si>
  <si>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</si>
  <si>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</si>
  <si>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</si>
  <si>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</si>
  <si>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</si>
  <si>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</si>
  <si>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</si>
  <si>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</si>
  <si>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</si>
  <si>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</si>
  <si>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</si>
  <si>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</si>
  <si>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</si>
  <si>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</si>
  <si>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</si>
  <si>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</si>
  <si>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</si>
  <si>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</si>
  <si>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</si>
  <si>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</si>
  <si>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</si>
  <si>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</si>
  <si>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</si>
  <si>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</si>
  <si>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</si>
  <si>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</si>
  <si>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</si>
  <si>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</si>
  <si>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</si>
  <si>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</si>
  <si>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</si>
  <si>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</si>
  <si>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</si>
  <si>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</si>
  <si>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</si>
  <si>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</si>
  <si>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</si>
  <si>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</si>
  <si>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</si>
  <si>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</si>
  <si>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</si>
  <si>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</si>
  <si>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</si>
  <si>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</si>
  <si>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</si>
  <si>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</si>
  <si>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</si>
  <si>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</si>
  <si>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</si>
  <si>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</si>
  <si>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</si>
  <si>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</si>
  <si>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</si>
  <si>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</si>
  <si>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</si>
  <si>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</si>
  <si>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</si>
  <si>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</si>
  <si>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</si>
  <si>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</si>
  <si>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</si>
  <si>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</si>
  <si>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</si>
  <si>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</si>
  <si>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</si>
  <si>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</si>
  <si>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</si>
  <si>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</si>
  <si>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</si>
  <si>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</si>
  <si>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</si>
  <si>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</si>
  <si>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</si>
  <si>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</si>
  <si>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</si>
  <si>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</si>
  <si>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</si>
  <si>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</si>
  <si>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</si>
  <si>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</si>
  <si>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</si>
  <si>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</si>
  <si>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</si>
  <si>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</si>
  <si>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</si>
  <si>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</si>
  <si>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</si>
  <si>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</si>
  <si>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</si>
  <si>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</si>
  <si>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</si>
  <si>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</si>
  <si>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</si>
  <si>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</si>
  <si>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</si>
  <si>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</si>
  <si>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</si>
  <si>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</si>
  <si>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</si>
  <si>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</si>
  <si>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</si>
  <si>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</si>
  <si>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</si>
  <si>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</si>
  <si>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</si>
  <si>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</si>
  <si>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</si>
  <si>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</si>
  <si>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</si>
  <si>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</si>
  <si>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</si>
  <si>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</si>
  <si>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</si>
  <si>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</si>
  <si>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</si>
  <si>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</si>
  <si>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</si>
  <si>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</si>
  <si>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</si>
  <si>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</si>
  <si>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</si>
  <si>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</si>
  <si>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</si>
  <si>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</si>
  <si>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</si>
  <si>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</si>
  <si>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</si>
  <si>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</si>
  <si>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</si>
  <si>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</si>
  <si>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</si>
  <si>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</si>
  <si>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</si>
  <si>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</si>
  <si>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</si>
  <si>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</si>
  <si>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</si>
  <si>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</si>
  <si>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</si>
  <si>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</si>
  <si>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</si>
  <si>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</si>
  <si>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</si>
  <si>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</si>
  <si>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</si>
  <si>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</si>
  <si>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</si>
  <si>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</si>
  <si>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</si>
  <si>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</si>
  <si>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</si>
  <si>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</si>
  <si>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</si>
  <si>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</si>
  <si>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</si>
  <si>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</si>
  <si>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</si>
  <si>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</si>
  <si>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</si>
  <si>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</si>
  <si>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</si>
  <si>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</si>
  <si>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</si>
  <si>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</si>
  <si>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</si>
  <si>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</si>
  <si>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</si>
  <si>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</si>
  <si>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</si>
  <si>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</si>
  <si>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</si>
  <si>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</si>
  <si>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</si>
  <si>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</si>
  <si>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</si>
  <si>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</si>
  <si>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</si>
  <si>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</si>
  <si>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</si>
  <si>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</si>
  <si>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</si>
  <si>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</si>
  <si>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</si>
  <si>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</si>
  <si>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</si>
  <si>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</si>
  <si>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</si>
  <si>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</si>
  <si>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</si>
  <si>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</si>
  <si>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</si>
  <si>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</si>
  <si>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</si>
  <si>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</si>
  <si>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</si>
  <si>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</si>
  <si>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</si>
  <si>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</si>
  <si>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</si>
  <si>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</si>
  <si>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</si>
  <si>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</si>
  <si>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</si>
  <si>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</si>
  <si>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</si>
  <si>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</si>
  <si>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</si>
  <si>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</si>
  <si>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</si>
  <si>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</si>
  <si>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</si>
  <si>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</si>
  <si>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</si>
  <si>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</si>
  <si>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</si>
  <si>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</si>
  <si>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</si>
  <si>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</si>
  <si>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</si>
  <si>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</si>
  <si>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</si>
  <si>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</si>
  <si>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</si>
  <si>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</si>
  <si>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</si>
  <si>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</si>
  <si>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</si>
  <si>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</si>
  <si>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</si>
  <si>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</si>
  <si>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</si>
  <si>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</si>
  <si>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</si>
  <si>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</si>
  <si>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</si>
  <si>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</si>
  <si>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</si>
  <si>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</si>
  <si>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</si>
  <si>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</si>
  <si>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</si>
  <si>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</si>
  <si>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</si>
  <si>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</si>
  <si>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</si>
  <si>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</si>
  <si>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</si>
  <si>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</si>
  <si>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</si>
  <si>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</si>
  <si>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</si>
  <si>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</si>
  <si>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</si>
  <si>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</si>
  <si>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</si>
  <si>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</si>
  <si>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</si>
  <si>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</si>
  <si>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</si>
  <si>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</si>
  <si>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</si>
  <si>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</si>
  <si>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</si>
  <si>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</si>
  <si>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</si>
  <si>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</si>
  <si>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</si>
  <si>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</si>
  <si>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</si>
  <si>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</si>
  <si>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</si>
  <si>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</si>
  <si>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</si>
  <si>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</si>
  <si>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</si>
  <si>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</si>
  <si>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</si>
  <si>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</si>
  <si>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</si>
  <si>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</si>
  <si>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</si>
  <si>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</si>
  <si>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</si>
  <si>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</si>
  <si>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</si>
  <si>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</si>
  <si>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</si>
  <si>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</si>
  <si>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</si>
  <si>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</si>
  <si>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</si>
  <si>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</si>
  <si>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</si>
  <si>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</si>
  <si>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</si>
  <si>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</si>
  <si>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</si>
  <si>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</si>
  <si>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</si>
  <si>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</si>
  <si>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</si>
  <si>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</si>
  <si>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</si>
  <si>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</si>
  <si>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</si>
  <si>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</si>
  <si>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</si>
  <si>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</si>
  <si>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</si>
  <si>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</si>
  <si>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</si>
  <si>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</si>
  <si>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</si>
  <si>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</si>
  <si>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</si>
  <si>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</si>
  <si>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</si>
  <si>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</si>
  <si>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</si>
  <si>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</si>
  <si>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</si>
  <si>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</si>
  <si>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</si>
  <si>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</si>
  <si>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</si>
  <si>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</si>
  <si>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</si>
  <si>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</si>
  <si>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</si>
  <si>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</si>
  <si>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</si>
  <si>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</si>
  <si>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</si>
  <si>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</si>
  <si>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</si>
  <si>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</si>
  <si>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</si>
  <si>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</si>
  <si>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</si>
  <si>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</si>
  <si>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</si>
  <si>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</si>
  <si>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</si>
  <si>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</si>
  <si>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</si>
  <si>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</si>
  <si>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</si>
  <si>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</si>
  <si>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</si>
  <si>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</si>
  <si>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</si>
  <si>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</si>
  <si>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</si>
  <si>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</si>
  <si>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</si>
  <si>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</si>
  <si>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</si>
  <si>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</si>
  <si>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</si>
  <si>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</si>
  <si>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</si>
  <si>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</si>
  <si>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</si>
  <si>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</si>
  <si>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</si>
  <si>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</si>
  <si>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</si>
  <si>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</si>
  <si>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</si>
  <si>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</si>
  <si>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</si>
  <si>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</si>
  <si>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</si>
  <si>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</si>
  <si>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</si>
  <si>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</si>
  <si>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</si>
  <si>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</si>
  <si>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</si>
  <si>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</si>
  <si>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</si>
  <si>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</si>
  <si>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</si>
  <si>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</si>
  <si>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</si>
  <si>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</si>
  <si>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</si>
  <si>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</si>
  <si>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</si>
  <si>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</si>
  <si>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</si>
  <si>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</si>
  <si>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</si>
  <si>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</si>
  <si>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</si>
  <si>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</si>
  <si>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</si>
  <si>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</si>
  <si>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</si>
  <si>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</si>
  <si>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</si>
  <si>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</si>
  <si>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</si>
  <si>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</si>
  <si>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</si>
  <si>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</si>
  <si>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</si>
  <si>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</si>
  <si>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</si>
  <si>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</si>
  <si>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</si>
  <si>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</si>
  <si>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</si>
  <si>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</si>
  <si>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</si>
  <si>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</si>
  <si>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</si>
  <si>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</si>
  <si>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</si>
  <si>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</si>
  <si>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</si>
  <si>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</si>
  <si>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</si>
  <si>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</si>
  <si>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</si>
  <si>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</si>
  <si>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</si>
  <si>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</si>
  <si>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</si>
  <si>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</si>
  <si>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</si>
  <si>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</si>
  <si>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</si>
  <si>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</si>
  <si>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</si>
  <si>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</si>
  <si>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</si>
  <si>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</si>
  <si>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</si>
  <si>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</si>
  <si>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</si>
  <si>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</si>
  <si>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</si>
  <si>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</si>
  <si>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</si>
  <si>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</si>
  <si>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</si>
  <si>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</si>
  <si>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</si>
  <si>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</si>
  <si>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</si>
  <si>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</si>
  <si>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</si>
  <si>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</si>
  <si>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</si>
  <si>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</si>
  <si>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</si>
  <si>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</si>
  <si>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</si>
  <si>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</si>
  <si>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</si>
  <si>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</si>
  <si>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</si>
  <si>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</si>
  <si>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</si>
  <si>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</si>
  <si>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</si>
  <si>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</si>
  <si>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</si>
  <si>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</si>
  <si>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</si>
  <si>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</si>
  <si>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</si>
  <si>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</si>
  <si>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</si>
  <si>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</si>
  <si>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</si>
  <si>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</si>
  <si>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</si>
  <si>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</si>
  <si>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</si>
  <si>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</si>
  <si>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</si>
  <si>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</si>
  <si>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</si>
  <si>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</si>
  <si>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</si>
  <si>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</si>
  <si>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</si>
  <si>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</si>
  <si>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</si>
  <si>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</si>
  <si>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</si>
  <si>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</si>
  <si>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</si>
  <si>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</si>
  <si>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</si>
  <si>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</si>
  <si>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</si>
  <si>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</si>
  <si>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</si>
  <si>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</si>
  <si>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</si>
  <si>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</si>
  <si>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</si>
  <si>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</si>
  <si>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</si>
  <si>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</si>
  <si>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</si>
  <si>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</si>
  <si>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</si>
  <si>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</si>
  <si>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</si>
  <si>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</si>
  <si>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</si>
  <si>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</si>
  <si>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</si>
  <si>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</si>
  <si>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</si>
  <si>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</si>
  <si>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</si>
  <si>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</si>
  <si>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</si>
  <si>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</si>
  <si>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</si>
  <si>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</si>
  <si>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</si>
  <si>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</si>
  <si>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</si>
  <si>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</si>
  <si>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</si>
  <si>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</si>
  <si>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</si>
  <si>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</si>
  <si>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</si>
  <si>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</si>
  <si>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</si>
  <si>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</si>
  <si>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</si>
  <si>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</si>
  <si>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</si>
  <si>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</si>
  <si>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</si>
  <si>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</si>
  <si>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</si>
  <si>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</si>
  <si>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</si>
  <si>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</si>
  <si>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</si>
  <si>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</si>
  <si>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</si>
  <si>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</si>
  <si>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</si>
  <si>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</si>
  <si>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</si>
  <si>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</si>
  <si>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</si>
  <si>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</si>
  <si>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</si>
  <si>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</si>
  <si>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</si>
  <si>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</si>
  <si>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</si>
  <si>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</si>
  <si>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</si>
  <si>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</si>
  <si>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</si>
  <si>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</si>
  <si>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</si>
  <si>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</si>
  <si>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</si>
  <si>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</si>
  <si>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</si>
  <si>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</si>
  <si>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</si>
  <si>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</si>
  <si>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</si>
  <si>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</si>
  <si>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</si>
  <si>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</si>
  <si>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</si>
  <si>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</si>
  <si>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</si>
  <si>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</si>
  <si>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</si>
  <si>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</si>
  <si>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</si>
  <si>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</si>
  <si>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</si>
  <si>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</si>
  <si>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</si>
  <si>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</si>
  <si>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</si>
  <si>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</si>
  <si>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</si>
  <si>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</si>
  <si>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</si>
  <si>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</si>
  <si>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</si>
  <si>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</si>
  <si>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</si>
  <si>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</si>
  <si>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</si>
  <si>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</si>
  <si>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</si>
  <si>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</si>
  <si>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</si>
  <si>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</si>
  <si>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</si>
  <si>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</si>
  <si>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</si>
  <si>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</si>
  <si>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</si>
  <si>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</si>
  <si>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</si>
  <si>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</si>
  <si>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</si>
  <si>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</si>
  <si>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</si>
  <si>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</si>
  <si>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</si>
  <si>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</si>
  <si>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</si>
  <si>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</si>
  <si>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</si>
  <si>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</si>
  <si>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</si>
  <si>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</si>
  <si>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</si>
  <si>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</si>
  <si>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</si>
  <si>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</si>
  <si>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</si>
  <si>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</si>
  <si>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</si>
  <si>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</si>
  <si>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</si>
  <si>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</si>
  <si>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</si>
  <si>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</si>
  <si>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</si>
  <si>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</si>
  <si>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</si>
  <si>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</si>
  <si>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</si>
  <si>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</si>
  <si>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</si>
  <si>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</si>
  <si>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</si>
  <si>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</si>
  <si>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</si>
  <si>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</si>
  <si>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</si>
  <si>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</si>
  <si>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</si>
  <si>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</si>
  <si>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</si>
  <si>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</si>
  <si>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</si>
  <si>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</si>
  <si>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</si>
  <si>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</si>
  <si>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</si>
  <si>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</si>
  <si>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</si>
  <si>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</si>
  <si>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</si>
  <si>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</si>
  <si>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</si>
  <si>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</si>
  <si>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</si>
  <si>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</si>
  <si>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</si>
  <si>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</si>
  <si>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</si>
  <si>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</si>
  <si>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</si>
  <si>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</si>
  <si>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</si>
  <si>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</si>
  <si>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</si>
  <si>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</si>
  <si>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</si>
  <si>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</si>
  <si>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</si>
  <si>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</si>
  <si>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</si>
  <si>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</si>
  <si>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</si>
  <si>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</si>
  <si>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</si>
  <si>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</si>
  <si>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</si>
  <si>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</si>
  <si>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</si>
  <si>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</si>
  <si>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</si>
  <si>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</si>
  <si>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</si>
  <si>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</si>
  <si>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</si>
  <si>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</si>
  <si>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</si>
  <si>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</si>
  <si>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</si>
  <si>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</si>
  <si>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</si>
  <si>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</si>
  <si>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</si>
  <si>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</si>
  <si>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</si>
  <si>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</si>
  <si>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</si>
  <si>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</si>
  <si>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</si>
  <si>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</si>
  <si>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</si>
  <si>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</si>
  <si>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</si>
  <si>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</si>
  <si>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</si>
  <si>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</si>
  <si>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</si>
  <si>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</si>
  <si>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</si>
  <si>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</si>
  <si>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</si>
  <si>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</si>
  <si>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</si>
  <si>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</si>
  <si>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</si>
  <si>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</si>
  <si>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</si>
  <si>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</si>
  <si>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</si>
  <si>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</si>
  <si>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</si>
  <si>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</si>
  <si>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</si>
  <si>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</si>
  <si>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</si>
  <si>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</si>
  <si>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</si>
  <si>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</si>
  <si>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</si>
  <si>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</si>
  <si>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</si>
  <si>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</si>
  <si>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</si>
  <si>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</si>
  <si>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</si>
  <si>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</si>
  <si>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</si>
  <si>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</si>
  <si>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</si>
  <si>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</si>
  <si>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</si>
  <si>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</si>
  <si>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</si>
  <si>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</si>
  <si>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</si>
  <si>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</si>
  <si>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</si>
  <si>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</si>
  <si>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</si>
  <si>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</si>
  <si>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</si>
  <si>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</si>
  <si>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</si>
  <si>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</si>
  <si>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</si>
  <si>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</si>
  <si>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</si>
  <si>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</si>
  <si>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</si>
  <si>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</si>
  <si>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</si>
  <si>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</si>
  <si>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</si>
  <si>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</si>
  <si>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</si>
  <si>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</si>
  <si>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</si>
  <si>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</si>
  <si>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</si>
  <si>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</si>
  <si>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</si>
  <si>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</si>
  <si>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</si>
  <si>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</si>
  <si>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</si>
  <si>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</si>
  <si>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</si>
  <si>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</si>
  <si>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</si>
  <si>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</si>
  <si>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</si>
  <si>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</si>
  <si>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</si>
  <si>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</si>
  <si>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</si>
  <si>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</si>
  <si>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</si>
  <si>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</si>
  <si>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</si>
  <si>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</si>
  <si>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</si>
  <si>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</si>
  <si>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</si>
  <si>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</si>
  <si>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</si>
  <si>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</si>
  <si>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</si>
  <si>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</si>
  <si>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</si>
  <si>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</si>
  <si>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</si>
  <si>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</si>
  <si>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</si>
  <si>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</si>
  <si>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</si>
  <si>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</si>
  <si>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</si>
  <si>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</si>
  <si>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</si>
  <si>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</si>
  <si>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</si>
  <si>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</si>
  <si>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</si>
  <si>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</si>
  <si>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</si>
  <si>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</si>
  <si>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</si>
  <si>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</si>
  <si>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</si>
  <si>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</si>
  <si>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</si>
  <si>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</si>
  <si>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</si>
  <si>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</si>
  <si>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</si>
  <si>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</si>
  <si>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</si>
  <si>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</si>
  <si>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</si>
  <si>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</si>
  <si>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</si>
  <si>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</si>
  <si>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</si>
  <si>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</si>
  <si>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</si>
  <si>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</si>
  <si>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</si>
  <si>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</si>
  <si>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</si>
  <si>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</si>
  <si>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</si>
  <si>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</si>
  <si>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</si>
  <si>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</si>
  <si>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</si>
  <si>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</si>
  <si>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</si>
  <si>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</si>
  <si>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</si>
  <si>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</si>
  <si>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</si>
  <si>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</si>
  <si>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</si>
  <si>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</si>
  <si>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</si>
  <si>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</si>
  <si>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</si>
  <si>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</si>
  <si>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</si>
  <si>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</si>
  <si>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</si>
  <si>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</si>
  <si>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</si>
  <si>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</si>
  <si>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</si>
  <si>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</si>
  <si>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</si>
  <si>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</si>
  <si>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</si>
  <si>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</si>
  <si>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</si>
  <si>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</si>
  <si>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</si>
  <si>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</si>
  <si>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</si>
  <si>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</si>
  <si>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</si>
  <si>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</si>
  <si>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</si>
  <si>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</si>
  <si>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</si>
  <si>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</si>
  <si>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</si>
  <si>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</si>
  <si>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</si>
  <si>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</si>
  <si>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</si>
  <si>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</si>
  <si>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</si>
  <si>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</si>
  <si>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</si>
  <si>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</si>
  <si>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</si>
  <si>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</si>
  <si>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</si>
  <si>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</si>
  <si>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</si>
  <si>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</si>
  <si>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</si>
  <si>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</si>
  <si>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</si>
  <si>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</si>
  <si>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</si>
  <si>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</si>
  <si>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</si>
  <si>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</si>
  <si>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</si>
  <si>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</si>
  <si>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</si>
  <si>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</si>
  <si>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</si>
  <si>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</si>
  <si>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</si>
  <si>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</si>
  <si>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</si>
  <si>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</si>
  <si>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</si>
  <si>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</si>
  <si>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</si>
  <si>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</si>
  <si>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</si>
  <si>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</si>
  <si>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</si>
  <si>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</si>
  <si>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</si>
  <si>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</si>
  <si>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</si>
  <si>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</si>
  <si>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</si>
  <si>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</si>
  <si>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</si>
  <si>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</si>
  <si>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</si>
  <si>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</si>
  <si>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</si>
  <si>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</si>
  <si>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</si>
  <si>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</si>
  <si>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</si>
  <si>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</si>
  <si>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</si>
  <si>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</si>
  <si>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</si>
  <si>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</si>
  <si>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</si>
  <si>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</si>
  <si>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</si>
  <si>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</si>
  <si>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</si>
  <si>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</si>
  <si>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</si>
  <si>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</si>
  <si>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</si>
  <si>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</si>
  <si>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</si>
  <si>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</si>
  <si>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</si>
  <si>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</si>
  <si>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</si>
  <si>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</si>
  <si>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</si>
  <si>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</si>
  <si>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</si>
  <si>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</si>
  <si>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</si>
  <si>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</si>
  <si>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</si>
  <si>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</si>
  <si>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</si>
  <si>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</si>
  <si>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</si>
  <si>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</si>
  <si>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</si>
  <si>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</si>
  <si>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</si>
  <si>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</si>
  <si>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</si>
  <si>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</si>
  <si>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</si>
  <si>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</si>
  <si>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</si>
  <si>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</si>
  <si>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</si>
  <si>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</si>
  <si>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</si>
  <si>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</si>
  <si>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</si>
  <si>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</si>
  <si>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</si>
  <si>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</si>
  <si>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</si>
  <si>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</si>
  <si>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</si>
  <si>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</si>
  <si>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</si>
  <si>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</si>
  <si>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</si>
  <si>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</si>
  <si>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</si>
  <si>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</si>
  <si>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</si>
  <si>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</si>
  <si>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</si>
  <si>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</si>
  <si>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</si>
  <si>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</si>
  <si>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</si>
  <si>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</si>
  <si>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</si>
  <si>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</si>
  <si>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</si>
  <si>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</si>
  <si>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</si>
  <si>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</si>
  <si>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</si>
  <si>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</si>
  <si>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</si>
  <si>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</si>
  <si>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</si>
  <si>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</si>
  <si>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</si>
  <si>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</si>
  <si>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</si>
  <si>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</si>
  <si>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</si>
  <si>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</si>
  <si>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</si>
  <si>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</si>
  <si>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</si>
  <si>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</si>
  <si>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</si>
  <si>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</si>
  <si>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</si>
  <si>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</si>
  <si>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</si>
  <si>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</si>
  <si>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</si>
  <si>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</si>
  <si>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</si>
  <si>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</si>
  <si>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</si>
  <si>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</si>
  <si>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</si>
  <si>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</si>
  <si>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</si>
  <si>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</si>
  <si>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</si>
  <si>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</si>
  <si>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</si>
  <si>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</si>
  <si>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</si>
  <si>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</si>
  <si>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</si>
  <si>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</si>
  <si>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</si>
  <si>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</si>
  <si>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</si>
  <si>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</si>
  <si>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</si>
  <si>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</si>
  <si>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</si>
  <si>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</si>
  <si>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</si>
  <si>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</si>
  <si>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</si>
  <si>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</si>
  <si>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</si>
  <si>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</si>
  <si>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</si>
  <si>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</si>
  <si>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</si>
  <si>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</si>
  <si>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</si>
  <si>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</si>
  <si>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</si>
  <si>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</si>
  <si>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</si>
  <si>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</si>
  <si>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</si>
  <si>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</si>
  <si>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</si>
  <si>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</si>
  <si>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</si>
  <si>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</si>
  <si>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</si>
  <si>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</si>
  <si>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</si>
  <si>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</si>
  <si>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</si>
  <si>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</si>
  <si>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</si>
  <si>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</si>
  <si>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</si>
  <si>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</si>
  <si>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</si>
  <si>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</si>
  <si>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</si>
  <si>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</si>
  <si>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</si>
  <si>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</si>
  <si>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</si>
  <si>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</si>
  <si>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</si>
  <si>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</si>
  <si>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</si>
  <si>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</si>
  <si>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</si>
  <si>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</si>
  <si>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</si>
  <si>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</si>
  <si>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</si>
  <si>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</si>
  <si>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</si>
  <si>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</si>
  <si>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</si>
  <si>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</si>
  <si>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</si>
  <si>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</si>
  <si>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</si>
  <si>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</si>
  <si>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</si>
  <si>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</si>
  <si>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</si>
  <si>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</si>
  <si>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</si>
  <si>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</si>
  <si>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</si>
  <si>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</si>
  <si>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</si>
  <si>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</si>
  <si>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</si>
  <si>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</si>
  <si>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</si>
  <si>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</si>
  <si>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</si>
  <si>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</si>
  <si>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</si>
  <si>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</si>
  <si>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</si>
  <si>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</si>
  <si>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</si>
  <si>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</si>
  <si>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</si>
  <si>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</si>
  <si>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</si>
  <si>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</si>
  <si>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</si>
  <si>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</si>
  <si>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</si>
  <si>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</si>
  <si>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</si>
  <si>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</si>
  <si>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</si>
  <si>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</si>
  <si>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</si>
  <si>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</si>
  <si>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</si>
  <si>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</si>
  <si>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</si>
  <si>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</si>
  <si>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</si>
  <si>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</si>
  <si>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</si>
  <si>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</si>
  <si>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</si>
  <si>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</si>
  <si>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</si>
  <si>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</si>
  <si>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</si>
  <si>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</si>
  <si>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</si>
  <si>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</si>
  <si>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</si>
  <si>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</si>
  <si>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</si>
  <si>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</si>
  <si>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</si>
  <si>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</si>
  <si>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</si>
  <si>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</si>
  <si>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</si>
  <si>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</si>
  <si>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</si>
  <si>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</si>
  <si>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</si>
  <si>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</si>
  <si>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</si>
  <si>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</si>
  <si>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</si>
  <si>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</si>
  <si>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</si>
  <si>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</si>
  <si>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</si>
  <si>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</si>
  <si>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</si>
  <si>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</si>
  <si>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</si>
  <si>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</si>
  <si>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</si>
  <si>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</si>
  <si>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</si>
  <si>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</si>
  <si>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</si>
  <si>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</si>
  <si>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</si>
  <si>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</si>
  <si>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</si>
  <si>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</si>
  <si>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</si>
  <si>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</si>
  <si>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</si>
  <si>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</si>
  <si>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</si>
  <si>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</si>
  <si>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</si>
  <si>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</si>
  <si>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</si>
  <si>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</si>
  <si>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</si>
  <si>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</si>
  <si>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</si>
  <si>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</si>
  <si>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</si>
  <si>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</si>
  <si>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</si>
  <si>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</si>
  <si>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</si>
  <si>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</si>
  <si>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</si>
  <si>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</si>
  <si>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</si>
  <si>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</si>
  <si>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</si>
  <si>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</si>
  <si>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</si>
  <si>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</si>
  <si>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</si>
  <si>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</si>
  <si>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</si>
  <si>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</si>
  <si>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</si>
  <si>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</si>
  <si>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</si>
  <si>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</si>
  <si>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</si>
  <si>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</si>
  <si>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</si>
  <si>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</si>
  <si>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</si>
  <si>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</si>
  <si>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</si>
  <si>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</si>
  <si>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</si>
  <si>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</si>
  <si>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</si>
  <si>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</si>
  <si>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</si>
  <si>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</si>
  <si>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</si>
  <si>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</si>
  <si>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</si>
  <si>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</si>
  <si>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</si>
  <si>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</si>
  <si>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</si>
  <si>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</si>
  <si>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</si>
  <si>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</si>
  <si>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</si>
  <si>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</si>
  <si>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</si>
  <si>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</si>
  <si>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</si>
  <si>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</si>
  <si>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</si>
  <si>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</si>
  <si>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</si>
  <si>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</si>
  <si>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</si>
  <si>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</si>
  <si>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</si>
  <si>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</si>
  <si>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</si>
  <si>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</si>
  <si>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</si>
  <si>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</si>
  <si>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</si>
  <si>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</si>
  <si>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</si>
  <si>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</si>
  <si>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</si>
  <si>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</si>
  <si>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</si>
  <si>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</si>
  <si>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</si>
  <si>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</si>
  <si>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</si>
  <si>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</si>
  <si>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</si>
  <si>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</si>
  <si>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</si>
  <si>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</si>
  <si>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</si>
  <si>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</si>
  <si>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</si>
  <si>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</si>
  <si>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</si>
  <si>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</si>
  <si>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</si>
  <si>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</si>
  <si>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</si>
  <si>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</si>
  <si>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</si>
  <si>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</si>
  <si>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</si>
  <si>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</si>
  <si>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</si>
  <si>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</si>
  <si>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</si>
  <si>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</si>
  <si>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</si>
  <si>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</si>
  <si>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</si>
  <si>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</si>
  <si>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</si>
  <si>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</si>
  <si>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</si>
  <si>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</si>
  <si>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</si>
  <si>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</si>
  <si>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</si>
  <si>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</si>
  <si>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</si>
  <si>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</si>
  <si>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</si>
  <si>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</si>
  <si>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</si>
  <si>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</si>
  <si>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</si>
  <si>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</si>
  <si>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</si>
  <si>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</si>
  <si>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</si>
  <si>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</si>
  <si>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</si>
  <si>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</si>
  <si>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</si>
  <si>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</si>
  <si>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</si>
  <si>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</si>
  <si>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</si>
  <si>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</si>
  <si>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</si>
  <si>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</si>
  <si>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</si>
  <si>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</si>
  <si>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</si>
  <si>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</si>
  <si>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</si>
  <si>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</si>
  <si>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</si>
  <si>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</si>
  <si>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</si>
  <si>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</si>
  <si>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</si>
  <si>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</si>
  <si>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</si>
  <si>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</si>
  <si>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</si>
  <si>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</si>
  <si>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</si>
  <si>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</si>
  <si>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</si>
  <si>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</si>
  <si>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</si>
  <si>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</si>
  <si>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</si>
  <si>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</si>
  <si>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</si>
  <si>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</si>
  <si>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</si>
  <si>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</si>
  <si>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</si>
  <si>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</si>
  <si>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</si>
  <si>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</si>
  <si>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</si>
  <si>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</si>
  <si>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</si>
  <si>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</si>
  <si>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</si>
  <si>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</si>
  <si>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</si>
  <si>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</si>
  <si>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</si>
  <si>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</si>
  <si>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</si>
  <si>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</si>
  <si>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</si>
  <si>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</si>
  <si>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</si>
  <si>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</si>
  <si>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</si>
  <si>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</si>
  <si>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</si>
  <si>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</si>
  <si>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</si>
  <si>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</si>
  <si>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</si>
  <si>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</si>
  <si>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</si>
  <si>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</si>
  <si>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</si>
  <si>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</si>
  <si>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</si>
  <si>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</si>
  <si>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</si>
  <si>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</si>
  <si>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</si>
  <si>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</si>
  <si>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</si>
  <si>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</si>
  <si>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</si>
  <si>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</si>
  <si>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</si>
  <si>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</si>
  <si>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</si>
  <si>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</si>
  <si>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</si>
  <si>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</si>
  <si>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</si>
  <si>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</si>
  <si>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</si>
  <si>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</si>
  <si>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</si>
  <si>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</si>
  <si>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</si>
  <si>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</si>
  <si>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</si>
  <si>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</si>
  <si>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</si>
  <si>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</si>
  <si>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</si>
  <si>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</si>
  <si>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</si>
  <si>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</si>
  <si>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</si>
  <si>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</si>
  <si>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</si>
  <si>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</si>
  <si>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</si>
  <si>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</si>
  <si>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</si>
  <si>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</si>
  <si>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</si>
  <si>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</si>
  <si>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</si>
  <si>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</si>
  <si>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</si>
  <si>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</si>
  <si>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</si>
  <si>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</si>
  <si>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</si>
  <si>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</si>
  <si>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</si>
  <si>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</si>
  <si>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</si>
  <si>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</si>
  <si>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</si>
  <si>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</si>
  <si>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</si>
  <si>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</si>
  <si>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</si>
  <si>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</si>
  <si>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</si>
  <si>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</si>
  <si>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</si>
  <si>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</si>
  <si>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</si>
  <si>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</si>
  <si>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</si>
  <si>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</si>
  <si>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</si>
  <si>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</si>
  <si>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</si>
  <si>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</si>
  <si>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</si>
  <si>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</si>
  <si>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</si>
  <si>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</si>
  <si>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</si>
  <si>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</si>
  <si>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</si>
  <si>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</si>
  <si>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</si>
  <si>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</si>
  <si>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</si>
  <si>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</si>
  <si>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</si>
  <si>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</si>
  <si>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</si>
  <si>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</si>
  <si>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</si>
  <si>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</si>
  <si>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</si>
  <si>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</si>
  <si>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</si>
  <si>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</si>
  <si>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</si>
  <si>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</si>
  <si>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</si>
  <si>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</si>
  <si>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</si>
  <si>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</si>
  <si>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</si>
  <si>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</si>
  <si>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</si>
  <si>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</si>
  <si>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</si>
  <si>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</si>
  <si>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</si>
  <si>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</si>
  <si>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</si>
  <si>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</si>
  <si>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</si>
  <si>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</si>
  <si>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</si>
  <si>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</si>
  <si>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</si>
  <si>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</si>
  <si>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</si>
  <si>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</si>
  <si>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</si>
  <si>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</si>
  <si>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</si>
  <si>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</si>
  <si>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</si>
  <si>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</si>
  <si>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</si>
  <si>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</si>
  <si>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</si>
  <si>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</si>
  <si>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</si>
  <si>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</si>
  <si>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</si>
  <si>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</si>
  <si>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</si>
  <si>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</si>
  <si>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</si>
  <si>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</si>
  <si>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</si>
  <si>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</si>
  <si>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</si>
  <si>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</si>
  <si>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</si>
  <si>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</si>
  <si>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</si>
  <si>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</si>
  <si>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</si>
  <si>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</si>
  <si>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</si>
  <si>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</si>
  <si>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</si>
  <si>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</si>
  <si>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</si>
  <si>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</si>
  <si>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</si>
  <si>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</si>
  <si>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</si>
  <si>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</si>
  <si>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</si>
  <si>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</si>
  <si>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</si>
  <si>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</si>
  <si>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</si>
  <si>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</si>
  <si>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</si>
  <si>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</si>
  <si>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</si>
  <si>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</si>
  <si>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</si>
  <si>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</si>
  <si>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</si>
  <si>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</si>
  <si>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</si>
  <si>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</si>
  <si>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</si>
  <si>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</si>
  <si>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</si>
  <si>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</si>
  <si>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</si>
  <si>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</si>
  <si>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</si>
  <si>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</si>
  <si>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</si>
  <si>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</si>
  <si>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</si>
  <si>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</si>
  <si>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</si>
  <si>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</si>
  <si>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</si>
  <si>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</si>
  <si>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</si>
  <si>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</si>
  <si>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</si>
  <si>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</si>
  <si>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</si>
  <si>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</si>
  <si>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</si>
  <si>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</si>
  <si>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</si>
  <si>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</si>
  <si>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</si>
  <si>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</si>
  <si>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</si>
  <si>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</si>
  <si>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</si>
  <si>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</si>
  <si>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</si>
  <si>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</si>
  <si>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</si>
  <si>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</si>
  <si>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</si>
  <si>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</si>
  <si>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</si>
  <si>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</si>
  <si>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</si>
  <si>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</si>
  <si>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</si>
  <si>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</si>
  <si>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</si>
  <si>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</si>
  <si>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</si>
  <si>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</si>
  <si>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</si>
  <si>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</si>
  <si>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</si>
  <si>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</si>
  <si>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</si>
  <si>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</si>
  <si>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</si>
  <si>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</si>
  <si>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</si>
  <si>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</si>
  <si>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</si>
  <si>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</si>
  <si>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</si>
  <si>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</si>
  <si>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</si>
  <si>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</si>
  <si>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</si>
  <si>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</si>
  <si>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</si>
  <si>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</si>
  <si>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</si>
  <si>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</si>
  <si>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</si>
  <si>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</si>
  <si>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</si>
  <si>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</si>
  <si>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</si>
  <si>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</si>
  <si>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</si>
  <si>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</si>
  <si>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</si>
  <si>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</si>
  <si>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</si>
  <si>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</si>
  <si>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</si>
  <si>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</si>
  <si>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</si>
  <si>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</si>
  <si>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</si>
  <si>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</si>
  <si>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</si>
  <si>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</si>
  <si>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</si>
  <si>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</si>
  <si>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</si>
  <si>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</si>
  <si>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</si>
  <si>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</si>
  <si>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</si>
  <si>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</si>
  <si>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</si>
  <si>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</si>
  <si>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</si>
  <si>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</si>
  <si>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</si>
  <si>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</si>
  <si>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</si>
  <si>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</si>
  <si>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</si>
  <si>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</si>
  <si>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</si>
  <si>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</si>
  <si>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</si>
  <si>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</si>
  <si>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</si>
  <si>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</si>
  <si>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</si>
  <si>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</si>
  <si>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</si>
  <si>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</si>
  <si>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</si>
  <si>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</si>
  <si>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</si>
  <si>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</si>
  <si>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</si>
  <si>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</si>
  <si>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</si>
  <si>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</si>
  <si>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</si>
  <si>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</si>
  <si>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</si>
  <si>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</si>
  <si>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</si>
  <si>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</si>
  <si>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</si>
  <si>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</si>
  <si>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</si>
  <si>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</si>
  <si>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</si>
  <si>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</si>
  <si>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</si>
  <si>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</si>
  <si>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</si>
  <si>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</si>
  <si>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</si>
  <si>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</si>
  <si>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</si>
  <si>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</si>
  <si>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</si>
  <si>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</si>
  <si>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</si>
  <si>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</si>
  <si>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</si>
  <si>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</si>
  <si>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</si>
  <si>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</si>
  <si>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</si>
  <si>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</si>
  <si>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</si>
  <si>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</si>
  <si>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</si>
  <si>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</si>
  <si>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</si>
  <si>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</si>
  <si>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</si>
  <si>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</si>
  <si>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</si>
  <si>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</si>
  <si>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</si>
  <si>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</si>
  <si>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</si>
  <si>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</si>
  <si>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</si>
  <si>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</si>
  <si>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</si>
  <si>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</si>
  <si>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</si>
  <si>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</si>
  <si>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</si>
  <si>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</si>
  <si>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</si>
  <si>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</si>
  <si>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</si>
  <si>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</si>
  <si>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</si>
  <si>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</si>
  <si>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</si>
  <si>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</si>
  <si>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</si>
  <si>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</si>
  <si>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</si>
  <si>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</si>
  <si>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</si>
  <si>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</si>
  <si>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</si>
  <si>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</si>
  <si>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</si>
  <si>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</si>
  <si>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</si>
  <si>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</si>
  <si>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</si>
  <si>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</si>
  <si>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</si>
  <si>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</si>
  <si>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</si>
  <si>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</si>
  <si>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</si>
  <si>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</si>
  <si>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</si>
  <si>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</si>
  <si>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</si>
  <si>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</si>
  <si>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</si>
  <si>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</si>
  <si>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</si>
  <si>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</si>
  <si>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</si>
  <si>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</si>
  <si>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</si>
  <si>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</si>
  <si>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</si>
  <si>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</si>
  <si>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</si>
  <si>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</si>
  <si>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</si>
  <si>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</si>
  <si>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</si>
  <si>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</si>
  <si>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</si>
  <si>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</si>
  <si>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</si>
  <si>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</si>
  <si>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</si>
  <si>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</si>
  <si>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</si>
  <si>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</si>
  <si>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</si>
  <si>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</si>
  <si>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</si>
  <si>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</si>
  <si>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</si>
  <si>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</si>
  <si>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</si>
  <si>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</si>
  <si>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</si>
  <si>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</si>
  <si>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</si>
  <si>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</si>
  <si>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</si>
  <si>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</si>
  <si>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</si>
  <si>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</si>
  <si>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</si>
  <si>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</si>
  <si>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</si>
  <si>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</si>
  <si>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</si>
  <si>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</si>
  <si>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</si>
  <si>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</si>
  <si>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</si>
  <si>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</si>
  <si>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</si>
  <si>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</si>
  <si>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</si>
  <si>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</si>
  <si>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</si>
  <si>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</si>
  <si>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</si>
  <si>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</si>
  <si>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</si>
  <si>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</si>
  <si>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</si>
  <si>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</si>
  <si>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</si>
  <si>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</si>
  <si>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</si>
  <si>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</si>
  <si>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</si>
  <si>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</si>
  <si>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</si>
  <si>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</si>
  <si>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</si>
  <si>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</si>
  <si>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</si>
  <si>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</si>
  <si>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</si>
  <si>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</si>
  <si>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</si>
  <si>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</si>
  <si>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</si>
  <si>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</si>
  <si>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</si>
  <si>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</si>
  <si>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</si>
  <si>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</si>
  <si>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</si>
  <si>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</si>
  <si>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</si>
  <si>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</si>
  <si>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</si>
  <si>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</si>
  <si>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</si>
  <si>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</si>
  <si>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</si>
  <si>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</si>
  <si>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</si>
  <si>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</si>
  <si>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</si>
  <si>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</si>
  <si>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</si>
  <si>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</si>
  <si>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</si>
  <si>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</si>
  <si>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</si>
  <si>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</si>
  <si>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</si>
  <si>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</si>
  <si>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</si>
  <si>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</si>
  <si>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</si>
  <si>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</si>
  <si>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</si>
  <si>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</si>
  <si>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</si>
  <si>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</si>
  <si>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</si>
  <si>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</si>
  <si>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</si>
  <si>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</si>
  <si>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</si>
  <si>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</si>
  <si>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</si>
  <si>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</si>
  <si>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</si>
  <si>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</si>
  <si>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</si>
  <si>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</si>
  <si>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</si>
  <si>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</si>
  <si>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</si>
  <si>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</si>
  <si>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</si>
  <si>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</si>
  <si>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</si>
  <si>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</si>
  <si>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</si>
  <si>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</si>
  <si>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</si>
  <si>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</si>
  <si>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</si>
  <si>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</si>
  <si>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</si>
  <si>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</si>
  <si>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</si>
  <si>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</si>
  <si>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</si>
  <si>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</si>
  <si>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</si>
  <si>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</si>
  <si>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</si>
  <si>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</si>
  <si>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</si>
  <si>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</si>
  <si>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</si>
  <si>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</si>
  <si>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</si>
  <si>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</si>
  <si>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</si>
  <si>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</si>
  <si>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</si>
  <si>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</si>
  <si>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</si>
  <si>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</si>
  <si>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</si>
  <si>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</si>
  <si>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</si>
  <si>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</si>
  <si>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</si>
  <si>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</si>
  <si>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</si>
  <si>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</si>
  <si>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</si>
  <si>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</si>
  <si>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</si>
  <si>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</si>
  <si>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</si>
  <si>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</si>
  <si>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</si>
  <si>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</si>
  <si>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</si>
  <si>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</si>
  <si>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</si>
  <si>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</si>
  <si>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</si>
  <si>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</si>
  <si>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</si>
  <si>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</si>
  <si>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</si>
  <si>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</si>
  <si>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</si>
  <si>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</si>
  <si>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</si>
  <si>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</si>
  <si>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</si>
  <si>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</si>
  <si>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</si>
  <si>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</si>
  <si>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</si>
  <si>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</si>
  <si>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</si>
  <si>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</si>
  <si>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</si>
  <si>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</si>
  <si>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</si>
  <si>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</si>
  <si>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</si>
  <si>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</si>
  <si>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</si>
  <si>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</si>
  <si>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</si>
  <si>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</si>
  <si>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</si>
  <si>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</si>
  <si>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</si>
  <si>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</si>
  <si>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</si>
  <si>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</si>
  <si>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</si>
  <si>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</si>
  <si>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</si>
  <si>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</si>
  <si>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</si>
  <si>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</si>
  <si>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</si>
  <si>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</si>
  <si>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</si>
  <si>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</si>
  <si>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</si>
  <si>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</si>
  <si>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</si>
  <si>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</si>
  <si>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</si>
  <si>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</si>
  <si>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</si>
  <si>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</si>
  <si>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</si>
  <si>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</si>
  <si>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</si>
  <si>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</si>
  <si>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</si>
  <si>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</si>
  <si>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</si>
  <si>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</si>
  <si>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</si>
  <si>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</si>
  <si>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</si>
  <si>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</si>
  <si>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</si>
  <si>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</si>
  <si>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</si>
  <si>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</si>
  <si>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</si>
  <si>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</si>
  <si>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</si>
  <si>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</si>
  <si>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</si>
  <si>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</si>
  <si>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</si>
  <si>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</si>
  <si>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</si>
  <si>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</si>
  <si>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</si>
  <si>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</si>
  <si>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</si>
  <si>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</si>
  <si>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</si>
  <si>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</si>
  <si>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</si>
  <si>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</si>
  <si>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</si>
  <si>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</si>
  <si>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</si>
  <si>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</si>
  <si>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</si>
  <si>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</si>
  <si>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</si>
  <si>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</si>
  <si>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</si>
  <si>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</si>
  <si>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</si>
  <si>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</si>
  <si>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</si>
  <si>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</si>
  <si>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</si>
  <si>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</si>
  <si>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</si>
  <si>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</si>
  <si>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</si>
  <si>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</si>
  <si>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</si>
  <si>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</si>
  <si>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</si>
  <si>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</si>
  <si>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</si>
  <si>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</si>
  <si>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</si>
  <si>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</si>
  <si>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</si>
  <si>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</si>
  <si>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</si>
  <si>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</si>
  <si>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</si>
  <si>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</si>
  <si>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</si>
  <si>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</si>
  <si>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</si>
  <si>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</si>
  <si>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</si>
  <si>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</si>
  <si>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</si>
  <si>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</si>
  <si>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</si>
  <si>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</si>
  <si>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</si>
  <si>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</si>
  <si>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</si>
  <si>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</si>
  <si>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</si>
  <si>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</si>
  <si>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</si>
  <si>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</si>
  <si>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</si>
  <si>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</si>
  <si>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</si>
  <si>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</si>
  <si>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</si>
  <si>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</si>
  <si>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</si>
  <si>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</si>
  <si>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</si>
  <si>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</si>
  <si>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</si>
  <si>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</si>
  <si>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</si>
  <si>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</si>
  <si>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</si>
  <si>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</si>
  <si>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</si>
  <si>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</si>
  <si>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</si>
  <si>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</si>
  <si>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</si>
  <si>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</si>
  <si>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</si>
  <si>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</si>
  <si>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</si>
  <si>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</si>
  <si>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</si>
  <si>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</si>
  <si>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</si>
  <si>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</si>
  <si>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</si>
  <si>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</si>
  <si>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</si>
  <si>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</si>
  <si>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</si>
  <si>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</si>
  <si>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</si>
  <si>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</si>
  <si>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</si>
  <si>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</si>
  <si>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</si>
  <si>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</si>
  <si>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</si>
  <si>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</si>
  <si>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</si>
  <si>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</si>
  <si>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</si>
  <si>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</si>
  <si>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</si>
  <si>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</si>
  <si>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</si>
  <si>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</si>
  <si>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</si>
  <si>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</si>
  <si>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</si>
  <si>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</si>
  <si>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</si>
  <si>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</si>
  <si>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</si>
  <si>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</si>
  <si>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</si>
  <si>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</si>
  <si>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</si>
  <si>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</si>
  <si>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</si>
  <si>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</si>
  <si>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</si>
  <si>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</si>
  <si>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</si>
  <si>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</si>
  <si>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</si>
  <si>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</si>
  <si>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</si>
  <si>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</si>
  <si>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</si>
  <si>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</si>
  <si>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</si>
  <si>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</si>
  <si>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</si>
  <si>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</si>
  <si>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</si>
  <si>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</si>
  <si>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</si>
  <si>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</si>
  <si>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</si>
  <si>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</si>
  <si>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</si>
  <si>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</si>
  <si>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</si>
  <si>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</si>
  <si>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</si>
  <si>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</si>
  <si>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</si>
  <si>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</si>
  <si>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</si>
  <si>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</si>
  <si>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</si>
  <si>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</si>
  <si>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</si>
  <si>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</si>
  <si>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</si>
  <si>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</si>
  <si>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</si>
  <si>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</si>
  <si>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</si>
  <si>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</si>
  <si>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</si>
  <si>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</si>
  <si>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</si>
  <si>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</si>
  <si>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</si>
  <si>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</si>
  <si>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</si>
  <si>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</si>
  <si>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</si>
  <si>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</si>
  <si>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</si>
  <si>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</si>
  <si>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</si>
  <si>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</si>
  <si>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</si>
  <si>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</si>
  <si>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</si>
  <si>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</si>
  <si>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</si>
  <si>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</si>
  <si>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</si>
  <si>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</si>
  <si>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</si>
  <si>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</si>
  <si>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</si>
  <si>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</si>
  <si>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</si>
  <si>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</si>
  <si>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</si>
  <si>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</si>
  <si>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</si>
  <si>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</si>
  <si>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</si>
  <si>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</si>
  <si>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</si>
  <si>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</si>
  <si>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</si>
  <si>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</si>
  <si>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</si>
  <si>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</si>
  <si>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</si>
  <si>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</si>
  <si>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</si>
  <si>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</si>
  <si>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</si>
  <si>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</si>
  <si>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</si>
  <si>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</si>
  <si>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</si>
  <si>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</si>
  <si>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</si>
  <si>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</si>
  <si>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</si>
  <si>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</si>
  <si>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</si>
  <si>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</si>
  <si>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</si>
  <si>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</si>
  <si>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</si>
  <si>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</si>
  <si>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</si>
  <si>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</si>
  <si>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</si>
  <si>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</si>
  <si>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</si>
  <si>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</si>
  <si>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</si>
  <si>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</si>
  <si>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</si>
  <si>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</si>
  <si>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</si>
  <si>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</si>
  <si>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</si>
  <si>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</si>
  <si>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</si>
  <si>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</si>
  <si>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</si>
  <si>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</si>
  <si>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</si>
  <si>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</si>
  <si>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</si>
  <si>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</si>
  <si>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</si>
  <si>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</si>
  <si>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</si>
  <si>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</si>
  <si>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</si>
  <si>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</si>
  <si>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</si>
  <si>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</si>
  <si>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</si>
  <si>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</si>
  <si>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</si>
  <si>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</si>
  <si>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</si>
  <si>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</si>
  <si>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</si>
  <si>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</si>
  <si>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</si>
  <si>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</si>
  <si>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</si>
  <si>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</si>
  <si>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</si>
  <si>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</si>
  <si>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</si>
  <si>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</si>
  <si>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</si>
  <si>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</si>
  <si>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</si>
  <si>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</si>
  <si>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</si>
  <si>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</si>
  <si>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</si>
  <si>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</si>
  <si>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</si>
  <si>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</si>
  <si>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</si>
  <si>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</si>
  <si>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</si>
  <si>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</si>
  <si>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</si>
  <si>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</si>
  <si>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</si>
  <si>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</si>
  <si>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</si>
  <si>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</si>
  <si>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</si>
  <si>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</si>
  <si>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</si>
  <si>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</si>
  <si>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</si>
  <si>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</si>
  <si>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</si>
  <si>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</si>
  <si>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</si>
  <si>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</si>
  <si>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</si>
  <si>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</si>
  <si>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</si>
  <si>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</si>
  <si>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</si>
  <si>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</si>
  <si>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</si>
  <si>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</si>
  <si>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</si>
  <si>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</si>
  <si>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</si>
  <si>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</si>
  <si>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</si>
  <si>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</si>
  <si>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</si>
  <si>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</si>
  <si>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</si>
  <si>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</si>
  <si>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</si>
  <si>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</si>
  <si>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</si>
  <si>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</si>
  <si>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</si>
  <si>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</si>
  <si>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</si>
  <si>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</si>
  <si>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</si>
  <si>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</si>
  <si>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</si>
  <si>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</si>
  <si>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</si>
  <si>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</si>
  <si>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</si>
  <si>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</si>
  <si>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</si>
  <si>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</si>
  <si>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</si>
  <si>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</si>
  <si>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</si>
  <si>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</si>
  <si>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</si>
  <si>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</si>
  <si>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</si>
  <si>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</si>
  <si>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</si>
  <si>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</si>
  <si>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</si>
  <si>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</si>
  <si>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</si>
  <si>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</si>
  <si>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</si>
  <si>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</si>
  <si>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</si>
  <si>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</si>
  <si>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</si>
  <si>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</si>
  <si>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</si>
  <si>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</si>
  <si>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</si>
  <si>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</si>
  <si>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</si>
  <si>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</si>
  <si>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</si>
  <si>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</si>
  <si>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</si>
  <si>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</si>
  <si>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</si>
  <si>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</si>
  <si>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</si>
  <si>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</si>
  <si>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</si>
  <si>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</si>
  <si>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</si>
  <si>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</si>
  <si>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</si>
  <si>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</si>
  <si>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</si>
  <si>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</si>
  <si>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</si>
  <si>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</si>
  <si>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</si>
  <si>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</si>
  <si>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</si>
  <si>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</si>
  <si>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</si>
  <si>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</si>
  <si>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</si>
  <si>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</si>
  <si>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</si>
  <si>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</si>
  <si>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</si>
  <si>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</si>
  <si>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</si>
  <si>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</si>
  <si>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</si>
  <si>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</si>
  <si>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</si>
  <si>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</si>
  <si>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</si>
  <si>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</si>
  <si>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</si>
  <si>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</si>
  <si>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</si>
  <si>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</si>
  <si>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</si>
  <si>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</si>
  <si>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</si>
  <si>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</si>
  <si>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</si>
  <si>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</si>
  <si>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</si>
  <si>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</si>
  <si>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</si>
  <si>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</si>
  <si>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</si>
  <si>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</si>
  <si>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</si>
  <si>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</si>
  <si>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</si>
  <si>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</si>
  <si>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</si>
  <si>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</si>
  <si>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</si>
  <si>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</si>
  <si>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</si>
  <si>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</si>
  <si>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</si>
  <si>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</si>
  <si>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</si>
  <si>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</si>
  <si>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</si>
  <si>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</si>
  <si>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</si>
  <si>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</si>
  <si>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</si>
  <si>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</si>
  <si>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</si>
  <si>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</si>
  <si>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</si>
  <si>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</si>
  <si>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</si>
  <si>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</si>
  <si>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</si>
  <si>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</si>
  <si>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</si>
  <si>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</si>
  <si>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</si>
  <si>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</si>
  <si>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</si>
  <si>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</si>
  <si>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</si>
  <si>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</si>
  <si>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</si>
  <si>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</si>
  <si>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</si>
  <si>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</si>
  <si>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</si>
  <si>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</si>
  <si>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</si>
  <si>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</si>
  <si>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</si>
  <si>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</si>
  <si>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</si>
  <si>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</si>
  <si>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</si>
  <si>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</si>
  <si>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</si>
  <si>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</si>
  <si>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</si>
  <si>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</si>
  <si>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</si>
  <si>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</si>
  <si>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</si>
  <si>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</si>
  <si>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</si>
  <si>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</si>
  <si>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</si>
  <si>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</si>
  <si>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</si>
  <si>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</si>
  <si>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</si>
  <si>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</si>
  <si>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</si>
  <si>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</si>
  <si>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</si>
  <si>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</si>
  <si>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</si>
  <si>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</si>
  <si>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</si>
  <si>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</si>
  <si>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</si>
  <si>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</si>
  <si>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</si>
  <si>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</si>
  <si>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</si>
  <si>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</si>
  <si>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</si>
  <si>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</si>
  <si>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</si>
  <si>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</si>
  <si>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</si>
  <si>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</si>
  <si>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</si>
  <si>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</si>
  <si>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</si>
  <si>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</si>
  <si>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</si>
  <si>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</si>
  <si>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</si>
  <si>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</si>
  <si>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</si>
  <si>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</si>
  <si>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</si>
  <si>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</si>
  <si>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</si>
  <si>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</si>
  <si>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</si>
  <si>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</si>
  <si>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</si>
  <si>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</si>
  <si>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</si>
  <si>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</si>
  <si>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</si>
  <si>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</si>
  <si>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</si>
  <si>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</si>
  <si>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</si>
  <si>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</si>
  <si>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</si>
  <si>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</si>
  <si>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</si>
  <si>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</si>
  <si>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</si>
  <si>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</si>
  <si>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</si>
  <si>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</si>
  <si>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</si>
  <si>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</si>
  <si>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</si>
  <si>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</si>
  <si>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</si>
  <si>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</si>
  <si>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</si>
  <si>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</si>
  <si>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</si>
  <si>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</si>
  <si>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</si>
  <si>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</si>
  <si>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</si>
  <si>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</si>
  <si>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</si>
  <si>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</si>
  <si>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</si>
  <si>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</si>
  <si>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</si>
  <si>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</si>
  <si>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</si>
  <si>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</si>
  <si>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</si>
  <si>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</si>
  <si>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</si>
  <si>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</si>
  <si>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</si>
  <si>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</si>
  <si>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</si>
  <si>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</si>
  <si>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</si>
  <si>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</si>
  <si>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</si>
  <si>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</si>
  <si>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</si>
  <si>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</si>
  <si>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</si>
  <si>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</si>
  <si>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</si>
  <si>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</si>
  <si>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</si>
  <si>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</si>
  <si>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</si>
  <si>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</si>
  <si>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</si>
  <si>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</si>
  <si>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</si>
  <si>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</si>
  <si>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</si>
  <si>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</si>
  <si>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</si>
  <si>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</si>
  <si>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</si>
  <si>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</si>
  <si>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</si>
  <si>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</si>
  <si>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</si>
  <si>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</si>
  <si>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</si>
  <si>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</si>
  <si>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</si>
  <si>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</si>
  <si>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</si>
  <si>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</si>
  <si>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</si>
  <si>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</si>
  <si>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</si>
  <si>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</si>
  <si>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</si>
  <si>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</si>
  <si>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</si>
  <si>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</si>
  <si>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</si>
  <si>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</si>
  <si>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</si>
  <si>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</si>
  <si>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</si>
  <si>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</si>
  <si>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</si>
  <si>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</si>
  <si>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</si>
  <si>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</si>
  <si>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</si>
  <si>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</si>
  <si>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</si>
  <si>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</si>
  <si>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</si>
  <si>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</si>
  <si>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</si>
  <si>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</si>
  <si>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</si>
  <si>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</si>
  <si>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</si>
  <si>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</si>
  <si>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</si>
  <si>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</si>
  <si>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</si>
  <si>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</si>
  <si>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</si>
  <si>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</si>
  <si>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</si>
  <si>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</si>
  <si>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</si>
  <si>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</si>
  <si>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</si>
  <si>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</si>
  <si>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</si>
  <si>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</si>
  <si>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</si>
  <si>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</si>
  <si>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</si>
  <si>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</si>
  <si>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</si>
  <si>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</si>
  <si>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</si>
  <si>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</si>
  <si>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</si>
  <si>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</si>
  <si>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</si>
  <si>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</si>
  <si>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</si>
  <si>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</si>
  <si>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</si>
  <si>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</si>
  <si>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</si>
  <si>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</si>
  <si>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</si>
  <si>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</si>
  <si>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</si>
  <si>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</si>
  <si>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</si>
  <si>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</si>
  <si>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</si>
  <si>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</si>
  <si>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</si>
  <si>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</si>
  <si>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</si>
  <si>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</si>
  <si>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</si>
  <si>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</si>
  <si>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</si>
  <si>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</si>
  <si>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</si>
  <si>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</si>
  <si>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</si>
  <si>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</si>
  <si>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</si>
  <si>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</si>
  <si>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</si>
  <si>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</si>
  <si>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</si>
  <si>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</si>
  <si>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</si>
  <si>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</si>
  <si>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</si>
  <si>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</si>
  <si>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</si>
  <si>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</si>
  <si>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</si>
  <si>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</si>
  <si>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</si>
  <si>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</si>
  <si>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</si>
  <si>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</si>
  <si>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</si>
  <si>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</si>
  <si>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</si>
  <si>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</si>
  <si>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</si>
  <si>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</si>
  <si>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</si>
  <si>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</si>
  <si>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</si>
  <si>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</si>
  <si>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</si>
  <si>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</si>
  <si>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</si>
  <si>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</si>
  <si>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</si>
  <si>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</si>
  <si>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</si>
  <si>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</si>
  <si>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</si>
  <si>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</si>
  <si>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</si>
  <si>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</si>
  <si>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</si>
  <si>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</si>
  <si>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</si>
  <si>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</si>
  <si>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</si>
  <si>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</si>
  <si>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</si>
  <si>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</si>
  <si>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</si>
  <si>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</si>
  <si>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</si>
  <si>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</si>
  <si>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</si>
  <si>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</si>
  <si>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</si>
  <si>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</si>
  <si>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</si>
  <si>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</si>
  <si>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</si>
  <si>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</si>
  <si>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</si>
  <si>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</si>
  <si>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</si>
  <si>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</si>
  <si>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</si>
  <si>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</si>
  <si>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</si>
  <si>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</si>
  <si>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</si>
  <si>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</si>
  <si>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</si>
  <si>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</si>
  <si>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</si>
  <si>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</si>
  <si>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</si>
  <si>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</si>
  <si>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</si>
  <si>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</si>
  <si>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</si>
  <si>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</si>
  <si>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</si>
  <si>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</si>
  <si>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</si>
  <si>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</si>
  <si>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</si>
  <si>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</si>
  <si>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</si>
  <si>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</si>
  <si>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</si>
  <si>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</si>
  <si>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</si>
  <si>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</si>
  <si>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</si>
  <si>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</si>
  <si>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</si>
  <si>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</si>
  <si>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</si>
  <si>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</si>
  <si>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</si>
  <si>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</si>
  <si>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</si>
  <si>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</si>
  <si>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</si>
  <si>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</si>
  <si>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</si>
  <si>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</si>
  <si>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</si>
  <si>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</si>
  <si>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</si>
  <si>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</si>
  <si>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</si>
  <si>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</si>
  <si>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</si>
  <si>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</si>
  <si>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</si>
  <si>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</si>
  <si>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</si>
  <si>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</si>
  <si>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</si>
  <si>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</si>
  <si>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</si>
  <si>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</si>
  <si>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</si>
  <si>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</si>
  <si>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</si>
  <si>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</si>
  <si>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</si>
  <si>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</si>
  <si>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</si>
  <si>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</si>
  <si>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</si>
  <si>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</si>
  <si>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</si>
  <si>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</si>
  <si>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</si>
  <si>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</si>
  <si>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</si>
  <si>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</si>
  <si>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</si>
  <si>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</si>
  <si>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</si>
  <si>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</si>
  <si>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</si>
  <si>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</si>
  <si>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</si>
  <si>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</si>
  <si>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</si>
  <si>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</si>
  <si>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</si>
  <si>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</si>
  <si>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</si>
  <si>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</si>
  <si>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</si>
  <si>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</si>
  <si>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</si>
  <si>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</si>
  <si>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</si>
  <si>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</si>
  <si>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</si>
  <si>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</si>
  <si>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</si>
  <si>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</si>
  <si>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</si>
  <si>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</si>
  <si>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</si>
  <si>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</si>
  <si>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</si>
  <si>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</si>
  <si>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</si>
  <si>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</si>
  <si>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</si>
  <si>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</si>
  <si>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</si>
  <si>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</si>
  <si>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</si>
  <si>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</si>
  <si>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</si>
  <si>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</si>
  <si>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</si>
  <si>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</si>
  <si>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</si>
  <si>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</si>
  <si>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</si>
  <si>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</si>
  <si>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</si>
  <si>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</si>
  <si>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</si>
  <si>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</si>
  <si>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</si>
  <si>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</si>
  <si>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</si>
  <si>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</si>
  <si>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</si>
  <si>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</si>
  <si>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</si>
  <si>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</si>
  <si>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</si>
  <si>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</si>
  <si>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</si>
  <si>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</si>
  <si>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</si>
  <si>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</si>
  <si>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</si>
  <si>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</si>
  <si>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</si>
  <si>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</si>
  <si>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</si>
  <si>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</si>
  <si>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</si>
  <si>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</si>
  <si>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</si>
  <si>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</si>
  <si>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</si>
  <si>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</si>
  <si>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</si>
  <si>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</si>
  <si>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</si>
  <si>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</si>
  <si>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</si>
  <si>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</si>
  <si>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</si>
  <si>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</si>
  <si>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</si>
  <si>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</si>
  <si>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</si>
  <si>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</si>
  <si>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</si>
  <si>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</si>
  <si>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</si>
  <si>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</si>
  <si>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</si>
  <si>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</si>
  <si>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</si>
  <si>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</si>
  <si>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</si>
  <si>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</si>
  <si>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</si>
  <si>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</si>
  <si>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</si>
  <si>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</si>
  <si>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</si>
  <si>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</si>
  <si>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</si>
  <si>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</si>
  <si>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</si>
  <si>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</si>
  <si>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</si>
  <si>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</si>
  <si>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</si>
  <si>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</si>
  <si>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</si>
  <si>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</si>
  <si>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</si>
  <si>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</si>
  <si>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</si>
  <si>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</si>
  <si>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</si>
  <si>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</si>
  <si>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</si>
  <si>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</si>
  <si>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</si>
  <si>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</si>
  <si>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</si>
  <si>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</si>
  <si>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</si>
  <si>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</si>
  <si>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</si>
  <si>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</si>
  <si>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</si>
  <si>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</si>
  <si>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</si>
  <si>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</si>
  <si>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</si>
  <si>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</si>
  <si>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</si>
  <si>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</si>
  <si>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</si>
  <si>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</si>
  <si>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</si>
  <si>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</si>
  <si>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</si>
  <si>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</si>
  <si>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</si>
  <si>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</si>
  <si>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</si>
  <si>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</si>
  <si>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</si>
  <si>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</si>
  <si>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</si>
  <si>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</si>
  <si>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</si>
  <si>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</si>
  <si>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</si>
  <si>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</si>
  <si>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</si>
  <si>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</si>
  <si>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</si>
  <si>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</si>
  <si>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</si>
  <si>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</si>
  <si>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</si>
  <si>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</si>
  <si>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</si>
  <si>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</si>
  <si>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</si>
  <si>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</si>
  <si>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</si>
  <si>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</si>
  <si>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</si>
  <si>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</si>
  <si>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</si>
  <si>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</si>
  <si>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</si>
  <si>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</si>
  <si>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</si>
  <si>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</si>
  <si>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</si>
  <si>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</si>
  <si>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</si>
  <si>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</si>
  <si>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</si>
  <si>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</si>
  <si>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</si>
  <si>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</si>
  <si>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</si>
  <si>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</si>
  <si>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</si>
  <si>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</si>
  <si>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</si>
  <si>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</si>
  <si>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</si>
  <si>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</si>
  <si>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</si>
  <si>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</si>
  <si>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</si>
  <si>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</si>
  <si>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</si>
  <si>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</si>
  <si>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</si>
  <si>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</si>
  <si>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</si>
  <si>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</si>
  <si>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</si>
  <si>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</si>
  <si>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</si>
  <si>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</si>
  <si>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</si>
  <si>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</si>
  <si>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</si>
  <si>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</si>
  <si>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</si>
  <si>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</si>
  <si>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</si>
  <si>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</si>
  <si>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</si>
  <si>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</si>
  <si>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</si>
  <si>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</si>
  <si>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</si>
  <si>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</si>
  <si>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</si>
  <si>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</si>
  <si>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</si>
  <si>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</si>
  <si>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</si>
  <si>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</si>
  <si>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</si>
  <si>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</si>
  <si>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</si>
  <si>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</si>
  <si>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</si>
  <si>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</si>
  <si>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</si>
  <si>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</si>
  <si>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</si>
  <si>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</si>
  <si>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</si>
  <si>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</si>
  <si>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</si>
  <si>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</si>
  <si>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</si>
  <si>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</si>
  <si>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</si>
  <si>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</si>
  <si>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</si>
  <si>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</si>
  <si>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</si>
  <si>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</si>
  <si>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</si>
  <si>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</si>
  <si>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</si>
  <si>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</si>
  <si>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</si>
  <si>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</si>
  <si>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</si>
  <si>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</si>
  <si>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</si>
  <si>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</si>
  <si>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</si>
  <si>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</si>
  <si>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</si>
  <si>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</si>
  <si>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</si>
  <si>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</si>
  <si>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</si>
  <si>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</si>
  <si>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</si>
  <si>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</si>
  <si>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</si>
  <si>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</si>
  <si>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</si>
  <si>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</si>
  <si>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</si>
  <si>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</si>
  <si>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</si>
  <si>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</si>
  <si>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</si>
  <si>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</si>
  <si>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</si>
  <si>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</si>
  <si>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</si>
  <si>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</si>
  <si>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</si>
  <si>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</si>
  <si>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</si>
  <si>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</si>
  <si>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</si>
  <si>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</si>
  <si>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</si>
  <si>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</si>
  <si>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</si>
  <si>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</si>
  <si>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</si>
  <si>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</si>
  <si>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</si>
  <si>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</si>
  <si>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</si>
  <si>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</si>
  <si>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</si>
  <si>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</si>
  <si>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</si>
  <si>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</si>
  <si>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</si>
  <si>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</si>
  <si>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</si>
  <si>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</si>
  <si>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</si>
  <si>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</si>
  <si>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</si>
  <si>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</si>
  <si>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</si>
  <si>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</si>
  <si>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</si>
  <si>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</si>
  <si>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</si>
  <si>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</si>
  <si>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</si>
  <si>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</si>
  <si>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</si>
  <si>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</si>
  <si>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</si>
  <si>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</si>
  <si>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</si>
  <si>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</si>
  <si>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</si>
  <si>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</si>
  <si>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</si>
  <si>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</si>
  <si>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</si>
  <si>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</si>
  <si>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</si>
  <si>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</si>
  <si>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</si>
  <si>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</si>
  <si>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</si>
  <si>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</si>
  <si>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</si>
  <si>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</si>
  <si>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</si>
  <si>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</si>
  <si>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</si>
  <si>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</si>
  <si>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</si>
  <si>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</si>
  <si>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</si>
  <si>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</si>
  <si>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</si>
  <si>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</si>
  <si>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</si>
  <si>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</si>
  <si>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</si>
  <si>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</si>
  <si>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</si>
  <si>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</si>
  <si>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</si>
  <si>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</si>
  <si>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</si>
  <si>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</si>
  <si>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</si>
  <si>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</si>
  <si>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</si>
  <si>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</si>
  <si>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</si>
  <si>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</si>
  <si>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</si>
  <si>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</si>
  <si>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</si>
  <si>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</si>
  <si>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</si>
  <si>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</si>
  <si>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</si>
  <si>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</si>
  <si>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</si>
  <si>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</si>
  <si>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</si>
  <si>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</si>
  <si>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</si>
  <si>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</si>
  <si>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</si>
  <si>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</si>
  <si>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</si>
  <si>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</si>
  <si>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</si>
  <si>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</si>
  <si>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</si>
  <si>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</si>
  <si>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</si>
  <si>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</si>
  <si>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</si>
  <si>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</si>
  <si>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</si>
  <si>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</si>
  <si>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</si>
  <si>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</si>
  <si>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</si>
  <si>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</si>
  <si>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</si>
  <si>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</si>
  <si>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</si>
  <si>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</si>
  <si>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</si>
  <si>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</si>
  <si>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</si>
  <si>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</si>
  <si>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</si>
  <si>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</si>
  <si>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</si>
  <si>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</si>
  <si>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</si>
  <si>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</si>
  <si>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</si>
  <si>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</si>
  <si>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</si>
  <si>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</si>
  <si>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</si>
  <si>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</si>
  <si>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</si>
  <si>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</si>
  <si>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</si>
  <si>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</si>
  <si>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</si>
  <si>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</si>
  <si>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</si>
  <si>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</si>
  <si>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</si>
  <si>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</si>
  <si>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</si>
  <si>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</si>
  <si>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</si>
  <si>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</si>
  <si>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</si>
  <si>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</si>
  <si>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</si>
  <si>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</si>
  <si>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</si>
  <si>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</si>
  <si>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</si>
  <si>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</si>
  <si>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</si>
  <si>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</si>
  <si>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</si>
  <si>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</si>
  <si>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</si>
  <si>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</si>
  <si>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</si>
  <si>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</si>
  <si>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</si>
  <si>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</si>
  <si>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</si>
  <si>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</si>
  <si>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</si>
  <si>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</si>
  <si>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</si>
  <si>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</si>
  <si>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</si>
  <si>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</si>
  <si>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</si>
  <si>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</si>
  <si>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</si>
  <si>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</si>
  <si>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</si>
  <si>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</si>
  <si>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</si>
  <si>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</si>
  <si>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</si>
  <si>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</si>
  <si>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</si>
  <si>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</si>
  <si>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</si>
  <si>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</si>
  <si>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</si>
  <si>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</si>
  <si>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</si>
  <si>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</si>
  <si>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</si>
  <si>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</si>
  <si>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</si>
  <si>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</si>
  <si>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</si>
  <si>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</si>
  <si>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</si>
  <si>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</si>
  <si>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</si>
  <si>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</si>
  <si>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</si>
  <si>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</si>
  <si>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</si>
  <si>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</si>
  <si>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</si>
  <si>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</si>
  <si>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</si>
  <si>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</si>
  <si>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</si>
  <si>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</si>
  <si>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</si>
  <si>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</si>
  <si>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</si>
  <si>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</si>
  <si>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</si>
  <si>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</si>
  <si>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</si>
  <si>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</si>
  <si>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</si>
  <si>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</si>
  <si>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</si>
  <si>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</si>
  <si>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</si>
  <si>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</si>
  <si>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</si>
  <si>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</si>
  <si>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</si>
  <si>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</si>
  <si>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</si>
  <si>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</si>
  <si>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</si>
  <si>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</si>
  <si>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</si>
  <si>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</si>
  <si>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</si>
  <si>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</si>
  <si>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</si>
  <si>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</si>
  <si>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</si>
  <si>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</si>
  <si>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</si>
  <si>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</si>
  <si>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</si>
  <si>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</si>
  <si>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</si>
  <si>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</si>
  <si>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</si>
  <si>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</si>
  <si>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</si>
  <si>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</si>
  <si>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</si>
  <si>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</si>
  <si>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</si>
  <si>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</si>
  <si>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</si>
  <si>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</si>
  <si>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</si>
  <si>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</si>
  <si>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</si>
  <si>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</si>
  <si>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</si>
  <si>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</si>
  <si>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</si>
  <si>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</si>
  <si>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</si>
  <si>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</si>
  <si>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</si>
  <si>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</si>
  <si>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</si>
  <si>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</si>
  <si>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</si>
  <si>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</si>
  <si>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</si>
  <si>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</si>
  <si>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</si>
  <si>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</si>
  <si>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</si>
  <si>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</si>
  <si>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</si>
  <si>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</si>
  <si>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</si>
  <si>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</si>
  <si>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</si>
  <si>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</si>
  <si>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</si>
  <si>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</si>
  <si>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</si>
  <si>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</si>
  <si>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</si>
  <si>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</si>
  <si>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</si>
  <si>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</si>
  <si>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</si>
  <si>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</si>
  <si>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</si>
  <si>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</si>
  <si>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</si>
  <si>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</si>
  <si>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</si>
  <si>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</si>
  <si>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</si>
  <si>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</si>
  <si>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</si>
  <si>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</si>
  <si>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</si>
  <si>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</si>
  <si>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</si>
  <si>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</si>
  <si>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</si>
  <si>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</si>
  <si>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</si>
  <si>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</si>
  <si>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</si>
  <si>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</si>
  <si>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</si>
  <si>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</si>
  <si>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</si>
  <si>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</si>
  <si>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</si>
  <si>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</si>
  <si>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</si>
  <si>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</si>
  <si>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</si>
  <si>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</si>
  <si>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</si>
  <si>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</si>
  <si>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</si>
  <si>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</si>
  <si>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</si>
  <si>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</si>
  <si>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</si>
  <si>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</si>
  <si>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</si>
  <si>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</si>
  <si>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</si>
  <si>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</si>
  <si>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</si>
  <si>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</si>
  <si>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</si>
  <si>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</si>
  <si>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</si>
  <si>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</si>
  <si>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</si>
  <si>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</si>
  <si>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</si>
  <si>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</si>
  <si>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</si>
  <si>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</si>
  <si>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</si>
  <si>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</si>
  <si>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</si>
  <si>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</si>
  <si>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</si>
  <si>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</si>
  <si>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</si>
  <si>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</si>
  <si>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</si>
  <si>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</si>
  <si>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</si>
  <si>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</si>
  <si>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</si>
  <si>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</si>
  <si>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</si>
  <si>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</si>
  <si>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</si>
  <si>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</si>
  <si>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</si>
  <si>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</si>
  <si>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</si>
  <si>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</si>
  <si>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</si>
  <si>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</si>
  <si>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</si>
  <si>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</si>
  <si>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</si>
  <si>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</si>
  <si>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</si>
  <si>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</si>
  <si>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</si>
  <si>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</si>
  <si>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</si>
  <si>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</si>
  <si>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</si>
  <si>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</si>
  <si>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</si>
  <si>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</si>
  <si>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</si>
  <si>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</si>
  <si>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</si>
  <si>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</si>
  <si>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</si>
  <si>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</si>
  <si>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</si>
  <si>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</si>
  <si>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</si>
  <si>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</si>
  <si>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</si>
  <si>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</si>
  <si>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</si>
  <si>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</si>
  <si>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</si>
  <si>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</si>
  <si>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</si>
  <si>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</si>
  <si>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</si>
  <si>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</si>
  <si>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</si>
  <si>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</si>
  <si>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</si>
  <si>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</si>
  <si>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</si>
  <si>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</si>
  <si>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</si>
  <si>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</si>
  <si>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</si>
  <si>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</si>
  <si>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</si>
  <si>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</si>
  <si>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</si>
  <si>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</si>
  <si>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</si>
  <si>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</si>
  <si>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</si>
  <si>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</si>
  <si>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</si>
  <si>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</si>
  <si>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</si>
  <si>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</si>
  <si>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</si>
  <si>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</si>
  <si>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</si>
  <si>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</si>
  <si>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</si>
  <si>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</si>
  <si>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</si>
  <si>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</si>
  <si>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</si>
  <si>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</si>
  <si>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</si>
  <si>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</si>
  <si>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</si>
  <si>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</si>
  <si>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</si>
  <si>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</si>
  <si>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</si>
  <si>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</si>
  <si>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</si>
  <si>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</si>
  <si>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</si>
  <si>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</si>
  <si>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</si>
  <si>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</si>
  <si>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</si>
  <si>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</si>
  <si>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</si>
  <si>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</si>
  <si>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</si>
  <si>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</si>
  <si>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</si>
  <si>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</si>
  <si>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</si>
  <si>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</si>
  <si>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</si>
  <si>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</si>
  <si>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</si>
  <si>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</si>
  <si>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</si>
  <si>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</si>
  <si>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</si>
  <si>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</si>
  <si>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</si>
  <si>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</si>
  <si>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</si>
  <si>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</si>
  <si>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</si>
  <si>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</si>
  <si>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</si>
  <si>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</si>
  <si>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</si>
  <si>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</si>
  <si>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</si>
  <si>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</si>
  <si>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</si>
  <si>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</si>
  <si>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</si>
  <si>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</si>
  <si>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</si>
  <si>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</si>
  <si>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</si>
  <si>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</si>
  <si>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</si>
  <si>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</si>
  <si>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</si>
  <si>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</si>
  <si>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</si>
  <si>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</si>
  <si>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</si>
  <si>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</si>
  <si>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</si>
  <si>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</si>
  <si>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</si>
  <si>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</si>
  <si>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</si>
  <si>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</si>
  <si>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</si>
  <si>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</si>
  <si>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</si>
  <si>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</si>
  <si>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</si>
  <si>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</si>
  <si>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</si>
  <si>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</si>
  <si>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</si>
  <si>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</si>
  <si>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</si>
  <si>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</si>
  <si>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</si>
  <si>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</si>
  <si>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</si>
  <si>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</si>
  <si>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</si>
  <si>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</si>
  <si>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</si>
  <si>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</si>
  <si>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</si>
  <si>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</si>
  <si>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</si>
  <si>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</si>
  <si>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</si>
  <si>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</si>
  <si>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</si>
  <si>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</si>
  <si>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</si>
  <si>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</si>
  <si>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</si>
  <si>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</si>
  <si>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</si>
  <si>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</si>
  <si>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</si>
  <si>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</si>
  <si>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</si>
  <si>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</si>
  <si>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</si>
  <si>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</si>
  <si>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</si>
  <si>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</si>
  <si>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</si>
  <si>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</si>
  <si>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</si>
  <si>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</si>
  <si>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</si>
  <si>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</si>
  <si>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</si>
  <si>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</si>
  <si>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</si>
  <si>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</si>
  <si>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</si>
  <si>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</si>
  <si>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</si>
  <si>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</si>
  <si>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</si>
  <si>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</si>
  <si>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</si>
  <si>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</si>
  <si>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</si>
  <si>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</si>
  <si>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</si>
  <si>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</si>
  <si>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</si>
  <si>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</si>
  <si>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</si>
  <si>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</si>
  <si>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</si>
  <si>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</si>
  <si>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</si>
  <si>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</si>
  <si>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</si>
  <si>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</si>
  <si>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</si>
  <si>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</si>
  <si>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</si>
  <si>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</si>
  <si>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</si>
  <si>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</si>
  <si>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</si>
  <si>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</si>
  <si>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</si>
  <si>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</si>
  <si>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</si>
  <si>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</si>
  <si>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</si>
  <si>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</si>
  <si>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</si>
  <si>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</si>
  <si>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</si>
  <si>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</si>
  <si>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</si>
  <si>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</si>
  <si>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</si>
  <si>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</si>
  <si>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</si>
  <si>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</si>
  <si>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</si>
  <si>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</si>
  <si>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</si>
  <si>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</si>
  <si>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</si>
  <si>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</si>
  <si>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</si>
  <si>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</si>
  <si>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</si>
  <si>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</si>
  <si>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</si>
  <si>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</si>
  <si>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</si>
  <si>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</si>
  <si>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</si>
  <si>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</si>
  <si>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</si>
  <si>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</si>
  <si>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</si>
  <si>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</si>
  <si>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</si>
  <si>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</si>
  <si>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</si>
  <si>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</si>
  <si>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</si>
  <si>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</si>
  <si>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</si>
  <si>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</si>
  <si>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</si>
  <si>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</si>
  <si>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</si>
  <si>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</si>
  <si>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</si>
  <si>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</si>
  <si>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</si>
  <si>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</si>
  <si>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</si>
  <si>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</si>
  <si>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</si>
  <si>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</si>
  <si>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</si>
  <si>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</si>
  <si>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</si>
  <si>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</si>
  <si>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</si>
  <si>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</si>
  <si>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</si>
  <si>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</si>
  <si>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</si>
  <si>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</si>
  <si>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</si>
  <si>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</si>
  <si>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</si>
  <si>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</si>
  <si>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</si>
  <si>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</si>
  <si>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</si>
  <si>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</si>
  <si>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</si>
  <si>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</si>
  <si>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</si>
  <si>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</si>
  <si>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</si>
  <si>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</si>
  <si>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</si>
  <si>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</si>
  <si>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</si>
  <si>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</si>
  <si>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</si>
  <si>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</si>
  <si>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</si>
  <si>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</si>
  <si>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</si>
  <si>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</si>
  <si>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</si>
  <si>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</si>
  <si>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</si>
  <si>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</si>
  <si>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</si>
  <si>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</si>
  <si>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</si>
  <si>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</si>
  <si>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</si>
  <si>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</si>
  <si>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</si>
  <si>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</si>
  <si>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</si>
  <si>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</si>
  <si>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</si>
  <si>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</si>
  <si>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</si>
  <si>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</si>
  <si>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</si>
  <si>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</si>
  <si>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</si>
  <si>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</si>
  <si>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</si>
  <si>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</si>
  <si>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</si>
  <si>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</si>
  <si>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</si>
  <si>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</si>
  <si>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</si>
  <si>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</si>
  <si>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</si>
  <si>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</si>
  <si>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</si>
  <si>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</si>
  <si>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</si>
  <si>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</si>
  <si>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</si>
  <si>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</si>
  <si>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</si>
  <si>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</si>
  <si>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</si>
  <si>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</si>
  <si>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</si>
  <si>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</si>
  <si>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</si>
  <si>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</si>
  <si>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</si>
  <si>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</si>
  <si>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</si>
  <si>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</si>
  <si>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</si>
  <si>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</si>
  <si>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</si>
  <si>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</si>
  <si>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</si>
  <si>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</si>
  <si>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</si>
  <si>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</si>
  <si>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</si>
  <si>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</si>
  <si>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</si>
  <si>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</si>
  <si>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</si>
  <si>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</si>
  <si>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</si>
  <si>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</si>
  <si>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</si>
  <si>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</si>
  <si>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</si>
  <si>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</si>
  <si>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</si>
  <si>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</si>
  <si>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</si>
  <si>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</si>
  <si>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</si>
  <si>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</si>
  <si>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</si>
  <si>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</si>
  <si>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</si>
  <si>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</si>
  <si>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</si>
  <si>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</si>
  <si>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</si>
  <si>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</si>
  <si>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</si>
  <si>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</si>
  <si>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</si>
  <si>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</si>
  <si>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</si>
  <si>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</si>
  <si>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</si>
  <si>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</si>
  <si>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</si>
  <si>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</si>
  <si>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</si>
  <si>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</si>
  <si>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</si>
  <si>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</si>
  <si>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</si>
  <si>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</si>
  <si>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</si>
  <si>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</si>
  <si>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</si>
  <si>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</si>
  <si>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</si>
  <si>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</si>
  <si>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</si>
  <si>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</si>
  <si>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</si>
  <si>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</si>
  <si>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</si>
  <si>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</si>
  <si>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</si>
  <si>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</si>
  <si>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</si>
  <si>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</si>
  <si>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</si>
  <si>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</si>
  <si>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</si>
  <si>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</si>
  <si>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</si>
  <si>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</si>
  <si>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</si>
  <si>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</si>
  <si>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</si>
  <si>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</si>
  <si>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</si>
  <si>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</si>
  <si>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</si>
  <si>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</si>
  <si>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</si>
  <si>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</si>
  <si>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</si>
  <si>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</si>
  <si>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</si>
  <si>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</si>
  <si>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</si>
  <si>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</si>
  <si>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</si>
  <si>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</si>
  <si>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</si>
  <si>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</si>
  <si>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</si>
  <si>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</si>
  <si>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</si>
  <si>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</si>
  <si>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</si>
  <si>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</si>
  <si>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</si>
  <si>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</si>
  <si>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</si>
  <si>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</si>
  <si>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</si>
  <si>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</si>
  <si>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</si>
  <si>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</si>
  <si>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</si>
  <si>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</si>
  <si>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</si>
  <si>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</si>
  <si>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</si>
  <si>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</si>
  <si>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</si>
  <si>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</si>
  <si>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</si>
  <si>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</si>
  <si>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</si>
  <si>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</si>
  <si>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</si>
  <si>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</si>
  <si>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</si>
  <si>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</si>
  <si>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</si>
  <si>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</si>
  <si>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</si>
  <si>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</si>
  <si>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</si>
  <si>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</si>
  <si>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</si>
  <si>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</si>
  <si>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</si>
  <si>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</si>
  <si>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</si>
  <si>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</si>
  <si>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</si>
  <si>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</si>
  <si>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</si>
  <si>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</si>
  <si>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</si>
  <si>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</si>
  <si>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</si>
  <si>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</si>
  <si>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</si>
  <si>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</si>
  <si>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</si>
  <si>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</si>
  <si>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</si>
  <si>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</si>
  <si>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</si>
  <si>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</si>
  <si>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</si>
  <si>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</si>
  <si>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</si>
  <si>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</si>
  <si>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</si>
  <si>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</si>
  <si>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</si>
  <si>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</si>
  <si>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</si>
  <si>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</si>
  <si>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</si>
  <si>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</si>
  <si>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</si>
  <si>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</si>
  <si>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</si>
  <si>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</si>
  <si>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</si>
  <si>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</si>
  <si>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</si>
  <si>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</si>
  <si>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</si>
  <si>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</si>
  <si>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</si>
  <si>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</si>
  <si>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</si>
  <si>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</si>
  <si>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</si>
  <si>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</si>
  <si>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</si>
  <si>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</si>
  <si>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</si>
  <si>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</si>
  <si>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</si>
  <si>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</si>
  <si>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</si>
  <si>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</si>
  <si>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</si>
  <si>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</si>
  <si>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</si>
  <si>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</si>
  <si>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</si>
  <si>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</si>
  <si>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</si>
  <si>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</si>
  <si>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</si>
  <si>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</si>
  <si>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</si>
  <si>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</si>
  <si>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</si>
  <si>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</si>
  <si>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</si>
  <si>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</si>
  <si>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</si>
  <si>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</si>
  <si>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</si>
  <si>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</si>
  <si>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</si>
  <si>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</si>
  <si>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</si>
  <si>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</si>
  <si>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</si>
  <si>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</si>
  <si>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</si>
  <si>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</si>
  <si>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</si>
  <si>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</si>
  <si>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</si>
  <si>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</si>
  <si>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</si>
  <si>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</si>
  <si>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</si>
  <si>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</si>
  <si>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</si>
  <si>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</si>
  <si>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</si>
  <si>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</si>
  <si>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</si>
  <si>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</si>
  <si>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</si>
  <si>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</si>
  <si>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</si>
  <si>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</si>
  <si>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</si>
  <si>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</si>
  <si>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</si>
  <si>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</si>
  <si>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</si>
  <si>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</si>
  <si>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</si>
  <si>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</si>
  <si>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</si>
  <si>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</si>
  <si>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</si>
  <si>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</si>
  <si>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</si>
  <si>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</si>
  <si>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</si>
  <si>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</si>
  <si>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</si>
  <si>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</si>
  <si>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</si>
  <si>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</si>
  <si>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</si>
  <si>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</si>
  <si>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</si>
  <si>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</si>
  <si>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</si>
  <si>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</si>
  <si>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</si>
  <si>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</si>
  <si>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</si>
  <si>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</si>
  <si>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</si>
  <si>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</si>
  <si>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</si>
  <si>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</si>
  <si>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</si>
  <si>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</si>
  <si>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</si>
  <si>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</si>
  <si>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</si>
  <si>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</si>
  <si>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</si>
  <si>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</si>
  <si>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</si>
  <si>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</si>
  <si>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</si>
  <si>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</si>
  <si>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</si>
  <si>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</si>
  <si>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</si>
  <si>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</si>
  <si>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</si>
  <si>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</si>
  <si>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</si>
  <si>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</si>
  <si>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</si>
  <si>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</si>
  <si>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</si>
  <si>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</si>
  <si>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</si>
  <si>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</si>
  <si>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</si>
  <si>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</si>
  <si>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</si>
  <si>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</si>
  <si>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</si>
  <si>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</si>
  <si>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</si>
  <si>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</si>
  <si>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</si>
  <si>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</si>
  <si>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</si>
  <si>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</si>
  <si>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</si>
  <si>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</si>
  <si>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</si>
  <si>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</si>
  <si>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</si>
  <si>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</si>
  <si>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</si>
  <si>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</si>
  <si>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</si>
  <si>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</si>
  <si>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</si>
  <si>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</si>
  <si>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</si>
  <si>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</si>
  <si>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</si>
  <si>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</si>
  <si>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</si>
  <si>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</si>
  <si>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</si>
  <si>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</si>
  <si>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</si>
  <si>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</si>
  <si>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</si>
  <si>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</si>
  <si>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</si>
  <si>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</si>
  <si>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</si>
  <si>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</si>
  <si>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</si>
  <si>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</si>
  <si>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</si>
  <si>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</si>
  <si>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</si>
  <si>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</si>
  <si>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</si>
  <si>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</si>
  <si>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</si>
  <si>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</si>
  <si>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</si>
  <si>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</si>
  <si>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</si>
  <si>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</si>
  <si>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</si>
  <si>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</si>
  <si>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</si>
  <si>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</si>
  <si>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</si>
  <si>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</si>
  <si>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</si>
  <si>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</si>
  <si>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</si>
  <si>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</si>
  <si>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</si>
  <si>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</si>
  <si>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</si>
  <si>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</si>
  <si>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</si>
  <si>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</si>
  <si>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</si>
  <si>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</si>
  <si>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</si>
  <si>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</si>
  <si>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</si>
  <si>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</si>
  <si>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</si>
  <si>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</si>
  <si>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</si>
  <si>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</si>
  <si>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</si>
  <si>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</si>
  <si>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</si>
  <si>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</si>
  <si>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</si>
  <si>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</si>
  <si>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</si>
  <si>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</si>
  <si>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</si>
  <si>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</si>
  <si>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</si>
  <si>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</si>
  <si>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</si>
  <si>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</si>
  <si>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</si>
  <si>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</si>
  <si>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</si>
  <si>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</si>
  <si>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</si>
  <si>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</si>
  <si>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</si>
  <si>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</si>
  <si>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</si>
  <si>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</si>
  <si>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</si>
  <si>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</si>
  <si>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</si>
  <si>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</si>
  <si>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</si>
  <si>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</si>
  <si>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</si>
  <si>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</si>
  <si>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</si>
  <si>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</si>
  <si>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</si>
  <si>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</si>
  <si>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</si>
  <si>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</si>
  <si>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</si>
  <si>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</si>
  <si>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</si>
  <si>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</si>
  <si>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</si>
  <si>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</si>
  <si>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</si>
  <si>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</si>
  <si>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</si>
  <si>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</si>
  <si>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</si>
  <si>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</si>
  <si>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</si>
  <si>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</si>
  <si>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</si>
  <si>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</si>
  <si>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</si>
  <si>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</si>
  <si>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</si>
  <si>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</si>
  <si>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</si>
  <si>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</si>
  <si>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</si>
  <si>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</si>
  <si>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</si>
  <si>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</si>
  <si>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</si>
  <si>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</si>
  <si>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</si>
  <si>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</si>
  <si>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</si>
  <si>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</si>
  <si>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</si>
  <si>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</si>
  <si>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</si>
  <si>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</si>
  <si>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</si>
  <si>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</si>
  <si>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</si>
  <si>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</si>
  <si>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</si>
  <si>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</si>
  <si>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</si>
  <si>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</si>
  <si>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</si>
  <si>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</si>
  <si>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</si>
  <si>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</si>
  <si>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</si>
  <si>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</si>
  <si>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</si>
  <si>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</si>
  <si>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</si>
  <si>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</si>
  <si>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</si>
  <si>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</si>
  <si>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</si>
  <si>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</si>
  <si>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</si>
  <si>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</si>
  <si>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</si>
  <si>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</si>
  <si>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</si>
  <si>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</si>
  <si>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</si>
  <si>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</si>
  <si>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</si>
  <si>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</si>
  <si>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</si>
  <si>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</si>
  <si>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</si>
  <si>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</si>
  <si>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</si>
  <si>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</si>
  <si>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</si>
  <si>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</si>
  <si>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</si>
  <si>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</si>
  <si>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</si>
  <si>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</si>
  <si>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</si>
  <si>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</si>
  <si>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</si>
  <si>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</si>
  <si>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</si>
  <si>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</si>
  <si>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</si>
  <si>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</si>
  <si>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</si>
  <si>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</si>
  <si>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</si>
  <si>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</si>
  <si>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</si>
  <si>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</si>
  <si>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</si>
  <si>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</si>
  <si>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</si>
  <si>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</si>
  <si>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</si>
  <si>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</si>
  <si>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</si>
  <si>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</si>
  <si>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</si>
  <si>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</si>
  <si>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</si>
  <si>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</si>
  <si>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</si>
  <si>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</si>
  <si>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</si>
  <si>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</si>
  <si>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</si>
  <si>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</si>
  <si>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</si>
  <si>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</si>
  <si>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</si>
  <si>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</si>
  <si>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</si>
  <si>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</si>
  <si>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</si>
  <si>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</si>
  <si>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</si>
  <si>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</si>
  <si>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</si>
  <si>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</si>
  <si>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</si>
  <si>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</si>
  <si>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</si>
  <si>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</si>
  <si>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</si>
  <si>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</si>
  <si>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</si>
  <si>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</si>
  <si>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</si>
  <si>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</si>
  <si>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</si>
  <si>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</si>
  <si>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</si>
  <si>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</si>
  <si>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</si>
  <si>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</si>
  <si>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</si>
  <si>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</si>
  <si>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</si>
  <si>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</si>
  <si>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</si>
  <si>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</si>
  <si>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</si>
  <si>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</si>
  <si>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</si>
  <si>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</si>
  <si>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</si>
  <si>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</si>
  <si>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</si>
  <si>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</si>
  <si>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</si>
  <si>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</si>
  <si>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</si>
  <si>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</si>
  <si>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</si>
  <si>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</si>
  <si>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</si>
  <si>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</si>
  <si>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</si>
  <si>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</si>
  <si>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</si>
  <si>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</si>
  <si>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</si>
  <si>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</si>
  <si>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</si>
  <si>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</si>
  <si>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</si>
  <si>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</si>
  <si>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</si>
  <si>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</si>
  <si>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</si>
  <si>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</si>
  <si>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</si>
  <si>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</si>
  <si>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</si>
  <si>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</si>
  <si>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</si>
  <si>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</si>
  <si>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</si>
  <si>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</si>
  <si>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</si>
  <si>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</si>
  <si>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</si>
  <si>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</si>
  <si>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</si>
  <si>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</si>
  <si>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</si>
  <si>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</si>
  <si>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</si>
  <si>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</si>
  <si>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</si>
  <si>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</si>
  <si>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</si>
  <si>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</si>
  <si>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</si>
  <si>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</si>
  <si>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</si>
  <si>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</si>
  <si>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</si>
  <si>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</si>
  <si>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</si>
  <si>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</si>
  <si>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</si>
  <si>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</si>
  <si>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</si>
  <si>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</si>
  <si>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</si>
  <si>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</si>
  <si>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</si>
  <si>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</si>
  <si>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</si>
  <si>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</si>
  <si>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</si>
  <si>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</si>
  <si>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</si>
  <si>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</si>
  <si>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</si>
  <si>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</si>
  <si>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</si>
  <si>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</si>
  <si>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</si>
  <si>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</si>
  <si>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</si>
  <si>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</si>
  <si>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</si>
  <si>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</si>
  <si>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</si>
  <si>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</si>
  <si>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</si>
  <si>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</si>
  <si>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</si>
  <si>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</si>
  <si>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</si>
  <si>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</si>
  <si>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</si>
  <si>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</si>
  <si>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</si>
  <si>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</si>
  <si>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</si>
  <si>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</si>
  <si>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</si>
  <si>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</si>
  <si>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</si>
  <si>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</si>
  <si>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</si>
  <si>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</si>
  <si>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</si>
  <si>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</si>
  <si>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</si>
  <si>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</si>
  <si>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</si>
  <si>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</si>
  <si>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</si>
  <si>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</si>
  <si>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</si>
  <si>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</si>
  <si>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</si>
  <si>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</si>
  <si>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</si>
  <si>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</si>
  <si>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</si>
  <si>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</si>
  <si>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</si>
  <si>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</si>
  <si>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</si>
  <si>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</si>
  <si>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</si>
  <si>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</si>
  <si>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</si>
  <si>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</si>
  <si>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</si>
  <si>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</si>
  <si>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</si>
  <si>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</si>
  <si>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</si>
  <si>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</si>
  <si>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</si>
  <si>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</si>
  <si>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</si>
  <si>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</si>
  <si>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</si>
  <si>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</si>
  <si>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</si>
  <si>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</si>
  <si>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</si>
  <si>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</si>
  <si>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</si>
  <si>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</si>
  <si>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</si>
  <si>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</si>
  <si>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</si>
  <si>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</si>
  <si>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</si>
  <si>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</si>
  <si>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</si>
  <si>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</si>
  <si>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</si>
  <si>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</si>
  <si>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</si>
  <si>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</si>
  <si>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</si>
  <si>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</si>
  <si>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</si>
  <si>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</si>
  <si>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</si>
  <si>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</si>
  <si>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</si>
  <si>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</si>
  <si>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</si>
  <si>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</si>
  <si>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</si>
  <si>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</si>
  <si>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</si>
  <si>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</si>
  <si>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</si>
  <si>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</si>
  <si>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</si>
  <si>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</si>
  <si>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</si>
  <si>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</si>
  <si>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</si>
  <si>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</si>
  <si>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</si>
  <si>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</si>
  <si>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</si>
  <si>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</si>
  <si>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</si>
  <si>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</si>
  <si>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</si>
  <si>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</si>
  <si>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</si>
  <si>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</si>
  <si>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</si>
  <si>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</si>
  <si>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</si>
  <si>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</si>
  <si>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</si>
  <si>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</si>
  <si>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</si>
  <si>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</si>
  <si>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</si>
  <si>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</si>
  <si>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</si>
  <si>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</si>
  <si>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</si>
  <si>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</si>
  <si>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</si>
  <si>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</si>
  <si>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</si>
  <si>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</si>
  <si>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</si>
  <si>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</si>
  <si>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</si>
  <si>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</si>
  <si>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</si>
  <si>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</si>
  <si>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</si>
  <si>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</si>
  <si>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</si>
  <si>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</si>
  <si>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</si>
  <si>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</si>
  <si>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</si>
  <si>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</si>
  <si>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</si>
  <si>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</si>
  <si>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</si>
  <si>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</si>
  <si>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</si>
  <si>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</si>
  <si>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</si>
  <si>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</si>
  <si>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</si>
  <si>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</si>
  <si>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</si>
  <si>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</si>
  <si>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</si>
  <si>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</si>
  <si>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</si>
  <si>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</si>
  <si>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</si>
  <si>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</si>
  <si>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</si>
  <si>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</si>
  <si>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</si>
  <si>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</si>
  <si>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</si>
  <si>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</si>
  <si>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</si>
  <si>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</si>
  <si>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</si>
  <si>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</si>
  <si>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</si>
  <si>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</si>
  <si>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</si>
  <si>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</si>
  <si>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</si>
  <si>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</si>
  <si>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</si>
  <si>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</si>
  <si>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</si>
  <si>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</si>
  <si>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</si>
  <si>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</si>
  <si>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</si>
  <si>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</si>
  <si>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</si>
  <si>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</si>
  <si>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</si>
  <si>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</si>
  <si>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</si>
  <si>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</si>
  <si>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</si>
  <si>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</si>
  <si>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</si>
  <si>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</si>
  <si>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</si>
  <si>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</si>
  <si>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</si>
  <si>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</si>
  <si>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</si>
  <si>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</si>
  <si>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</si>
  <si>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</si>
  <si>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</si>
  <si>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</si>
  <si>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</si>
  <si>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</si>
  <si>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</si>
  <si>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</si>
  <si>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</si>
  <si>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</si>
  <si>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</si>
  <si>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</si>
  <si>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</si>
  <si>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</si>
  <si>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</si>
  <si>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</si>
  <si>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</si>
  <si>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</si>
  <si>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</si>
  <si>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</si>
  <si>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</si>
  <si>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</si>
  <si>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</si>
  <si>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</si>
  <si>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</si>
  <si>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</si>
  <si>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</si>
  <si>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</si>
  <si>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</si>
  <si>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</si>
  <si>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</si>
  <si>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</si>
  <si>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</si>
  <si>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</si>
  <si>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</si>
  <si>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</si>
  <si>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</si>
  <si>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</si>
  <si>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</si>
  <si>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</si>
  <si>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</si>
  <si>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</si>
  <si>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</si>
  <si>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</si>
  <si>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</si>
  <si>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</si>
  <si>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</si>
  <si>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</si>
  <si>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</si>
  <si>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</si>
  <si>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</si>
  <si>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</si>
  <si>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</si>
  <si>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</si>
  <si>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</si>
  <si>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</si>
  <si>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</si>
  <si>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</si>
  <si>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</si>
  <si>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</si>
  <si>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</si>
  <si>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</si>
  <si>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</si>
  <si>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</si>
  <si>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</si>
  <si>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</si>
  <si>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</si>
  <si>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</si>
  <si>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</si>
  <si>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</si>
  <si>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</si>
  <si>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</si>
  <si>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</si>
  <si>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</si>
  <si>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</si>
  <si>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</si>
  <si>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</si>
  <si>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</si>
  <si>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</si>
  <si>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</si>
  <si>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</si>
  <si>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</si>
  <si>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</si>
  <si>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</si>
  <si>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</si>
  <si>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</si>
  <si>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</si>
  <si>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</si>
  <si>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</si>
  <si>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</si>
  <si>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</si>
  <si>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</si>
  <si>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</si>
  <si>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</si>
  <si>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</si>
  <si>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</si>
  <si>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</si>
  <si>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</si>
  <si>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</si>
  <si>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</si>
  <si>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</si>
  <si>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</si>
  <si>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</si>
  <si>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</si>
  <si>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</si>
  <si>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</si>
  <si>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</si>
  <si>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</si>
  <si>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</si>
  <si>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</si>
  <si>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</si>
  <si>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</si>
  <si>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</si>
  <si>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</si>
  <si>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</si>
  <si>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</si>
  <si>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</si>
  <si>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</si>
  <si>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</si>
  <si>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</si>
  <si>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</si>
  <si>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</si>
  <si>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</si>
  <si>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</si>
  <si>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</si>
  <si>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</si>
  <si>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</si>
  <si>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</si>
  <si>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</si>
  <si>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</si>
  <si>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</si>
  <si>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</si>
  <si>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</si>
  <si>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</si>
  <si>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</si>
  <si>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</si>
  <si>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</si>
  <si>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</si>
  <si>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</si>
  <si>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</si>
  <si>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</si>
  <si>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</si>
  <si>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</si>
  <si>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</si>
  <si>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</si>
  <si>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</si>
  <si>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</si>
  <si>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</si>
  <si>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</si>
  <si>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</si>
  <si>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</si>
  <si>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</si>
  <si>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</si>
  <si>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</si>
  <si>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</si>
  <si>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</si>
  <si>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</si>
  <si>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</si>
  <si>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</si>
  <si>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</si>
  <si>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</si>
  <si>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</si>
  <si>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</si>
  <si>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</si>
  <si>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</si>
  <si>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</si>
  <si>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</si>
  <si>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</si>
  <si>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</si>
  <si>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</si>
  <si>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</si>
  <si>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</si>
  <si>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</si>
  <si>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</si>
  <si>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</si>
  <si>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</si>
  <si>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</si>
  <si>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</si>
  <si>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</si>
  <si>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</si>
  <si>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</si>
  <si>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</si>
  <si>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</si>
  <si>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</si>
  <si>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</si>
  <si>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</si>
  <si>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</si>
  <si>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</si>
  <si>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</si>
  <si>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</si>
  <si>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</si>
  <si>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</si>
  <si>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</si>
  <si>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</si>
  <si>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</si>
  <si>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</si>
  <si>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</si>
  <si>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</si>
  <si>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</si>
  <si>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</si>
  <si>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</si>
  <si>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</si>
  <si>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</si>
  <si>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</si>
  <si>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</si>
  <si>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</si>
  <si>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</si>
  <si>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</si>
  <si>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</si>
  <si>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</si>
  <si>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</si>
  <si>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</si>
  <si>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</si>
  <si>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</si>
  <si>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</si>
  <si>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</si>
  <si>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</si>
  <si>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</si>
  <si>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</si>
  <si>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</si>
  <si>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</si>
  <si>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</si>
  <si>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</si>
  <si>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</si>
  <si>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</si>
  <si>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</si>
  <si>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</si>
  <si>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</si>
  <si>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</si>
  <si>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</si>
  <si>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</si>
  <si>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</si>
  <si>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</si>
  <si>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</si>
  <si>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</si>
  <si>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</si>
  <si>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</si>
  <si>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</si>
  <si>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</si>
  <si>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</si>
  <si>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</si>
  <si>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</si>
  <si>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</si>
  <si>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</si>
  <si>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</si>
  <si>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</si>
  <si>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</si>
  <si>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</si>
  <si>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</si>
  <si>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</si>
  <si>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</si>
  <si>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</si>
  <si>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</si>
  <si>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</si>
  <si>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</si>
  <si>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</si>
  <si>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</si>
  <si>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</si>
  <si>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</si>
  <si>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</si>
  <si>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</si>
  <si>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</si>
  <si>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</si>
  <si>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</si>
  <si>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</si>
  <si>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</si>
  <si>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</si>
  <si>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</si>
  <si>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</si>
  <si>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</si>
  <si>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</si>
  <si>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</si>
  <si>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</si>
  <si>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</si>
  <si>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</si>
  <si>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</si>
  <si>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</si>
  <si>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</si>
  <si>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</si>
  <si>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</si>
  <si>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</si>
  <si>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</si>
  <si>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</si>
  <si>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</si>
  <si>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</si>
  <si>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</si>
  <si>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</si>
  <si>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</si>
  <si>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</si>
  <si>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</si>
  <si>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</si>
  <si>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</si>
  <si>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</si>
  <si>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</si>
  <si>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</si>
  <si>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</si>
  <si>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</si>
  <si>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</si>
  <si>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</si>
  <si>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</si>
  <si>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</si>
  <si>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</si>
  <si>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</si>
  <si>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</si>
  <si>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</si>
  <si>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</si>
  <si>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</si>
  <si>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</si>
  <si>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</si>
  <si>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</si>
  <si>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</si>
  <si>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</si>
  <si>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</si>
  <si>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</si>
  <si>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</si>
  <si>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</si>
  <si>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</si>
  <si>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</si>
  <si>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</si>
  <si>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</si>
  <si>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</si>
  <si>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</si>
  <si>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</si>
  <si>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</si>
  <si>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</si>
  <si>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</si>
  <si>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</si>
  <si>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</si>
  <si>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</si>
  <si>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</si>
  <si>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</si>
  <si>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</si>
  <si>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</si>
  <si>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</si>
  <si>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</si>
  <si>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</si>
  <si>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</si>
  <si>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</si>
  <si>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</si>
  <si>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</si>
  <si>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</si>
  <si>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</si>
  <si>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</si>
  <si>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</si>
  <si>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</si>
  <si>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</si>
  <si>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</si>
  <si>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</si>
  <si>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</si>
  <si>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</si>
  <si>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</si>
  <si>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</si>
  <si>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</si>
  <si>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</si>
  <si>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</si>
  <si>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</si>
  <si>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</si>
  <si>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</si>
  <si>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</si>
  <si>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</si>
  <si>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</si>
  <si>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</si>
  <si>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</si>
  <si>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</si>
  <si>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</si>
  <si>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</si>
  <si>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</si>
  <si>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</si>
  <si>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</si>
  <si>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</si>
  <si>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</si>
  <si>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</si>
  <si>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</si>
  <si>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</si>
  <si>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</si>
  <si>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</si>
  <si>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</si>
  <si>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</si>
  <si>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</si>
  <si>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</si>
  <si>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</si>
  <si>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</si>
  <si>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</si>
  <si>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</si>
  <si>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</si>
  <si>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</si>
  <si>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</si>
  <si>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</si>
  <si>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</si>
  <si>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</si>
  <si>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</si>
  <si>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</si>
  <si>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</si>
  <si>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</si>
  <si>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</si>
  <si>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</si>
  <si>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</si>
  <si>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</si>
  <si>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</si>
  <si>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</si>
  <si>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</si>
  <si>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</si>
  <si>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</si>
  <si>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</si>
  <si>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</si>
  <si>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</si>
  <si>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</si>
  <si>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</si>
  <si>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</si>
  <si>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</si>
  <si>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</si>
  <si>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</si>
  <si>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</si>
  <si>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</si>
  <si>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</si>
  <si>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</si>
  <si>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</si>
  <si>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</si>
  <si>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</si>
  <si>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</si>
  <si>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</si>
  <si>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</si>
  <si>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</si>
  <si>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</si>
  <si>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</si>
  <si>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</si>
  <si>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</si>
  <si>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</si>
  <si>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</si>
  <si>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</si>
  <si>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</si>
  <si>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</si>
  <si>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</si>
  <si>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</si>
  <si>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</si>
  <si>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</si>
  <si>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</si>
  <si>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</si>
  <si>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</si>
  <si>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</si>
  <si>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</si>
  <si>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</si>
  <si>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</si>
  <si>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</si>
  <si>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</si>
  <si>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</si>
  <si>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</si>
  <si>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</si>
  <si>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</si>
  <si>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</si>
  <si>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</si>
  <si>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</si>
  <si>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</si>
  <si>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</si>
  <si>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</si>
  <si>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</si>
  <si>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</si>
  <si>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</si>
  <si>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</si>
  <si>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</si>
  <si>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</si>
  <si>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</si>
  <si>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</si>
  <si>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</si>
  <si>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</si>
  <si>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</si>
  <si>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</si>
  <si>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</si>
  <si>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</si>
  <si>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</si>
  <si>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</si>
  <si>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</si>
  <si>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</si>
  <si>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</si>
  <si>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</si>
  <si>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</si>
  <si>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</si>
  <si>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</si>
  <si>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</si>
  <si>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</si>
  <si>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</si>
  <si>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</si>
  <si>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</si>
  <si>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</si>
  <si>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</si>
  <si>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</si>
  <si>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</si>
  <si>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</si>
  <si>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</si>
  <si>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</si>
  <si>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</si>
  <si>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</si>
  <si>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</si>
  <si>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</si>
  <si>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</si>
  <si>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</si>
  <si>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</si>
  <si>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</si>
  <si>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</si>
  <si>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</si>
  <si>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</si>
  <si>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</si>
  <si>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</si>
  <si>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</si>
  <si>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</si>
  <si>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</si>
  <si>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</si>
  <si>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</si>
  <si>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</si>
  <si>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</si>
  <si>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</si>
  <si>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</si>
  <si>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</si>
  <si>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</si>
  <si>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</si>
  <si>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</si>
  <si>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</si>
  <si>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</si>
  <si>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</si>
  <si>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</si>
  <si>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</si>
  <si>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</si>
  <si>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</si>
  <si>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</si>
  <si>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</si>
  <si>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</si>
  <si>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</si>
  <si>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</si>
  <si>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</si>
  <si>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</si>
  <si>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</si>
  <si>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</si>
  <si>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</si>
  <si>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</si>
  <si>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</si>
  <si>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</si>
  <si>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</si>
  <si>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</si>
  <si>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</si>
  <si>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</si>
  <si>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</si>
  <si>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</si>
  <si>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</si>
  <si>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</si>
  <si>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</si>
  <si>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</si>
  <si>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</si>
  <si>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</si>
  <si>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</si>
  <si>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</si>
  <si>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</si>
  <si>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</si>
  <si>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</si>
  <si>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</si>
  <si>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</si>
  <si>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</si>
  <si>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</si>
  <si>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</si>
  <si>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</si>
  <si>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</si>
  <si>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</si>
  <si>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</si>
  <si>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</si>
  <si>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</si>
  <si>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</si>
  <si>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</si>
  <si>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</si>
  <si>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</si>
  <si>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</si>
  <si>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</si>
  <si>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</si>
  <si>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</si>
  <si>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</si>
  <si>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</si>
  <si>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</si>
  <si>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</si>
  <si>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</si>
  <si>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</si>
  <si>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</si>
  <si>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</si>
  <si>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</si>
  <si>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</si>
  <si>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</si>
  <si>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</si>
  <si>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</si>
  <si>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</si>
  <si>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</si>
  <si>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</si>
  <si>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</si>
  <si>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</si>
  <si>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</si>
  <si>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</si>
  <si>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</si>
  <si>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</si>
  <si>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</si>
  <si>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</si>
  <si>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</si>
  <si>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</si>
  <si>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</si>
  <si>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</si>
  <si>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</si>
  <si>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</si>
  <si>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</si>
  <si>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</si>
  <si>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</si>
  <si>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</si>
  <si>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</si>
  <si>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</si>
  <si>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</si>
  <si>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</si>
  <si>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</si>
  <si>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</si>
  <si>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</si>
  <si>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</si>
  <si>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</si>
  <si>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</si>
  <si>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</si>
  <si>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</si>
  <si>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</si>
  <si>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</si>
  <si>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</si>
  <si>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</si>
  <si>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</si>
  <si>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</si>
  <si>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</si>
  <si>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</si>
  <si>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</si>
  <si>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</si>
  <si>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</si>
  <si>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</si>
  <si>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</si>
  <si>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</si>
  <si>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</si>
  <si>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</si>
  <si>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</si>
  <si>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</si>
  <si>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</si>
  <si>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</si>
  <si>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</si>
  <si>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</si>
  <si>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</si>
  <si>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</si>
  <si>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</si>
  <si>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</si>
  <si>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</si>
  <si>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</si>
  <si>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</si>
  <si>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</si>
  <si>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</si>
  <si>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</si>
  <si>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</si>
  <si>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</si>
  <si>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</si>
  <si>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</si>
  <si>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</si>
  <si>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</si>
  <si>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</si>
  <si>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</si>
  <si>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</si>
  <si>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</si>
  <si>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</si>
  <si>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</si>
  <si>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</si>
  <si>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</si>
  <si>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</si>
  <si>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</si>
  <si>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</si>
  <si>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</si>
  <si>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</si>
  <si>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</si>
  <si>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</si>
  <si>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</si>
  <si>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</si>
  <si>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</si>
  <si>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</si>
  <si>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</si>
  <si>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</si>
  <si>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</si>
  <si>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</si>
  <si>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</si>
  <si>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</si>
  <si>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</si>
  <si>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</si>
  <si>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</si>
  <si>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</si>
  <si>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</si>
  <si>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</si>
  <si>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</si>
  <si>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</si>
  <si>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</si>
  <si>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</si>
  <si>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</si>
  <si>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</si>
  <si>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</si>
  <si>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</si>
  <si>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</si>
  <si>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</si>
  <si>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</si>
  <si>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</si>
  <si>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</si>
  <si>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</si>
  <si>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</si>
  <si>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</si>
  <si>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</si>
  <si>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</si>
  <si>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</si>
  <si>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</si>
  <si>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</si>
  <si>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</si>
  <si>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</si>
  <si>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</si>
  <si>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</si>
  <si>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</si>
  <si>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</si>
  <si>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</si>
  <si>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</si>
  <si>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</si>
  <si>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</si>
  <si>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</si>
  <si>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</si>
  <si>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</si>
  <si>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</si>
  <si>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</si>
  <si>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</si>
  <si>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</si>
  <si>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</si>
  <si>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</si>
  <si>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</si>
  <si>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</si>
  <si>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</si>
  <si>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</si>
  <si>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</si>
  <si>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</si>
  <si>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</si>
  <si>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</si>
  <si>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</si>
  <si>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</si>
  <si>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</si>
  <si>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</si>
  <si>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</si>
  <si>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</si>
  <si>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</si>
  <si>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</si>
  <si>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</si>
  <si>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</si>
  <si>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</si>
  <si>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</si>
  <si>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</si>
  <si>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</si>
  <si>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</si>
  <si>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</si>
  <si>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</si>
  <si>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</si>
  <si>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</si>
  <si>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</si>
  <si>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</si>
  <si>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</si>
  <si>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</si>
  <si>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</si>
  <si>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</si>
  <si>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</si>
  <si>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</si>
  <si>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</si>
  <si>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</si>
  <si>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</si>
  <si>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</si>
  <si>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</si>
  <si>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</si>
  <si>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</si>
  <si>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</si>
  <si>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</si>
  <si>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</si>
  <si>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</si>
  <si>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</si>
  <si>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</si>
  <si>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</si>
  <si>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</si>
  <si>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</si>
  <si>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</si>
  <si>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</si>
  <si>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</si>
  <si>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</si>
  <si>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</si>
  <si>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</si>
  <si>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</si>
  <si>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</si>
  <si>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</si>
  <si>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</si>
  <si>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</si>
  <si>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</si>
  <si>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</si>
  <si>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</si>
  <si>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</si>
  <si>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</si>
  <si>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</si>
  <si>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</si>
  <si>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</si>
  <si>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</si>
  <si>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</si>
  <si>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</si>
  <si>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</si>
  <si>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</si>
  <si>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</si>
  <si>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</si>
  <si>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</si>
  <si>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</si>
  <si>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</si>
  <si>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</si>
  <si>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</si>
  <si>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</si>
  <si>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</si>
  <si>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</si>
  <si>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</si>
  <si>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</si>
  <si>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</si>
  <si>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</si>
  <si>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</si>
  <si>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</si>
  <si>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</si>
  <si>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</si>
  <si>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</si>
  <si>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</si>
  <si>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</si>
  <si>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</si>
  <si>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</si>
  <si>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</si>
  <si>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</si>
  <si>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</si>
  <si>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</si>
  <si>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</si>
  <si>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</si>
  <si>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</si>
  <si>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</si>
  <si>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</si>
  <si>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</si>
  <si>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</si>
  <si>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</si>
  <si>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</si>
  <si>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</si>
  <si>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</si>
  <si>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</si>
  <si>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</si>
  <si>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</si>
  <si>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</si>
  <si>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</si>
  <si>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</si>
  <si>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</si>
  <si>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</si>
  <si>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</si>
  <si>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</si>
  <si>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</si>
  <si>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</si>
  <si>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</si>
  <si>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</si>
  <si>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</si>
  <si>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</si>
  <si>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</si>
  <si>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</si>
  <si>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</si>
  <si>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</si>
  <si>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</si>
  <si>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</si>
  <si>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</si>
  <si>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</si>
  <si>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</si>
  <si>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</si>
  <si>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</si>
  <si>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</si>
  <si>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</si>
  <si>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</si>
  <si>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</si>
  <si>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</si>
  <si>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</si>
  <si>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</si>
  <si>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</si>
  <si>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</si>
  <si>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</si>
  <si>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</si>
  <si>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</si>
  <si>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</si>
  <si>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</si>
  <si>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</si>
  <si>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</si>
  <si>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</si>
  <si>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</si>
  <si>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</si>
  <si>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</si>
  <si>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</si>
  <si>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</si>
  <si>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</si>
  <si>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</si>
  <si>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</si>
  <si>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</si>
  <si>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</si>
  <si>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</si>
  <si>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</si>
  <si>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</si>
  <si>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</si>
  <si>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</si>
  <si>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</si>
  <si>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</si>
  <si>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</si>
  <si>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</si>
  <si>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</si>
  <si>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</si>
  <si>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</si>
  <si>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</si>
  <si>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</si>
  <si>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</si>
  <si>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</si>
  <si>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</si>
  <si>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</si>
  <si>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</si>
  <si>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</si>
  <si>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</si>
  <si>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</si>
  <si>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</si>
  <si>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</si>
  <si>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</si>
  <si>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</si>
  <si>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</si>
  <si>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</si>
  <si>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</si>
  <si>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</si>
  <si>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</si>
  <si>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</si>
  <si>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</si>
  <si>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</si>
  <si>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</si>
  <si>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</si>
  <si>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</si>
  <si>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</si>
  <si>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</si>
  <si>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</si>
  <si>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</si>
  <si>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</si>
  <si>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</si>
  <si>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</si>
  <si>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</si>
  <si>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</si>
  <si>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</si>
  <si>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</si>
  <si>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</si>
  <si>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</si>
  <si>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</si>
  <si>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</si>
  <si>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</si>
  <si>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</si>
  <si>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</si>
  <si>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</si>
  <si>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</si>
  <si>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</si>
  <si>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</si>
  <si>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</si>
  <si>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</si>
  <si>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</si>
  <si>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</si>
  <si>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</si>
  <si>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</si>
  <si>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</si>
  <si>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</si>
  <si>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</si>
  <si>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</si>
  <si>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</si>
  <si>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</si>
  <si>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</si>
  <si>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</si>
  <si>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</si>
  <si>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</si>
  <si>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</si>
  <si>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</si>
  <si>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</si>
  <si>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</si>
  <si>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</si>
  <si>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</si>
  <si>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</si>
  <si>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</si>
  <si>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</si>
  <si>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</si>
  <si>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</si>
  <si>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</si>
  <si>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</si>
  <si>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</si>
  <si>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</si>
  <si>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</si>
  <si>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</si>
  <si>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</si>
  <si>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</si>
  <si>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</si>
  <si>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</si>
  <si>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</si>
  <si>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</si>
  <si>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</si>
  <si>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</si>
  <si>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</si>
  <si>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</si>
  <si>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</si>
  <si>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</si>
  <si>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</si>
  <si>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</si>
  <si>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</si>
  <si>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</si>
  <si>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</si>
  <si>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</si>
  <si>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</si>
  <si>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</si>
  <si>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</si>
  <si>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</si>
  <si>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</si>
  <si>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</si>
  <si>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</si>
  <si>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</si>
  <si>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</si>
  <si>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</si>
  <si>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</si>
  <si>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</si>
  <si>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</si>
  <si>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</si>
  <si>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</si>
  <si>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</si>
  <si>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</si>
  <si>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</si>
  <si>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</si>
  <si>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</si>
  <si>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</si>
  <si>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</si>
  <si>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</si>
  <si>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</si>
  <si>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</si>
  <si>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</si>
  <si>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</si>
  <si>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</si>
  <si>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</si>
  <si>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</si>
  <si>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</si>
  <si>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</si>
  <si>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</si>
  <si>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</si>
  <si>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</si>
  <si>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</si>
  <si>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</si>
  <si>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</si>
  <si>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</si>
  <si>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</si>
  <si>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</si>
  <si>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</si>
  <si>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</si>
  <si>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</si>
  <si>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</si>
  <si>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</si>
  <si>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</si>
  <si>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</si>
  <si>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</si>
  <si>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</si>
  <si>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</si>
  <si>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</si>
  <si>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</si>
  <si>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</si>
  <si>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</si>
  <si>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</si>
  <si>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</si>
  <si>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</si>
  <si>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</si>
  <si>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</si>
  <si>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</si>
  <si>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</si>
  <si>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</si>
  <si>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</si>
  <si>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</si>
  <si>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</si>
  <si>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</si>
  <si>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</si>
  <si>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</si>
  <si>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</si>
  <si>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</si>
  <si>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</si>
  <si>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</si>
  <si>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</si>
  <si>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</si>
  <si>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</si>
  <si>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</si>
  <si>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</si>
  <si>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</si>
  <si>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</si>
  <si>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</si>
  <si>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</si>
  <si>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</si>
  <si>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</si>
  <si>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</si>
  <si>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</si>
  <si>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</si>
  <si>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</si>
  <si>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</si>
  <si>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</si>
  <si>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</si>
  <si>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</si>
  <si>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</si>
  <si>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</si>
  <si>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</si>
  <si>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</si>
  <si>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</si>
  <si>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</si>
  <si>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</si>
  <si>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</si>
  <si>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</si>
  <si>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</si>
  <si>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</si>
  <si>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</si>
  <si>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</si>
  <si>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</si>
  <si>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</si>
  <si>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</si>
  <si>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</si>
  <si>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</si>
  <si>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</si>
  <si>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</si>
  <si>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</si>
  <si>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</si>
  <si>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</si>
  <si>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</si>
  <si>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</si>
  <si>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</si>
  <si>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</si>
  <si>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</si>
  <si>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</si>
  <si>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</si>
  <si>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</si>
  <si>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</si>
  <si>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</si>
  <si>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</si>
  <si>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</si>
  <si>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</si>
  <si>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</si>
  <si>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</si>
  <si>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</si>
  <si>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</si>
  <si>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</si>
  <si>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</si>
  <si>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</si>
  <si>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</si>
  <si>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</si>
  <si>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</si>
  <si>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</si>
  <si>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</si>
  <si>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</si>
  <si>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</si>
  <si>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</si>
  <si>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</si>
  <si>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</si>
  <si>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</si>
  <si>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</si>
  <si>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</si>
  <si>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</si>
  <si>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</si>
  <si>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</si>
  <si>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</si>
  <si>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</si>
  <si>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</si>
  <si>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</si>
  <si>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</si>
  <si>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</si>
  <si>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</si>
  <si>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</si>
  <si>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</si>
  <si>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</si>
  <si>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</si>
  <si>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</si>
  <si>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</si>
  <si>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</si>
  <si>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</si>
  <si>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</si>
  <si>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</si>
  <si>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</si>
  <si>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</si>
  <si>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</si>
  <si>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</si>
  <si>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</si>
  <si>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</si>
  <si>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</si>
  <si>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</si>
  <si>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</si>
  <si>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</si>
  <si>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</si>
  <si>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</si>
  <si>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</si>
  <si>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</si>
  <si>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</si>
  <si>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</si>
  <si>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</si>
  <si>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</si>
  <si>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</si>
  <si>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</si>
  <si>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</si>
  <si>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</si>
  <si>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</si>
  <si>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</si>
  <si>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</si>
  <si>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</si>
  <si>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</si>
  <si>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</si>
  <si>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</si>
  <si>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</si>
  <si>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</si>
  <si>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</si>
  <si>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</si>
  <si>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</si>
  <si>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</si>
  <si>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</si>
  <si>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</si>
  <si>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</si>
  <si>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</si>
  <si>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</si>
  <si>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</si>
  <si>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</si>
  <si>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</si>
  <si>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</si>
  <si>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</si>
  <si>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</si>
  <si>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</si>
  <si>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</si>
  <si>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</si>
  <si>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</si>
  <si>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</si>
  <si>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</si>
  <si>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</si>
  <si>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</si>
  <si>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</si>
  <si>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</si>
  <si>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</si>
  <si>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</si>
  <si>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</si>
  <si>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</si>
  <si>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</si>
  <si>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</si>
  <si>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</si>
  <si>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</si>
  <si>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</si>
  <si>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</si>
  <si>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</si>
  <si>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</si>
  <si>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</si>
  <si>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</si>
  <si>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</si>
  <si>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</si>
  <si>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</si>
  <si>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</si>
  <si>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</si>
  <si>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</si>
  <si>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</si>
  <si>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</si>
  <si>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</si>
  <si>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</si>
  <si>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</si>
  <si>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</si>
  <si>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</si>
  <si>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</si>
  <si>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</si>
  <si>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</si>
  <si>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</si>
  <si>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</si>
  <si>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</si>
  <si>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</si>
  <si>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</si>
  <si>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</si>
  <si>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</si>
  <si>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</si>
  <si>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</si>
  <si>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</si>
  <si>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</si>
  <si>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</si>
  <si>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</si>
  <si>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</si>
  <si>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</si>
  <si>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</si>
  <si>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</si>
  <si>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</si>
  <si>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</si>
  <si>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</si>
  <si>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</si>
  <si>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</si>
  <si>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</si>
  <si>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</si>
  <si>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</si>
  <si>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</si>
  <si>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</si>
  <si>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</si>
  <si>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</si>
  <si>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</si>
  <si>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</si>
  <si>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</si>
  <si>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</si>
  <si>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</si>
  <si>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</si>
  <si>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</si>
  <si>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</si>
  <si>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</si>
  <si>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</si>
  <si>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</si>
  <si>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</si>
  <si>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</si>
  <si>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</si>
  <si>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</si>
  <si>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</si>
  <si>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</si>
  <si>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</si>
  <si>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</si>
  <si>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</si>
  <si>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</si>
  <si>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</si>
  <si>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</si>
  <si>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</si>
  <si>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</si>
  <si>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</si>
  <si>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</si>
  <si>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</si>
  <si>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</si>
  <si>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</si>
  <si>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</si>
  <si>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</si>
  <si>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</si>
  <si>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</si>
  <si>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</si>
  <si>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</si>
  <si>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</si>
  <si>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</si>
  <si>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</si>
  <si>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</si>
  <si>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</si>
  <si>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</si>
  <si>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</si>
  <si>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</si>
  <si>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</si>
  <si>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</si>
  <si>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</si>
  <si>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</si>
  <si>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</si>
  <si>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</si>
  <si>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</si>
  <si>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</si>
  <si>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</si>
  <si>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</si>
  <si>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</si>
  <si>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</si>
  <si>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</si>
  <si>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</si>
  <si>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</si>
  <si>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</si>
  <si>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</si>
  <si>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</si>
  <si>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</si>
  <si>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</si>
  <si>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</si>
  <si>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</si>
  <si>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</si>
  <si>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</si>
  <si>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</si>
  <si>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</si>
  <si>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</si>
  <si>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</si>
  <si>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</si>
  <si>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</si>
  <si>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</si>
  <si>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</si>
  <si>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</si>
  <si>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</si>
  <si>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</si>
  <si>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</si>
  <si>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</si>
  <si>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</si>
  <si>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</si>
  <si>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</si>
  <si>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</si>
  <si>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</si>
  <si>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</si>
  <si>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</si>
  <si>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</si>
  <si>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</si>
  <si>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</si>
  <si>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</si>
  <si>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</si>
  <si>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</si>
  <si>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</si>
  <si>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</si>
  <si>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</si>
  <si>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</si>
  <si>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</si>
  <si>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</si>
  <si>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</si>
  <si>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</si>
  <si>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</si>
  <si>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</si>
  <si>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</si>
  <si>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</si>
  <si>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</si>
  <si>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</si>
  <si>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</si>
  <si>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</si>
  <si>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</si>
  <si>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</si>
  <si>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</si>
  <si>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</si>
  <si>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</si>
  <si>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</si>
  <si>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</si>
  <si>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</si>
  <si>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</si>
  <si>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</si>
  <si>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</si>
  <si>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</si>
  <si>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</si>
  <si>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</si>
  <si>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</si>
  <si>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</si>
  <si>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</si>
  <si>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</si>
  <si>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</si>
  <si>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</si>
  <si>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</si>
  <si>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</si>
  <si>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</si>
  <si>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</si>
  <si>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</si>
  <si>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</si>
  <si>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</si>
  <si>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</si>
  <si>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</si>
  <si>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</si>
  <si>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</si>
  <si>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</si>
  <si>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</si>
  <si>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</si>
  <si>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</si>
  <si>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</si>
  <si>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</si>
  <si>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</si>
  <si>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</si>
  <si>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</si>
  <si>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</si>
  <si>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</si>
  <si>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</si>
  <si>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</si>
  <si>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</si>
  <si>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</si>
  <si>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</si>
  <si>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</si>
  <si>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</si>
  <si>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</si>
  <si>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</si>
  <si>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</si>
  <si>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</si>
  <si>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</si>
  <si>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</si>
  <si>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</si>
  <si>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</si>
  <si>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</si>
  <si>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</si>
  <si>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</si>
  <si>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</si>
  <si>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</si>
  <si>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</si>
  <si>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</si>
  <si>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</si>
  <si>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</si>
  <si>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</si>
  <si>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</si>
  <si>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</si>
  <si>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</si>
  <si>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</si>
  <si>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</si>
  <si>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</si>
  <si>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</si>
  <si>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</si>
  <si>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</si>
  <si>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</si>
  <si>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</si>
  <si>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</si>
  <si>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</si>
  <si>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</si>
  <si>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</si>
  <si>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</si>
  <si>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</si>
  <si>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</si>
  <si>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</si>
  <si>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</si>
  <si>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</si>
  <si>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</si>
  <si>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</si>
  <si>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</si>
  <si>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</si>
  <si>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</si>
  <si>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</si>
  <si>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</si>
  <si>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</si>
  <si>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</si>
  <si>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</si>
  <si>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</si>
  <si>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</si>
  <si>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</si>
  <si>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</si>
  <si>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</si>
  <si>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</si>
  <si>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</si>
  <si>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</si>
  <si>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</si>
  <si>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</si>
  <si>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</si>
  <si>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</si>
  <si>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</si>
  <si>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</si>
  <si>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</si>
  <si>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</si>
  <si>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</si>
  <si>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</si>
  <si>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</si>
  <si>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</si>
  <si>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</si>
  <si>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</si>
  <si>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</si>
  <si>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</si>
  <si>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</si>
  <si>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</si>
  <si>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</si>
  <si>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</si>
  <si>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</si>
  <si>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</si>
  <si>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</si>
  <si>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</si>
  <si>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</si>
  <si>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</si>
  <si>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</si>
  <si>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</si>
  <si>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</si>
  <si>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</si>
  <si>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</si>
  <si>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</si>
  <si>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</si>
  <si>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</si>
  <si>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</si>
  <si>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</si>
  <si>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</si>
  <si>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</si>
  <si>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</si>
  <si>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</si>
  <si>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</si>
  <si>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</si>
  <si>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</si>
  <si>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</si>
  <si>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</si>
  <si>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</si>
  <si>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</si>
  <si>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</si>
  <si>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</si>
  <si>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</si>
  <si>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</si>
  <si>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</si>
  <si>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</si>
  <si>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</si>
  <si>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</si>
  <si>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</si>
  <si>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</si>
  <si>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</si>
  <si>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</si>
  <si>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</si>
  <si>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</si>
  <si>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</si>
  <si>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</si>
  <si>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</si>
  <si>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</si>
  <si>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</si>
  <si>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</si>
  <si>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</si>
  <si>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</si>
  <si>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</si>
  <si>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</si>
  <si>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</si>
  <si>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</si>
  <si>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</si>
  <si>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</si>
  <si>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</si>
  <si>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</si>
  <si>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</si>
  <si>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</si>
  <si>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</si>
  <si>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</si>
  <si>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</si>
  <si>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</si>
  <si>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</si>
  <si>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</si>
  <si>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</si>
  <si>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</si>
  <si>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</si>
  <si>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</si>
  <si>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</si>
  <si>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</si>
  <si>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</si>
  <si>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</si>
  <si>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</si>
  <si>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</si>
  <si>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</si>
  <si>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</si>
  <si>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</si>
  <si>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</si>
  <si>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</si>
  <si>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</si>
  <si>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</si>
  <si>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</si>
  <si>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</si>
  <si>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</si>
  <si>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</si>
  <si>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</si>
  <si>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</si>
  <si>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</si>
  <si>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</si>
  <si>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</si>
  <si>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</si>
  <si>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</si>
  <si>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</si>
  <si>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</si>
  <si>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</si>
  <si>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</si>
  <si>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</si>
  <si>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</si>
  <si>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</si>
  <si>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</si>
  <si>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</si>
  <si>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</si>
  <si>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</si>
  <si>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</si>
  <si>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</si>
  <si>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</si>
  <si>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</si>
  <si>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</si>
  <si>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</si>
  <si>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</si>
  <si>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</si>
  <si>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</si>
  <si>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</si>
  <si>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</si>
  <si>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</si>
  <si>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</si>
  <si>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</si>
  <si>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</si>
  <si>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</si>
  <si>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</si>
  <si>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</si>
  <si>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</si>
  <si>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</si>
  <si>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</si>
  <si>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</si>
  <si>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</si>
  <si>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</si>
  <si>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</si>
  <si>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</si>
  <si>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</si>
  <si>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</si>
  <si>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</si>
  <si>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</si>
  <si>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</si>
  <si>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</si>
  <si>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</si>
  <si>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</si>
  <si>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</si>
  <si>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</si>
  <si>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</si>
  <si>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</si>
  <si>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</si>
  <si>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</si>
  <si>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</si>
  <si>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</si>
  <si>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</si>
  <si>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</si>
  <si>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</si>
  <si>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</si>
  <si>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</si>
  <si>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</si>
  <si>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</si>
  <si>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</si>
  <si>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</si>
  <si>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</si>
  <si>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</si>
  <si>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</si>
  <si>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</si>
  <si>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</si>
  <si>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</si>
  <si>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</si>
  <si>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</si>
  <si>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</si>
  <si>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</si>
  <si>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</si>
  <si>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</si>
  <si>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</si>
  <si>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</si>
  <si>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</si>
  <si>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</si>
  <si>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</si>
  <si>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</si>
  <si>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</si>
  <si>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</si>
  <si>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</si>
  <si>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</si>
  <si>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</si>
  <si>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</si>
  <si>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</si>
  <si>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</si>
  <si>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</si>
  <si>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</si>
  <si>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</si>
  <si>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</si>
  <si>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</si>
  <si>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</si>
  <si>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</si>
  <si>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</si>
  <si>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</si>
  <si>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</si>
  <si>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</si>
  <si>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</si>
  <si>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</si>
  <si>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</si>
  <si>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</si>
  <si>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</si>
  <si>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</si>
  <si>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</si>
  <si>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</si>
  <si>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</si>
  <si>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</si>
  <si>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</si>
  <si>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</si>
  <si>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</si>
  <si>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</si>
  <si>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</si>
  <si>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</si>
  <si>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</si>
  <si>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</si>
  <si>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</si>
  <si>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</si>
  <si>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</si>
  <si>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</si>
  <si>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</si>
  <si>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</si>
  <si>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</si>
  <si>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</si>
  <si>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</si>
  <si>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</si>
  <si>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</si>
  <si>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</si>
  <si>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</si>
  <si>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</si>
  <si>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</si>
  <si>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</si>
  <si>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</si>
  <si>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</si>
  <si>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</si>
  <si>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</si>
  <si>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</si>
  <si>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</si>
  <si>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</si>
  <si>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</si>
  <si>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</si>
  <si>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</si>
  <si>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</si>
  <si>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</si>
  <si>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</si>
  <si>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</si>
  <si>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</si>
  <si>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</si>
  <si>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</si>
  <si>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</si>
  <si>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</si>
  <si>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</si>
  <si>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</si>
  <si>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</si>
  <si>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</si>
  <si>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</si>
  <si>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</si>
  <si>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</si>
  <si>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</si>
  <si>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</si>
  <si>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</si>
  <si>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</si>
  <si>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</si>
  <si>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</si>
  <si>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</si>
  <si>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</si>
  <si>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</si>
  <si>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</si>
  <si>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</si>
  <si>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</si>
  <si>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</si>
  <si>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</si>
  <si>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</si>
  <si>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</si>
  <si>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</si>
  <si>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</si>
  <si>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</si>
  <si>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</si>
  <si>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</si>
  <si>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</si>
  <si>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</si>
  <si>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</si>
  <si>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</si>
  <si>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</si>
  <si>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</si>
  <si>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</si>
  <si>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</si>
  <si>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</si>
  <si>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</si>
  <si>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</si>
  <si>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</si>
  <si>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</si>
  <si>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</si>
  <si>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</si>
  <si>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</si>
  <si>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</si>
  <si>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</si>
  <si>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</si>
  <si>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</si>
  <si>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</si>
  <si>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</si>
  <si>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</si>
  <si>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</si>
  <si>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</si>
  <si>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</si>
  <si>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</si>
  <si>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</si>
  <si>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</si>
  <si>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</si>
  <si>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</si>
  <si>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</si>
  <si>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</si>
  <si>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</si>
  <si>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</si>
  <si>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</si>
  <si>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</si>
  <si>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</si>
  <si>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</si>
  <si>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</si>
  <si>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</si>
  <si>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</si>
  <si>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</si>
  <si>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</si>
  <si>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</si>
  <si>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</si>
  <si>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</si>
  <si>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</si>
  <si>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</si>
  <si>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</si>
  <si>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</si>
  <si>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</si>
  <si>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</si>
  <si>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</si>
  <si>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</si>
  <si>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</si>
  <si>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</si>
  <si>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</si>
  <si>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</si>
  <si>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</si>
  <si>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</si>
  <si>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</si>
  <si>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</si>
  <si>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</si>
  <si>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</si>
  <si>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</si>
  <si>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</si>
  <si>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</si>
  <si>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</si>
  <si>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</si>
  <si>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</si>
  <si>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</si>
  <si>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</si>
  <si>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</si>
  <si>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</si>
  <si>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</si>
  <si>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</si>
  <si>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</si>
  <si>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</si>
  <si>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</si>
  <si>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</si>
  <si>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</si>
  <si>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</si>
  <si>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</si>
  <si>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</si>
  <si>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</si>
  <si>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</si>
  <si>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</si>
  <si>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</si>
  <si>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</si>
  <si>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</si>
  <si>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</si>
  <si>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</si>
  <si>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</si>
  <si>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</si>
  <si>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</si>
  <si>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</si>
  <si>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</si>
  <si>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</si>
  <si>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</si>
  <si>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</si>
  <si>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</si>
  <si>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</si>
  <si>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</si>
  <si>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</si>
  <si>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</si>
  <si>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</si>
  <si>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</si>
  <si>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</si>
  <si>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</si>
  <si>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</si>
  <si>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</si>
  <si>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</si>
  <si>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</si>
  <si>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</si>
  <si>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</si>
  <si>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</si>
  <si>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</si>
  <si>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</si>
  <si>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</si>
  <si>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</si>
  <si>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</si>
  <si>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</si>
  <si>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</si>
  <si>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</si>
  <si>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</si>
  <si>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</si>
  <si>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</si>
  <si>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</si>
  <si>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</si>
  <si>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</si>
  <si>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</si>
  <si>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</si>
  <si>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</si>
  <si>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</si>
  <si>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</si>
  <si>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</si>
  <si>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</si>
  <si>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</si>
  <si>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</si>
  <si>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</si>
  <si>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</si>
  <si>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</si>
  <si>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</si>
  <si>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</si>
  <si>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</si>
  <si>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</si>
  <si>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</si>
  <si>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</si>
  <si>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</si>
  <si>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</si>
  <si>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</si>
  <si>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</si>
  <si>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</si>
  <si>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</si>
  <si>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</si>
  <si>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</si>
  <si>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</si>
  <si>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</si>
  <si>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</si>
  <si>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</si>
  <si>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</si>
  <si>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</si>
  <si>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</si>
  <si>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</si>
  <si>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</si>
  <si>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</si>
  <si>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</si>
  <si>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</si>
  <si>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</si>
  <si>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</si>
  <si>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</si>
  <si>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</si>
  <si>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</si>
  <si>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</si>
  <si>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</si>
  <si>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</si>
  <si>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</si>
  <si>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</si>
  <si>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</si>
  <si>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</si>
  <si>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</si>
  <si>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</si>
  <si>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</si>
  <si>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</si>
  <si>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</si>
  <si>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</si>
  <si>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</si>
  <si>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</si>
  <si>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</si>
  <si>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</si>
  <si>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</si>
  <si>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</si>
  <si>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</si>
  <si>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</si>
  <si>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</si>
  <si>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</si>
  <si>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</si>
  <si>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</si>
  <si>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</si>
  <si>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</si>
  <si>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</si>
  <si>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</si>
  <si>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</si>
  <si>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</si>
  <si>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</si>
  <si>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</si>
  <si>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</si>
  <si>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</si>
  <si>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</si>
  <si>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</si>
  <si>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</si>
  <si>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</si>
  <si>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</si>
  <si>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</si>
  <si>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</si>
  <si>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</si>
  <si>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</si>
  <si>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</si>
  <si>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</si>
  <si>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</si>
  <si>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</si>
  <si>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</si>
  <si>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</si>
  <si>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</si>
  <si>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</si>
  <si>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</si>
  <si>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</si>
  <si>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</si>
  <si>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</si>
  <si>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</si>
  <si>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</si>
  <si>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</si>
  <si>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</si>
  <si>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</si>
  <si>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</si>
  <si>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</si>
  <si>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</si>
  <si>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</si>
  <si>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</si>
  <si>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</si>
  <si>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</si>
  <si>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</si>
  <si>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</si>
  <si>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</si>
  <si>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</si>
  <si>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</si>
  <si>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</si>
  <si>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</si>
  <si>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</si>
  <si>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</si>
  <si>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</si>
  <si>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</si>
  <si>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</si>
  <si>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</si>
  <si>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</si>
  <si>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</si>
  <si>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</si>
  <si>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</si>
  <si>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</si>
  <si>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</si>
  <si>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</si>
  <si>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</si>
  <si>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</si>
  <si>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</si>
  <si>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</si>
  <si>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</si>
  <si>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</si>
  <si>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</si>
  <si>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</si>
  <si>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</si>
  <si>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</si>
  <si>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</si>
  <si>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</si>
  <si>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</si>
  <si>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</si>
  <si>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</si>
  <si>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</si>
  <si>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</si>
  <si>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</si>
  <si>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</si>
  <si>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</si>
  <si>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</si>
  <si>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</si>
  <si>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</si>
  <si>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</si>
  <si>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</si>
  <si>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</si>
  <si>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</si>
  <si>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</si>
  <si>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</si>
  <si>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</si>
  <si>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</si>
  <si>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</si>
  <si>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</si>
  <si>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</si>
  <si>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</si>
  <si>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</si>
  <si>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</si>
  <si>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</si>
  <si>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</si>
  <si>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</si>
  <si>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</si>
  <si>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</si>
  <si>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</si>
  <si>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</si>
  <si>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</si>
  <si>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</si>
  <si>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</si>
  <si>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</si>
  <si>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</si>
  <si>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</si>
  <si>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</si>
  <si>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</si>
  <si>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</si>
  <si>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</si>
  <si>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</si>
  <si>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</si>
  <si>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</si>
  <si>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</si>
  <si>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</si>
  <si>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</si>
  <si>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</si>
  <si>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</si>
  <si>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</si>
  <si>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</si>
  <si>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</si>
  <si>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</si>
  <si>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</si>
  <si>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</si>
  <si>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</si>
  <si>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</si>
  <si>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</si>
  <si>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</si>
  <si>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</si>
  <si>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</si>
  <si>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</si>
  <si>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</si>
  <si>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</si>
  <si>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</si>
  <si>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</si>
  <si>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</si>
  <si>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</si>
  <si>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</si>
  <si>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</si>
  <si>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</si>
  <si>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</si>
  <si>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</si>
  <si>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</si>
  <si>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</si>
  <si>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</si>
  <si>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</si>
  <si>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</si>
  <si>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</si>
  <si>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</si>
  <si>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</si>
  <si>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</si>
  <si>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</si>
  <si>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</si>
  <si>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</si>
  <si>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</si>
  <si>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</si>
  <si>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</si>
  <si>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</si>
  <si>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</si>
  <si>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</si>
  <si>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</si>
  <si>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</si>
  <si>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</si>
  <si>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</si>
  <si>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</si>
  <si>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</si>
  <si>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</si>
  <si>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</si>
  <si>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</si>
  <si>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</si>
  <si>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</si>
  <si>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</si>
  <si>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</si>
  <si>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</si>
  <si>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</si>
  <si>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</si>
  <si>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</si>
  <si>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</si>
  <si>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</si>
  <si>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</si>
  <si>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</si>
  <si>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</si>
  <si>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</si>
  <si>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</si>
  <si>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</si>
  <si>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</si>
  <si>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</si>
  <si>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</si>
  <si>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</si>
  <si>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</si>
  <si>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</si>
  <si>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</si>
  <si>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</si>
  <si>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</si>
  <si>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</si>
  <si>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</si>
  <si>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</si>
  <si>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</si>
  <si>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</si>
  <si>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</si>
  <si>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</si>
  <si>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</si>
  <si>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</si>
  <si>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</si>
  <si>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</si>
  <si>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</si>
  <si>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</si>
  <si>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</si>
  <si>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</si>
  <si>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</si>
  <si>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</si>
  <si>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</si>
  <si>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</si>
  <si>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</si>
  <si>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</si>
  <si>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</si>
  <si>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</si>
  <si>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</si>
  <si>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</si>
  <si>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</si>
  <si>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</si>
  <si>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</si>
  <si>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</si>
  <si>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</si>
  <si>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</si>
  <si>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</si>
  <si>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</si>
  <si>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</si>
  <si>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</si>
  <si>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</si>
  <si>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</si>
  <si>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</si>
  <si>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</si>
  <si>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</si>
  <si>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</si>
  <si>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</si>
  <si>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</si>
  <si>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</si>
  <si>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</si>
  <si>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</si>
  <si>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</si>
  <si>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</si>
  <si>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</si>
  <si>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</si>
  <si>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</si>
  <si>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</si>
  <si>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</si>
  <si>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</si>
  <si>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</si>
  <si>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</si>
  <si>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</si>
  <si>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</si>
  <si>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</si>
  <si>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</si>
  <si>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</si>
  <si>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</si>
  <si>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</si>
  <si>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</si>
  <si>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</si>
  <si>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</si>
  <si>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</si>
  <si>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</si>
  <si>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</si>
  <si>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</si>
  <si>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</si>
  <si>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</si>
  <si>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</si>
  <si>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</si>
  <si>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</si>
  <si>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</si>
  <si>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</si>
  <si>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</si>
  <si>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</si>
  <si>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</si>
  <si>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</si>
  <si>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</si>
  <si>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</si>
  <si>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</si>
  <si>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</si>
  <si>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</si>
  <si>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</si>
  <si>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</si>
  <si>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</si>
  <si>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</si>
  <si>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</si>
  <si>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</si>
  <si>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</si>
  <si>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</si>
  <si>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</si>
  <si>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</si>
  <si>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</si>
  <si>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</si>
  <si>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</si>
  <si>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</si>
  <si>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</si>
  <si>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</si>
  <si>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</si>
  <si>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</si>
  <si>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</si>
  <si>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</si>
  <si>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</si>
  <si>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</si>
  <si>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</si>
  <si>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</si>
  <si>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</si>
  <si>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</si>
  <si>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</si>
  <si>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</si>
  <si>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</si>
  <si>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</si>
  <si>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</si>
  <si>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</si>
  <si>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</si>
  <si>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</si>
  <si>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</si>
  <si>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</si>
  <si>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</si>
  <si>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</si>
  <si>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</si>
  <si>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</si>
  <si>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</si>
  <si>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</si>
  <si>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</si>
  <si>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</si>
  <si>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</si>
  <si>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</si>
  <si>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</si>
  <si>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</si>
  <si>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</si>
  <si>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</si>
  <si>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</si>
  <si>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</si>
  <si>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</si>
  <si>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</si>
  <si>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</si>
  <si>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</si>
  <si>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</si>
  <si>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</si>
  <si>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</si>
  <si>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</si>
  <si>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</si>
  <si>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</si>
  <si>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</si>
  <si>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</si>
  <si>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</si>
  <si>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</si>
  <si>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</si>
  <si>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</si>
  <si>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</si>
  <si>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</si>
  <si>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</si>
  <si>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</si>
  <si>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</si>
  <si>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</si>
  <si>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</si>
  <si>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</si>
  <si>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</si>
  <si>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</si>
  <si>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</si>
  <si>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</si>
  <si>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</si>
  <si>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</si>
  <si>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</si>
  <si>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</si>
  <si>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</si>
  <si>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</si>
  <si>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</si>
  <si>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</si>
  <si>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</si>
  <si>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</si>
  <si>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</si>
  <si>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</si>
  <si>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</si>
  <si>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</si>
  <si>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</si>
  <si>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</si>
  <si>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</si>
  <si>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</si>
  <si>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</si>
  <si>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</si>
  <si>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</si>
  <si>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</si>
  <si>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</si>
  <si>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</si>
  <si>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</si>
  <si>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</si>
  <si>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</si>
  <si>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</si>
  <si>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</si>
  <si>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</si>
  <si>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</si>
  <si>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</si>
  <si>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</si>
  <si>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</si>
  <si>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</si>
  <si>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</si>
  <si>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</si>
  <si>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</si>
  <si>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</si>
  <si>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</si>
  <si>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</si>
  <si>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</si>
  <si>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</si>
  <si>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</si>
  <si>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</si>
  <si>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</si>
  <si>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</si>
  <si>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</si>
  <si>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</si>
  <si>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</si>
  <si>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</si>
  <si>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</si>
  <si>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</si>
  <si>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</si>
  <si>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</si>
  <si>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</si>
  <si>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</si>
  <si>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</si>
  <si>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</si>
  <si>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</si>
  <si>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</si>
  <si>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</si>
  <si>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</si>
  <si>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</si>
  <si>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</si>
  <si>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</si>
  <si>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</si>
  <si>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</si>
  <si>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</si>
  <si>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</si>
  <si>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</si>
  <si>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</si>
  <si>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</si>
  <si>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</si>
  <si>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</si>
  <si>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</si>
  <si>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</si>
  <si>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</si>
  <si>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</si>
  <si>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</si>
  <si>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</si>
  <si>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</si>
  <si>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</si>
  <si>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</si>
  <si>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</si>
  <si>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</si>
  <si>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</si>
  <si>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</si>
  <si>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</si>
  <si>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</si>
  <si>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</si>
  <si>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</si>
  <si>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</si>
  <si>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</si>
  <si>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</si>
  <si>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</si>
  <si>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</si>
  <si>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</si>
  <si>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</si>
  <si>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</si>
  <si>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</si>
  <si>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</si>
  <si>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</si>
  <si>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</si>
  <si>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</si>
  <si>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</si>
  <si>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</si>
  <si>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</si>
  <si>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</si>
  <si>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</si>
  <si>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</si>
  <si>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</si>
  <si>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</si>
  <si>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</si>
  <si>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</si>
  <si>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</si>
  <si>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</si>
  <si>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</si>
  <si>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</si>
  <si>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</si>
  <si>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</si>
  <si>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</si>
  <si>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</si>
  <si>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</si>
  <si>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</si>
  <si>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</si>
  <si>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</si>
  <si>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</si>
  <si>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</si>
  <si>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</si>
  <si>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</si>
  <si>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</si>
  <si>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</si>
  <si>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</si>
  <si>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</si>
  <si>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</si>
  <si>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</si>
  <si>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</si>
  <si>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</si>
  <si>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</si>
  <si>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</si>
  <si>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</si>
  <si>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</si>
  <si>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</si>
  <si>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</si>
  <si>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</si>
  <si>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</si>
  <si>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</si>
  <si>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</si>
  <si>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</si>
  <si>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</si>
  <si>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</si>
  <si>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</si>
  <si>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</si>
  <si>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</si>
  <si>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</si>
  <si>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</si>
  <si>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</si>
  <si>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</si>
  <si>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</si>
  <si>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</si>
  <si>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</si>
  <si>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</si>
  <si>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</si>
  <si>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</si>
  <si>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</si>
  <si>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</si>
  <si>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</si>
  <si>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</si>
  <si>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</si>
  <si>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</si>
  <si>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</si>
  <si>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</si>
  <si>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</si>
  <si>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</si>
  <si>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</si>
  <si>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</si>
  <si>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</si>
  <si>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</si>
  <si>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</si>
  <si>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</si>
  <si>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</si>
  <si>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</si>
  <si>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</si>
  <si>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</si>
  <si>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</si>
  <si>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</si>
  <si>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</si>
  <si>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</si>
  <si>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</si>
  <si>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</si>
  <si>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</si>
  <si>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</si>
  <si>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</si>
  <si>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</si>
  <si>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</si>
  <si>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</si>
  <si>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</si>
  <si>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</si>
  <si>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</si>
  <si>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</si>
  <si>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</si>
  <si>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</si>
  <si>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</si>
  <si>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</si>
  <si>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</si>
  <si>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</si>
  <si>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</si>
  <si>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</si>
  <si>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</si>
  <si>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</si>
  <si>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</si>
  <si>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</si>
  <si>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</si>
  <si>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</si>
  <si>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</si>
  <si>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</si>
  <si>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</si>
  <si>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</si>
  <si>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</si>
  <si>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</si>
  <si>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</si>
  <si>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</si>
  <si>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</si>
  <si>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</si>
  <si>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</si>
  <si>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</si>
  <si>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</si>
  <si>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</si>
  <si>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</si>
  <si>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</si>
  <si>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</si>
  <si>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</si>
  <si>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</si>
  <si>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</si>
  <si>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</si>
  <si>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</si>
  <si>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</si>
  <si>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</si>
  <si>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</si>
  <si>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</si>
  <si>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</si>
  <si>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</si>
  <si>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</si>
  <si>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</si>
  <si>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</si>
  <si>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</si>
  <si>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</si>
  <si>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</si>
  <si>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</si>
  <si>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</si>
  <si>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</si>
  <si>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</si>
  <si>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</si>
  <si>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</si>
  <si>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</si>
  <si>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</si>
  <si>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</si>
  <si>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</si>
  <si>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</si>
  <si>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</si>
  <si>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</si>
  <si>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</si>
  <si>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</si>
  <si>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</si>
  <si>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</si>
  <si>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</si>
  <si>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</si>
  <si>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</si>
  <si>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</si>
  <si>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</si>
  <si>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</si>
  <si>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</si>
  <si>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</si>
  <si>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</si>
  <si>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</si>
  <si>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</si>
  <si>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</si>
  <si>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</si>
  <si>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</si>
  <si>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</si>
  <si>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</si>
  <si>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</si>
  <si>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</si>
  <si>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</si>
  <si>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</si>
  <si>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</si>
  <si>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</si>
  <si>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</si>
  <si>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</si>
  <si>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</si>
  <si>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</si>
  <si>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</si>
  <si>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</si>
  <si>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</si>
  <si>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</si>
  <si>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</si>
  <si>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</si>
  <si>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</si>
  <si>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</si>
  <si>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</si>
  <si>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</si>
  <si>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</si>
  <si>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</si>
  <si>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</si>
  <si>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</si>
  <si>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</si>
  <si>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</si>
  <si>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</si>
  <si>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</si>
  <si>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</si>
  <si>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</si>
  <si>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</si>
  <si>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</si>
  <si>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</si>
  <si>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</si>
  <si>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</si>
  <si>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</si>
  <si>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</si>
  <si>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</si>
  <si>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</si>
  <si>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</si>
  <si>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</si>
  <si>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</si>
  <si>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</si>
  <si>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</si>
  <si>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</si>
  <si>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</si>
  <si>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</si>
  <si>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</si>
  <si>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</si>
  <si>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</si>
  <si>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</si>
  <si>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</si>
  <si>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</si>
  <si>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</si>
  <si>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</si>
  <si>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</si>
  <si>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</si>
  <si>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</si>
  <si>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</si>
  <si>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</si>
  <si>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</si>
  <si>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</si>
  <si>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</si>
  <si>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</si>
  <si>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</si>
  <si>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</si>
  <si>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</si>
  <si>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</si>
  <si>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</si>
  <si>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</si>
  <si>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</si>
  <si>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</si>
  <si>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</si>
  <si>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</si>
  <si>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</si>
  <si>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</si>
  <si>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</si>
  <si>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</si>
  <si>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</si>
  <si>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</si>
  <si>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</si>
  <si>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</si>
  <si>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</si>
  <si>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</si>
  <si>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</si>
  <si>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</si>
  <si>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</si>
  <si>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</si>
  <si>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</si>
  <si>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</si>
  <si>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</si>
  <si>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</si>
  <si>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</si>
  <si>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</si>
  <si>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</si>
  <si>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</si>
  <si>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</si>
  <si>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</si>
  <si>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</si>
  <si>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</si>
  <si>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</si>
  <si>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</si>
  <si>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</si>
  <si>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</si>
  <si>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</si>
  <si>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</si>
  <si>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</si>
  <si>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</si>
  <si>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</si>
  <si>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</si>
  <si>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</si>
  <si>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</si>
  <si>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</si>
  <si>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</si>
  <si>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</si>
  <si>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</si>
  <si>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</si>
  <si>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</si>
  <si>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</si>
  <si>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</si>
  <si>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</si>
  <si>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</si>
  <si>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</si>
  <si>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</si>
  <si>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</si>
  <si>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</si>
  <si>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</si>
  <si>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</si>
  <si>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</si>
  <si>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</si>
  <si>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</si>
  <si>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</si>
  <si>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</si>
  <si>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</si>
  <si>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</si>
  <si>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</si>
  <si>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</si>
  <si>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</si>
  <si>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</si>
  <si>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</si>
  <si>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</si>
  <si>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</si>
  <si>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</si>
  <si>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</si>
  <si>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</si>
  <si>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</si>
  <si>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</si>
  <si>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</si>
  <si>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</si>
  <si>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</si>
  <si>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</si>
  <si>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</si>
  <si>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</si>
  <si>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</si>
  <si>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</si>
  <si>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</si>
  <si>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</si>
  <si>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</si>
  <si>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</si>
  <si>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</si>
  <si>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</si>
  <si>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</si>
  <si>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</si>
  <si>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</si>
  <si>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</si>
  <si>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</si>
  <si>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</si>
  <si>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</si>
  <si>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</si>
  <si>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</si>
  <si>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</si>
  <si>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</si>
  <si>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</si>
  <si>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</si>
  <si>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</si>
  <si>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</si>
  <si>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</si>
  <si>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</si>
  <si>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</si>
  <si>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</si>
  <si>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</si>
  <si>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</si>
  <si>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</si>
  <si>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</si>
  <si>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</si>
  <si>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</si>
  <si>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</si>
  <si>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</si>
  <si>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</si>
  <si>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</si>
  <si>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</si>
  <si>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</si>
  <si>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</si>
  <si>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</si>
  <si>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</si>
  <si>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</si>
  <si>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</si>
  <si>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</si>
  <si>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</si>
  <si>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</si>
  <si>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</si>
  <si>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</si>
  <si>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</si>
  <si>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</si>
  <si>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</si>
  <si>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</si>
  <si>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</si>
  <si>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</si>
  <si>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</si>
  <si>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</si>
  <si>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</si>
  <si>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</si>
  <si>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</si>
  <si>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</si>
  <si>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</si>
  <si>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</si>
  <si>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</si>
  <si>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</si>
  <si>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</si>
  <si>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</si>
  <si>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</si>
  <si>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</si>
  <si>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</si>
  <si>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</si>
  <si>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</si>
  <si>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</si>
  <si>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</si>
  <si>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</si>
  <si>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</si>
  <si>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</si>
  <si>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</si>
  <si>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</si>
  <si>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</si>
  <si>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</si>
  <si>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</si>
  <si>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</si>
  <si>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</si>
  <si>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</si>
  <si>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</si>
  <si>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</si>
  <si>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</si>
  <si>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</si>
  <si>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</si>
  <si>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</si>
  <si>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</si>
  <si>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</si>
  <si>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</si>
  <si>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</si>
  <si>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</si>
  <si>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</si>
  <si>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</si>
  <si>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</si>
  <si>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</si>
  <si>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</si>
  <si>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</si>
  <si>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</si>
  <si>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</si>
  <si>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</si>
  <si>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</si>
  <si>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</si>
  <si>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</si>
  <si>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</si>
  <si>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</si>
  <si>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</si>
  <si>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</si>
  <si>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</si>
  <si>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</si>
  <si>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</si>
  <si>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</si>
  <si>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</si>
  <si>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</si>
  <si>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</si>
  <si>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</si>
  <si>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</si>
  <si>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</si>
  <si>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</si>
  <si>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</si>
  <si>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</si>
  <si>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</si>
  <si>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</si>
  <si>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</si>
  <si>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</si>
  <si>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</si>
  <si>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</si>
  <si>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</si>
  <si>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</si>
  <si>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</si>
  <si>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</si>
  <si>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</si>
  <si>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</si>
  <si>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</si>
  <si>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</si>
  <si>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</si>
  <si>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</si>
  <si>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</si>
  <si>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</si>
  <si>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</si>
  <si>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</si>
  <si>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</si>
  <si>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</si>
  <si>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</si>
  <si>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</si>
  <si>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</si>
  <si>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</si>
  <si>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</si>
  <si>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</si>
  <si>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</si>
  <si>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</si>
  <si>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</si>
  <si>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</si>
  <si>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</si>
  <si>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</si>
  <si>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</si>
  <si>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</si>
  <si>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</si>
  <si>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</si>
  <si>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</si>
  <si>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</si>
  <si>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</si>
  <si>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</si>
  <si>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</si>
  <si>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</si>
  <si>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</si>
  <si>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</si>
  <si>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</si>
  <si>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</si>
  <si>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</si>
  <si>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</si>
  <si>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</si>
  <si>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</si>
  <si>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</si>
  <si>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</si>
  <si>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</si>
  <si>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</si>
  <si>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</si>
  <si>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</si>
  <si>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</si>
  <si>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</si>
  <si>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</si>
  <si>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</si>
  <si>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</si>
  <si>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</si>
  <si>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</si>
  <si>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</si>
  <si>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</si>
  <si>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</si>
  <si>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</si>
  <si>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</si>
  <si>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</si>
  <si>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</si>
  <si>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</si>
  <si>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</si>
  <si>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</si>
  <si>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</si>
  <si>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</si>
  <si>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</si>
  <si>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</si>
  <si>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</si>
  <si>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</si>
  <si>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</si>
  <si>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</si>
  <si>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</si>
  <si>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</si>
  <si>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</si>
  <si>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</si>
  <si>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</si>
  <si>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</si>
  <si>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</si>
  <si>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</si>
  <si>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</si>
  <si>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</si>
  <si>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</si>
  <si>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</si>
  <si>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</si>
  <si>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</si>
  <si>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</si>
  <si>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</si>
  <si>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</si>
  <si>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</si>
  <si>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</si>
  <si>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</si>
  <si>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</si>
  <si>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</si>
  <si>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</si>
  <si>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</si>
  <si>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</si>
  <si>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</si>
  <si>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</si>
  <si>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</si>
  <si>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</si>
  <si>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</si>
  <si>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</si>
  <si>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</si>
  <si>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</si>
  <si>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</si>
  <si>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</si>
  <si>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</si>
  <si>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</si>
  <si>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</si>
  <si>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</si>
  <si>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</si>
  <si>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</si>
  <si>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</si>
  <si>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</si>
  <si>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</si>
  <si>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</si>
  <si>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</si>
  <si>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</si>
  <si>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</si>
  <si>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</si>
  <si>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</si>
  <si>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</si>
  <si>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</si>
  <si>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</si>
  <si>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</si>
  <si>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</si>
  <si>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</si>
  <si>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</si>
  <si>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</si>
  <si>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</si>
  <si>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</si>
  <si>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</si>
  <si>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</si>
  <si>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</si>
  <si>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</si>
  <si>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</si>
  <si>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</si>
  <si>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</si>
  <si>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</si>
  <si>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</si>
  <si>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</si>
  <si>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</si>
  <si>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</si>
  <si>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</si>
  <si>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</si>
  <si>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</si>
  <si>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</si>
  <si>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</si>
  <si>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</si>
  <si>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</si>
  <si>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</si>
  <si>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</si>
  <si>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</si>
  <si>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</si>
  <si>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</si>
  <si>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</si>
  <si>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</si>
  <si>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</si>
  <si>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</si>
  <si>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</si>
  <si>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</si>
  <si>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</si>
  <si>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</si>
  <si>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</si>
  <si>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</si>
  <si>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</si>
  <si>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</si>
  <si>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</si>
  <si>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</si>
  <si>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</si>
  <si>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</si>
  <si>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</si>
  <si>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</si>
  <si>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</si>
  <si>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</si>
  <si>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</si>
  <si>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</si>
  <si>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</si>
  <si>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</si>
  <si>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</si>
  <si>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</si>
  <si>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</si>
  <si>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</si>
  <si>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</si>
  <si>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</si>
  <si>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</si>
  <si>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</si>
  <si>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</si>
  <si>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</si>
  <si>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</si>
  <si>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</si>
  <si>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</si>
  <si>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</si>
  <si>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</si>
  <si>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</si>
  <si>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</si>
  <si>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</si>
  <si>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</si>
  <si>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</si>
  <si>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</si>
  <si>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</si>
  <si>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</si>
  <si>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</si>
  <si>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</si>
  <si>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</si>
  <si>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</si>
  <si>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</si>
  <si>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</si>
  <si>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</si>
  <si>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</si>
  <si>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</si>
  <si>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</si>
  <si>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</si>
  <si>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</si>
  <si>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</si>
  <si>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</si>
  <si>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</si>
  <si>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</si>
  <si>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</si>
  <si>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</si>
  <si>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</si>
  <si>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</si>
  <si>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</si>
  <si>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</si>
  <si>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</si>
  <si>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</si>
  <si>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</si>
  <si>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</si>
  <si>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</si>
  <si>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</si>
  <si>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</si>
  <si>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</si>
  <si>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</si>
  <si>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</si>
  <si>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</si>
  <si>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</si>
  <si>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</si>
  <si>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</si>
  <si>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</si>
  <si>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</si>
  <si>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</si>
  <si>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</si>
  <si>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</si>
  <si>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</si>
  <si>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</si>
  <si>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</si>
  <si>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</si>
  <si>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</si>
  <si>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</si>
  <si>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</si>
  <si>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</si>
  <si>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</si>
  <si>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</si>
  <si>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</si>
  <si>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</si>
  <si>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</si>
  <si>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</si>
  <si>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</si>
  <si>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</si>
  <si>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</si>
  <si>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</si>
  <si>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</si>
  <si>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</si>
  <si>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</si>
  <si>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</si>
  <si>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</si>
  <si>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</si>
  <si>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</si>
  <si>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</si>
  <si>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</si>
  <si>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</si>
  <si>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</si>
  <si>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</si>
  <si>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</si>
  <si>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</si>
  <si>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</si>
  <si>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</si>
  <si>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</si>
  <si>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</si>
  <si>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</si>
  <si>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</si>
  <si>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</si>
  <si>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</si>
  <si>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</si>
  <si>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</si>
  <si>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</si>
  <si>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</si>
  <si>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</si>
  <si>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</si>
  <si>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</si>
  <si>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</si>
  <si>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</si>
  <si>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</si>
  <si>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</si>
  <si>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</si>
  <si>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</si>
  <si>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</si>
  <si>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</si>
  <si>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</si>
  <si>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</si>
  <si>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</si>
  <si>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</si>
  <si>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</si>
  <si>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</si>
  <si>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</si>
  <si>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</si>
  <si>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</si>
  <si>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</si>
  <si>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</si>
  <si>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</si>
  <si>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</si>
  <si>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</si>
  <si>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</si>
  <si>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</si>
  <si>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</si>
  <si>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</si>
  <si>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</si>
  <si>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</si>
  <si>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</si>
  <si>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</si>
  <si>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</si>
  <si>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</si>
  <si>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</si>
  <si>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</si>
  <si>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</si>
  <si>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</si>
  <si>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</si>
  <si>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</si>
  <si>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</si>
  <si>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</si>
  <si>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</si>
  <si>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</si>
  <si>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</si>
  <si>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</si>
  <si>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</si>
  <si>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</si>
  <si>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</si>
  <si>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</si>
  <si>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</si>
  <si>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</si>
  <si>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</si>
  <si>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</si>
  <si>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</si>
  <si>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</si>
  <si>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</si>
  <si>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</si>
  <si>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</si>
  <si>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</si>
  <si>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</si>
  <si>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</si>
  <si>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</si>
  <si>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</si>
  <si>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</si>
  <si>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</si>
  <si>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</si>
  <si>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</si>
  <si>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</si>
  <si>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</si>
  <si>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</si>
  <si>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</si>
  <si>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</si>
  <si>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</si>
  <si>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</si>
  <si>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</si>
  <si>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</si>
  <si>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</si>
  <si>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</si>
  <si>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</si>
  <si>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</si>
  <si>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</si>
  <si>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</si>
  <si>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</si>
  <si>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</si>
  <si>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</si>
  <si>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</si>
  <si>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</si>
  <si>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</si>
  <si>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</si>
  <si>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</si>
  <si>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</si>
  <si>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</si>
  <si>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</si>
  <si>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</si>
  <si>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</si>
  <si>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</si>
  <si>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</si>
  <si>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</si>
  <si>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</si>
  <si>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</si>
  <si>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</si>
  <si>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</si>
  <si>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</si>
  <si>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</si>
  <si>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</si>
  <si>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</si>
  <si>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</si>
  <si>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</si>
  <si>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</si>
  <si>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</si>
  <si>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</si>
  <si>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</si>
  <si>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</si>
  <si>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</si>
  <si>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</si>
  <si>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</si>
  <si>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</si>
  <si>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</si>
  <si>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</si>
  <si>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</si>
  <si>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</si>
  <si>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</si>
  <si>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</si>
  <si>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</si>
  <si>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</si>
  <si>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</si>
  <si>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</si>
  <si>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</si>
  <si>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</si>
  <si>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</si>
  <si>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</si>
  <si>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</si>
  <si>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</si>
  <si>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</si>
  <si>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</si>
  <si>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</si>
  <si>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</si>
  <si>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</si>
  <si>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</si>
  <si>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</si>
  <si>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</si>
  <si>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</si>
  <si>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</si>
  <si>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</si>
  <si>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</si>
  <si>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</si>
  <si>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</si>
  <si>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</si>
  <si>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</si>
  <si>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</si>
  <si>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</si>
  <si>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</si>
  <si>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</si>
  <si>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</si>
  <si>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</si>
  <si>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</si>
  <si>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</si>
  <si>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</si>
  <si>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</si>
  <si>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</si>
  <si>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</si>
  <si>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</si>
  <si>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</si>
  <si>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</si>
  <si>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</si>
  <si>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</si>
  <si>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</si>
  <si>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</si>
  <si>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</si>
  <si>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</si>
  <si>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</si>
  <si>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</si>
  <si>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</si>
  <si>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</si>
  <si>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</si>
  <si>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</si>
  <si>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</si>
  <si>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</si>
  <si>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</si>
  <si>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</si>
  <si>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</si>
  <si>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</si>
  <si>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</si>
  <si>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</si>
  <si>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</si>
  <si>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</si>
  <si>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</si>
  <si>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</si>
  <si>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</si>
  <si>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</si>
  <si>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</si>
  <si>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</si>
  <si>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</si>
  <si>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</si>
  <si>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</si>
  <si>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</si>
  <si>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</si>
  <si>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</si>
  <si>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</si>
  <si>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</si>
  <si>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</si>
  <si>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</si>
  <si>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</si>
  <si>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</si>
  <si>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</si>
  <si>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</si>
  <si>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</si>
  <si>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</si>
  <si>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</si>
  <si>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</si>
  <si>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</si>
  <si>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</si>
  <si>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</si>
  <si>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</si>
  <si>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</si>
  <si>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</si>
  <si>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</si>
  <si>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</si>
  <si>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</si>
  <si>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</si>
  <si>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</si>
  <si>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</si>
  <si>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</si>
  <si>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</si>
  <si>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</si>
  <si>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</si>
  <si>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</si>
  <si>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</si>
  <si>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</si>
  <si>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</si>
  <si>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</si>
  <si>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</si>
  <si>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</si>
  <si>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</si>
  <si>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</si>
  <si>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</si>
  <si>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</si>
  <si>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</si>
  <si>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</si>
  <si>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</si>
  <si>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</si>
  <si>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</si>
  <si>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</si>
  <si>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</si>
  <si>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</si>
  <si>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</si>
  <si>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</si>
  <si>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</si>
  <si>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</si>
  <si>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</si>
  <si>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</si>
  <si>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</si>
  <si>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</si>
  <si>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</si>
  <si>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</si>
  <si>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</si>
  <si>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</si>
  <si>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</si>
  <si>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</si>
  <si>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</si>
  <si>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</si>
  <si>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</si>
  <si>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</si>
  <si>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</si>
  <si>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</si>
  <si>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</si>
  <si>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</si>
  <si>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</si>
  <si>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</si>
  <si>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</si>
  <si>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</si>
  <si>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</si>
  <si>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</si>
  <si>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</si>
  <si>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</si>
  <si>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</si>
  <si>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</si>
  <si>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</si>
  <si>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</si>
  <si>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</si>
  <si>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</si>
  <si>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</si>
  <si>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</si>
  <si>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</si>
  <si>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</si>
  <si>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</si>
  <si>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</si>
  <si>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</si>
  <si>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</si>
  <si>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</si>
  <si>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</si>
  <si>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</si>
  <si>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</si>
  <si>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</si>
  <si>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</si>
  <si>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</si>
  <si>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</si>
  <si>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</si>
  <si>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</si>
  <si>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</si>
  <si>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</si>
  <si>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</si>
  <si>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</si>
  <si>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</si>
  <si>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</si>
  <si>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</si>
  <si>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</si>
  <si>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</si>
  <si>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</si>
  <si>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</si>
  <si>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</si>
  <si>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</si>
  <si>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</si>
  <si>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</si>
  <si>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</si>
  <si>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</si>
  <si>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</si>
  <si>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</si>
  <si>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</si>
  <si>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</si>
  <si>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</si>
  <si>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</si>
  <si>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</si>
  <si>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</si>
  <si>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</si>
  <si>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</si>
  <si>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</si>
  <si>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</si>
  <si>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</si>
  <si>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</si>
  <si>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</si>
  <si>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</si>
  <si>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</si>
  <si>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</si>
  <si>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</si>
  <si>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</si>
  <si>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</si>
  <si>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</si>
  <si>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</si>
  <si>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</si>
  <si>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</si>
  <si>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</si>
  <si>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</si>
  <si>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</si>
  <si>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</si>
  <si>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</si>
  <si>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</si>
  <si>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</si>
  <si>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</si>
  <si>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</si>
  <si>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</si>
  <si>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</si>
  <si>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</si>
  <si>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</si>
  <si>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</si>
  <si>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</si>
  <si>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</si>
  <si>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</si>
  <si>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</si>
  <si>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</si>
  <si>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</si>
  <si>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</si>
  <si>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</si>
  <si>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</si>
  <si>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</si>
  <si>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</si>
  <si>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</si>
  <si>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</si>
  <si>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</si>
  <si>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</si>
  <si>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</si>
  <si>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</si>
  <si>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</si>
  <si>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</si>
  <si>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</si>
  <si>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</si>
  <si>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</si>
  <si>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</si>
  <si>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</si>
  <si>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</si>
  <si>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</si>
  <si>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</si>
  <si>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</si>
  <si>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</si>
  <si>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</si>
  <si>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</si>
  <si>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</si>
  <si>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</si>
  <si>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</si>
  <si>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</si>
  <si>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</si>
  <si>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</si>
  <si>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</si>
  <si>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</si>
  <si>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</si>
  <si>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</si>
  <si>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</si>
  <si>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</si>
  <si>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</si>
  <si>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</si>
  <si>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</si>
  <si>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</si>
  <si>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</si>
  <si>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</si>
  <si>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</si>
  <si>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</si>
  <si>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</si>
  <si>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</si>
  <si>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</si>
  <si>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</si>
  <si>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</si>
  <si>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</si>
  <si>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</si>
  <si>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</si>
  <si>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</si>
  <si>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</si>
  <si>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</si>
  <si>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</si>
  <si>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</si>
  <si>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</si>
  <si>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</si>
  <si>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</si>
  <si>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</si>
  <si>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</si>
  <si>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</si>
  <si>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</si>
  <si>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</si>
  <si>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</si>
  <si>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</si>
  <si>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</si>
  <si>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</si>
  <si>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</si>
  <si>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</si>
  <si>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</si>
  <si>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</si>
  <si>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</si>
  <si>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</si>
  <si>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</si>
  <si>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</si>
  <si>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</si>
  <si>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</si>
  <si>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</si>
  <si>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</si>
  <si>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</si>
  <si>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</si>
  <si>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</si>
  <si>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</si>
  <si>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</si>
  <si>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</si>
  <si>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</si>
  <si>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</si>
  <si>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</si>
  <si>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</si>
  <si>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</si>
  <si>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</si>
  <si>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</si>
  <si>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</si>
  <si>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</si>
  <si>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</si>
  <si>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</si>
  <si>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</si>
  <si>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</si>
  <si>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</si>
  <si>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</si>
  <si>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</si>
  <si>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</si>
  <si>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</si>
  <si>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</si>
  <si>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</si>
  <si>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</si>
  <si>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</si>
  <si>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</si>
  <si>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</si>
  <si>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</si>
  <si>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</si>
  <si>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</si>
  <si>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</si>
  <si>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</si>
  <si>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</si>
  <si>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</si>
  <si>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</si>
  <si>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</si>
  <si>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</si>
  <si>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</si>
  <si>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</si>
  <si>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</si>
  <si>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</si>
  <si>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</si>
  <si>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</si>
  <si>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</si>
  <si>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</si>
  <si>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</si>
  <si>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</si>
  <si>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</si>
  <si>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</si>
  <si>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</si>
  <si>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</si>
  <si>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</si>
  <si>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</si>
  <si>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</si>
  <si>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</si>
  <si>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</si>
  <si>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</si>
  <si>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</si>
  <si>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</si>
  <si>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</si>
  <si>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</si>
  <si>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</si>
  <si>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</si>
  <si>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</si>
  <si>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</si>
  <si>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</si>
  <si>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</si>
  <si>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</si>
  <si>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</si>
  <si>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</si>
  <si>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</si>
  <si>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</si>
  <si>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</si>
  <si>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</si>
  <si>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</si>
  <si>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</si>
  <si>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</si>
  <si>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</si>
  <si>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</si>
  <si>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</si>
  <si>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</si>
  <si>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</si>
  <si>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</si>
  <si>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</si>
  <si>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</si>
  <si>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</si>
  <si>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</si>
  <si>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</si>
  <si>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</si>
  <si>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</si>
  <si>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</si>
  <si>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</si>
  <si>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</si>
  <si>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</si>
  <si>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</si>
  <si>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</si>
  <si>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</si>
  <si>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</si>
  <si>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</si>
  <si>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</si>
  <si>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</si>
  <si>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</si>
  <si>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</si>
  <si>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</si>
  <si>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</si>
  <si>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</si>
  <si>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</si>
  <si>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</si>
  <si>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</si>
  <si>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</si>
  <si>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</si>
  <si>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</si>
  <si>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</si>
  <si>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</si>
  <si>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</si>
  <si>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</si>
  <si>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</si>
  <si>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</si>
  <si>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</si>
  <si>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</si>
  <si>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</si>
  <si>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</si>
  <si>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</si>
  <si>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</si>
  <si>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</si>
  <si>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</si>
  <si>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</si>
  <si>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</si>
  <si>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</si>
  <si>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</si>
  <si>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</si>
  <si>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</si>
  <si>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</si>
  <si>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</si>
  <si>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</si>
  <si>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</si>
  <si>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</si>
  <si>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</si>
  <si>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</si>
  <si>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</si>
  <si>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</si>
  <si>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</si>
  <si>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</si>
  <si>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</si>
  <si>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</si>
  <si>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</si>
  <si>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</si>
  <si>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</si>
  <si>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</si>
  <si>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</si>
  <si>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</si>
  <si>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</si>
  <si>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</si>
  <si>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</si>
  <si>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</si>
  <si>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</si>
  <si>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</si>
  <si>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</si>
  <si>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</si>
  <si>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</si>
  <si>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</si>
  <si>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</si>
  <si>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</si>
  <si>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</si>
  <si>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</si>
  <si>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</si>
  <si>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</si>
  <si>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</si>
  <si>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</si>
  <si>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</si>
  <si>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</si>
  <si>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</si>
  <si>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</si>
  <si>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</si>
  <si>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</si>
  <si>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</si>
  <si>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</si>
  <si>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</si>
  <si>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</si>
  <si>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</si>
  <si>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</si>
  <si>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</si>
  <si>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</si>
  <si>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</si>
  <si>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</si>
  <si>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</si>
  <si>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</si>
  <si>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</si>
  <si>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</si>
  <si>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</si>
  <si>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</si>
  <si>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</si>
  <si>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</si>
  <si>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</si>
  <si>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</si>
  <si>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</si>
  <si>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</si>
  <si>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</si>
  <si>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</si>
  <si>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</si>
  <si>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</si>
  <si>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</si>
  <si>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</si>
  <si>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</si>
  <si>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</si>
  <si>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</si>
  <si>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</si>
  <si>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</si>
  <si>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</si>
  <si>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</si>
  <si>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</si>
  <si>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</si>
  <si>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</si>
  <si>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</si>
  <si>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</si>
  <si>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</si>
  <si>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</si>
  <si>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</si>
  <si>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</si>
  <si>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</si>
  <si>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</si>
  <si>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</si>
  <si>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</si>
  <si>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</si>
  <si>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</si>
  <si>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</si>
  <si>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</si>
  <si>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</si>
  <si>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</si>
  <si>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</si>
  <si>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</si>
  <si>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</si>
  <si>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</si>
  <si>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</si>
  <si>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</si>
  <si>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</si>
  <si>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</si>
  <si>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</si>
  <si>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</si>
  <si>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</si>
  <si>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</si>
  <si>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</si>
  <si>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</si>
  <si>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</si>
  <si>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</si>
  <si>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</si>
  <si>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</si>
  <si>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</si>
  <si>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</si>
  <si>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</si>
  <si>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</si>
  <si>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</si>
  <si>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</si>
  <si>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</si>
  <si>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</si>
  <si>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</si>
  <si>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</si>
  <si>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</si>
  <si>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</si>
  <si>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</si>
  <si>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</si>
  <si>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</si>
  <si>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</si>
  <si>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</si>
  <si>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</si>
  <si>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</si>
  <si>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</si>
  <si>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</si>
  <si>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</si>
  <si>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</si>
  <si>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</si>
  <si>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</si>
  <si>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</si>
  <si>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</si>
  <si>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</si>
  <si>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</si>
  <si>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</si>
  <si>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</si>
  <si>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</si>
  <si>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</si>
  <si>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</si>
  <si>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</si>
  <si>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</si>
  <si>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</si>
  <si>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</si>
  <si>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</si>
  <si>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</si>
  <si>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</si>
  <si>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</si>
  <si>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</si>
  <si>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</si>
  <si>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</si>
  <si>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</si>
  <si>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</si>
  <si>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</si>
  <si>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</si>
  <si>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</si>
  <si>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</si>
  <si>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</si>
  <si>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</si>
  <si>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</si>
  <si>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</si>
  <si>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</si>
  <si>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</si>
  <si>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</si>
  <si>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</si>
  <si>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</si>
  <si>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</si>
  <si>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</si>
  <si>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</si>
  <si>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</si>
  <si>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</si>
  <si>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</si>
  <si>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</si>
  <si>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</si>
  <si>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</si>
  <si>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</si>
  <si>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</si>
  <si>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</si>
  <si>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</si>
  <si>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</si>
  <si>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</si>
  <si>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</si>
  <si>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</si>
  <si>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</si>
  <si>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</si>
  <si>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</si>
  <si>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</si>
  <si>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</si>
  <si>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</si>
  <si>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</si>
  <si>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</si>
  <si>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</si>
  <si>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</si>
  <si>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</si>
  <si>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</si>
  <si>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</si>
  <si>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</si>
  <si>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</si>
  <si>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</si>
  <si>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</si>
  <si>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</si>
  <si>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</si>
  <si>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</si>
  <si>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</si>
  <si>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</si>
  <si>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</si>
  <si>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</si>
  <si>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</si>
  <si>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</si>
  <si>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</si>
  <si>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</si>
  <si>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</si>
  <si>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</si>
  <si>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</si>
  <si>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</si>
  <si>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</si>
  <si>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</si>
  <si>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</si>
  <si>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</si>
  <si>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</si>
  <si>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</si>
  <si>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</si>
  <si>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</si>
  <si>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</si>
  <si>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</si>
  <si>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</si>
  <si>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</si>
  <si>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</si>
  <si>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</si>
  <si>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</si>
  <si>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</si>
  <si>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</si>
  <si>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</si>
  <si>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</si>
  <si>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</si>
  <si>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</si>
  <si>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</si>
  <si>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</si>
  <si>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</si>
  <si>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</si>
  <si>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</si>
  <si>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</si>
  <si>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</si>
  <si>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</si>
  <si>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</si>
  <si>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</si>
  <si>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</si>
  <si>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</si>
  <si>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</si>
  <si>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</si>
  <si>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</si>
  <si>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</si>
  <si>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</si>
  <si>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</si>
  <si>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</si>
  <si>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</si>
  <si>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</si>
  <si>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</si>
  <si>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</si>
  <si>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</si>
  <si>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</si>
  <si>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</si>
  <si>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</si>
  <si>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</si>
  <si>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</si>
  <si>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</si>
  <si>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</si>
  <si>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</si>
  <si>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</si>
  <si>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</si>
  <si>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</si>
  <si>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</si>
  <si>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</si>
  <si>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</si>
  <si>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</si>
  <si>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</si>
  <si>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</si>
  <si>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</si>
  <si>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</si>
  <si>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</si>
  <si>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</si>
  <si>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</si>
  <si>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</si>
  <si>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</si>
  <si>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</si>
  <si>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</si>
  <si>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</si>
  <si>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</si>
  <si>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</si>
  <si>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</si>
  <si>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</si>
  <si>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</si>
  <si>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</si>
  <si>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</si>
  <si>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</si>
  <si>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</si>
  <si>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</si>
  <si>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</si>
  <si>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</si>
  <si>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</si>
  <si>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</si>
  <si>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</si>
  <si>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</si>
  <si>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</si>
  <si>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</si>
  <si>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</si>
  <si>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</si>
  <si>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</si>
  <si>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</si>
  <si>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</si>
  <si>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</si>
  <si>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</si>
  <si>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</si>
  <si>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</si>
  <si>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</si>
  <si>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</si>
  <si>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</si>
  <si>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</si>
  <si>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</si>
  <si>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</si>
  <si>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</si>
  <si>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</si>
  <si>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</si>
  <si>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</si>
  <si>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</si>
  <si>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</si>
  <si>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</si>
  <si>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</si>
  <si>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</si>
  <si>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</si>
  <si>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</si>
  <si>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</si>
  <si>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</si>
  <si>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</si>
  <si>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</si>
  <si>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</si>
  <si>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</si>
  <si>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</si>
  <si>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</si>
  <si>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</si>
  <si>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</si>
  <si>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</si>
  <si>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</si>
  <si>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</si>
  <si>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</si>
  <si>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</si>
  <si>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</si>
  <si>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</si>
  <si>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</si>
  <si>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</si>
  <si>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</si>
  <si>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</si>
  <si>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</si>
  <si>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</si>
  <si>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</si>
  <si>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</si>
  <si>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</si>
  <si>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</si>
  <si>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</si>
  <si>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</si>
  <si>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</si>
  <si>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</si>
  <si>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</si>
  <si>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</si>
  <si>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</si>
  <si>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</si>
  <si>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</si>
  <si>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</si>
  <si>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</si>
  <si>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</si>
  <si>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</si>
  <si>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</si>
  <si>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</si>
  <si>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</si>
  <si>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</si>
  <si>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</si>
  <si>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</si>
  <si>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</si>
  <si>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</si>
  <si>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</si>
  <si>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</si>
  <si>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</si>
  <si>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</si>
  <si>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</si>
  <si>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</si>
  <si>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</si>
  <si>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</si>
  <si>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</si>
  <si>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</si>
  <si>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</si>
  <si>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</si>
  <si>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</si>
  <si>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</si>
  <si>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</si>
  <si>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</si>
  <si>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</si>
  <si>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</si>
  <si>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</si>
  <si>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</si>
  <si>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</si>
  <si>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</si>
  <si>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</si>
  <si>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</si>
  <si>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</si>
  <si>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</si>
  <si>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</si>
  <si>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</si>
  <si>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</si>
  <si>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</si>
  <si>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</si>
  <si>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</si>
  <si>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</si>
  <si>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</si>
  <si>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</si>
  <si>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</si>
  <si>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</si>
  <si>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</si>
  <si>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</si>
  <si>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</si>
  <si>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</si>
  <si>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</si>
  <si>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</si>
  <si>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</si>
  <si>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</si>
  <si>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</si>
  <si>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</si>
  <si>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</si>
  <si>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</si>
  <si>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</si>
  <si>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</si>
  <si>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</si>
  <si>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</si>
  <si>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</si>
  <si>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</si>
  <si>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</si>
  <si>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</si>
  <si>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</si>
  <si>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</si>
  <si>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</si>
  <si>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</si>
  <si>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</si>
  <si>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</si>
  <si>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</si>
  <si>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</si>
  <si>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</si>
  <si>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</si>
  <si>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</si>
  <si>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</si>
  <si>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</si>
  <si>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</si>
  <si>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</si>
  <si>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</si>
  <si>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</si>
  <si>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</si>
  <si>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</si>
  <si>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</si>
  <si>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</si>
  <si>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</si>
  <si>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</si>
  <si>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</si>
  <si>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</si>
  <si>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</si>
  <si>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</si>
  <si>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</si>
  <si>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</si>
  <si>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</si>
  <si>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</si>
  <si>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</si>
  <si>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</si>
  <si>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</si>
  <si>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</si>
  <si>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</si>
  <si>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</si>
  <si>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</si>
  <si>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</si>
  <si>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</si>
  <si>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</si>
  <si>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</si>
  <si>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</si>
  <si>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</si>
  <si>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</si>
  <si>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</si>
  <si>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</si>
  <si>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</si>
  <si>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</si>
  <si>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</si>
  <si>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</si>
  <si>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</si>
  <si>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</si>
  <si>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</si>
  <si>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</si>
  <si>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</si>
  <si>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</si>
  <si>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</si>
  <si>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</si>
  <si>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</si>
  <si>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</si>
  <si>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</si>
  <si>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</si>
  <si>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</si>
  <si>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</si>
  <si>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</si>
  <si>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</si>
  <si>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</si>
  <si>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</si>
  <si>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</si>
  <si>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</si>
  <si>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</si>
  <si>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</si>
  <si>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</si>
  <si>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</si>
  <si>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</si>
  <si>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</si>
  <si>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</si>
  <si>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</si>
  <si>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</si>
  <si>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</si>
  <si>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</si>
  <si>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</si>
  <si>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</si>
  <si>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</si>
  <si>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</si>
  <si>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</si>
  <si>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</si>
  <si>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</si>
  <si>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</si>
  <si>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</si>
  <si>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</si>
  <si>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</si>
  <si>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</si>
  <si>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</si>
  <si>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</si>
  <si>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</si>
  <si>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</si>
  <si>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</si>
  <si>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</si>
  <si>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</si>
  <si>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</si>
  <si>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</si>
  <si>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</si>
  <si>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</si>
  <si>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</si>
  <si>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</si>
  <si>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</si>
  <si>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</si>
  <si>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</si>
  <si>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</si>
  <si>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</si>
  <si>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</si>
  <si>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</si>
  <si>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</si>
  <si>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</si>
  <si>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</si>
  <si>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</si>
  <si>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</si>
  <si>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</si>
  <si>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</si>
  <si>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</si>
  <si>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</si>
  <si>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</si>
  <si>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</si>
  <si>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</si>
  <si>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</si>
  <si>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</si>
  <si>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</si>
  <si>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</si>
  <si>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</si>
  <si>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</si>
  <si>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</si>
  <si>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</si>
  <si>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</si>
  <si>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</si>
  <si>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</si>
  <si>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</si>
  <si>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</si>
  <si>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</si>
  <si>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</si>
  <si>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</si>
  <si>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</si>
  <si>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</si>
  <si>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</si>
  <si>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</si>
  <si>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</si>
  <si>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</si>
  <si>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</si>
  <si>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</si>
  <si>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</si>
  <si>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</si>
  <si>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</si>
  <si>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</si>
  <si>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</si>
  <si>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</si>
  <si>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</si>
  <si>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</si>
  <si>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</si>
  <si>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</si>
  <si>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</si>
  <si>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</si>
  <si>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</si>
  <si>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</si>
  <si>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</si>
  <si>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</si>
  <si>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</si>
  <si>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</si>
  <si>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</si>
  <si>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</si>
  <si>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</si>
  <si>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</si>
  <si>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</si>
  <si>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</si>
  <si>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</si>
  <si>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</si>
  <si>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</si>
  <si>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</si>
  <si>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</si>
  <si>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</si>
  <si>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</si>
  <si>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</si>
  <si>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</si>
  <si>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</si>
  <si>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</si>
  <si>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</si>
  <si>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</si>
  <si>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</si>
  <si>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</si>
  <si>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</si>
  <si>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</si>
  <si>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</si>
  <si>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</si>
  <si>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</si>
  <si>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</si>
  <si>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</si>
  <si>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</si>
  <si>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</si>
  <si>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</si>
  <si>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</si>
  <si>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</si>
  <si>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</si>
  <si>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</si>
  <si>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</si>
  <si>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</si>
  <si>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</si>
  <si>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</si>
  <si>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</si>
  <si>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</si>
  <si>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</si>
  <si>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</si>
  <si>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</si>
  <si>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</si>
  <si>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</si>
  <si>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</si>
  <si>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</si>
  <si>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</si>
  <si>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</si>
  <si>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</si>
  <si>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</si>
  <si>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</si>
  <si>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</si>
  <si>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</si>
  <si>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</si>
  <si>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</si>
  <si>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</si>
  <si>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</si>
  <si>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</si>
  <si>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</si>
  <si>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</si>
  <si>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</si>
  <si>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</si>
  <si>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</si>
  <si>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</si>
  <si>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</si>
  <si>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</si>
  <si>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</si>
  <si>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</si>
  <si>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</si>
  <si>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</si>
  <si>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</si>
  <si>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</si>
  <si>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</si>
  <si>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</si>
  <si>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</si>
  <si>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</si>
  <si>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</si>
  <si>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</si>
  <si>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</si>
  <si>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</si>
  <si>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</si>
  <si>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</si>
  <si>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</si>
  <si>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</si>
  <si>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</si>
  <si>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</si>
  <si>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</si>
  <si>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</si>
  <si>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</si>
  <si>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</si>
  <si>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</si>
  <si>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</si>
  <si>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</si>
  <si>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</si>
  <si>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</si>
  <si>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</si>
  <si>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</si>
  <si>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</si>
  <si>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</si>
  <si>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</si>
  <si>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</si>
  <si>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</si>
  <si>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</si>
  <si>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</si>
  <si>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</si>
  <si>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</si>
  <si>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</si>
  <si>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</si>
  <si>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</si>
  <si>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</si>
  <si>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</si>
  <si>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</si>
  <si>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</si>
  <si>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</si>
  <si>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</si>
  <si>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</si>
  <si>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</si>
  <si>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</si>
  <si>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</si>
  <si>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</si>
  <si>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</si>
  <si>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</si>
  <si>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</si>
  <si>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</si>
  <si>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</si>
  <si>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</si>
  <si>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</si>
  <si>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</si>
  <si>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</si>
  <si>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</si>
  <si>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</si>
  <si>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</si>
  <si>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</si>
  <si>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</si>
  <si>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</si>
  <si>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</si>
  <si>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</si>
  <si>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</si>
  <si>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</si>
  <si>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</si>
  <si>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</si>
  <si>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</si>
  <si>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</si>
  <si>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</si>
  <si>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</si>
  <si>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</si>
  <si>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</si>
  <si>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</si>
  <si>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</si>
  <si>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</si>
  <si>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</si>
  <si>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</si>
  <si>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</si>
  <si>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</si>
  <si>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</si>
  <si>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</si>
  <si>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</si>
  <si>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</si>
  <si>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</si>
  <si>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</si>
  <si>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</si>
  <si>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</si>
  <si>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</si>
  <si>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</si>
  <si>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</si>
  <si>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</si>
  <si>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</si>
  <si>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</si>
  <si>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</si>
  <si>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</si>
  <si>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</si>
  <si>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</si>
  <si>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</si>
  <si>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</si>
  <si>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</si>
  <si>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</si>
  <si>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</si>
  <si>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</si>
  <si>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</si>
  <si>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</si>
  <si>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</si>
  <si>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</si>
  <si>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</si>
  <si>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</si>
  <si>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</si>
  <si>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</si>
  <si>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</si>
  <si>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</si>
  <si>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</si>
  <si>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</si>
  <si>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</si>
  <si>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</si>
  <si>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</si>
  <si>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</si>
  <si>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</si>
  <si>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</si>
  <si>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</si>
  <si>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</si>
  <si>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</si>
  <si>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</si>
  <si>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</si>
  <si>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</si>
  <si>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</si>
  <si>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</si>
  <si>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</si>
  <si>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</si>
  <si>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</si>
  <si>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</si>
  <si>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</si>
  <si>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</si>
  <si>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</si>
  <si>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</si>
  <si>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</si>
  <si>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</si>
  <si>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</si>
  <si>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</si>
  <si>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</si>
  <si>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</si>
  <si>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</si>
  <si>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</si>
  <si>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</si>
  <si>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</si>
  <si>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</si>
  <si>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</si>
  <si>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</si>
  <si>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</si>
  <si>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</si>
  <si>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</si>
  <si>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</si>
  <si>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</si>
  <si>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</si>
  <si>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</si>
  <si>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</si>
  <si>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</si>
  <si>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</si>
  <si>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</si>
  <si>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</si>
  <si>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</si>
  <si>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</si>
  <si>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</si>
  <si>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</si>
  <si>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</si>
  <si>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</si>
  <si>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</si>
  <si>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</si>
  <si>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</si>
  <si>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</si>
  <si>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</si>
  <si>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</si>
  <si>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</si>
  <si>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</si>
  <si>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</si>
  <si>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</si>
  <si>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</si>
  <si>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</si>
  <si>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</si>
  <si>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</si>
  <si>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</si>
  <si>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</si>
  <si>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</si>
  <si>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</si>
  <si>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</si>
  <si>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</si>
  <si>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</si>
  <si>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</si>
  <si>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</si>
  <si>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</si>
  <si>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</si>
  <si>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</si>
  <si>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</si>
  <si>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</si>
  <si>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</si>
  <si>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</si>
  <si>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</si>
  <si>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</si>
  <si>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</si>
  <si>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</si>
  <si>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</si>
  <si>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</si>
  <si>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</si>
  <si>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</si>
  <si>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</si>
  <si>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</si>
  <si>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</si>
  <si>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</si>
  <si>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</si>
  <si>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</si>
  <si>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</si>
  <si>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</si>
  <si>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</si>
  <si>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</si>
  <si>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</si>
  <si>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</si>
  <si>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</si>
  <si>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</si>
  <si>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</si>
  <si>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</si>
  <si>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</si>
  <si>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</si>
  <si>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</si>
  <si>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</si>
  <si>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</si>
  <si>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</si>
  <si>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</si>
  <si>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</si>
  <si>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</si>
  <si>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</si>
  <si>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</si>
  <si>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</si>
  <si>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</si>
  <si>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</si>
  <si>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</si>
  <si>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</si>
  <si>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</si>
  <si>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</si>
  <si>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</si>
  <si>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</si>
  <si>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</si>
  <si>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</si>
  <si>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</si>
  <si>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</si>
  <si>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</si>
  <si>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</si>
  <si>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</si>
  <si>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</si>
  <si>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</si>
  <si>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</si>
  <si>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</si>
  <si>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</si>
  <si>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</si>
  <si>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</si>
  <si>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</si>
  <si>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</si>
  <si>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</si>
  <si>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</si>
  <si>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</si>
  <si>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</si>
  <si>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</si>
  <si>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</si>
  <si>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</si>
  <si>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</si>
  <si>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</si>
  <si>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</si>
  <si>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</si>
  <si>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</si>
  <si>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</si>
  <si>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</si>
  <si>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</si>
  <si>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</si>
  <si>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</si>
  <si>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</si>
  <si>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</si>
  <si>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</si>
  <si>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</si>
  <si>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</si>
  <si>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</si>
  <si>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</si>
  <si>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</si>
  <si>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</si>
  <si>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</si>
  <si>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</si>
  <si>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</si>
  <si>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</si>
  <si>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</si>
  <si>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</si>
  <si>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</si>
  <si>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</si>
  <si>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</si>
  <si>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</si>
  <si>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</si>
  <si>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</si>
  <si>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</si>
  <si>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</si>
  <si>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</si>
  <si>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</si>
  <si>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</si>
  <si>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</si>
  <si>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</si>
  <si>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</si>
  <si>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</si>
  <si>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</si>
  <si>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</si>
  <si>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</si>
  <si>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</si>
  <si>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</si>
  <si>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</si>
  <si>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</si>
  <si>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</si>
  <si>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</si>
  <si>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</si>
  <si>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</si>
  <si>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</si>
  <si>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</si>
  <si>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</si>
  <si>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</si>
  <si>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</si>
  <si>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</si>
  <si>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</si>
  <si>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</si>
  <si>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</si>
  <si>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</si>
  <si>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</si>
  <si>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</si>
  <si>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</si>
  <si>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</si>
  <si>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</si>
  <si>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</si>
  <si>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</si>
  <si>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</si>
  <si>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</si>
  <si>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</si>
  <si>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</si>
  <si>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</si>
  <si>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</si>
  <si>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</si>
  <si>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</si>
  <si>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</si>
  <si>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</si>
  <si>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</si>
  <si>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</si>
  <si>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</si>
  <si>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</si>
  <si>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</si>
  <si>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</si>
  <si>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</si>
  <si>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</si>
  <si>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</si>
  <si>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</si>
  <si>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</si>
  <si>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</si>
  <si>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</si>
  <si>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</si>
  <si>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</si>
  <si>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</si>
  <si>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</si>
  <si>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</si>
  <si>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</si>
  <si>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</si>
  <si>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</si>
  <si>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</si>
  <si>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</si>
  <si>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</si>
  <si>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</si>
  <si>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</si>
  <si>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</si>
  <si>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</si>
  <si>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</si>
  <si>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</si>
  <si>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</si>
  <si>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</si>
  <si>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</si>
  <si>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</si>
  <si>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</si>
  <si>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</si>
  <si>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</si>
  <si>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</si>
  <si>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</si>
  <si>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</si>
  <si>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</si>
  <si>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</si>
  <si>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</si>
  <si>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</si>
  <si>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</si>
  <si>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</si>
  <si>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</si>
  <si>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</si>
  <si>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</si>
  <si>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</si>
  <si>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</si>
  <si>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</si>
  <si>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</si>
  <si>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</si>
  <si>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</si>
  <si>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</si>
  <si>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</si>
  <si>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</si>
  <si>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</si>
  <si>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</si>
  <si>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</si>
  <si>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</si>
  <si>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</si>
  <si>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</si>
  <si>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</si>
  <si>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</si>
  <si>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</si>
  <si>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</si>
  <si>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</si>
  <si>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</si>
  <si>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</si>
  <si>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</si>
  <si>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</si>
  <si>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</si>
  <si>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</si>
  <si>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</si>
  <si>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</si>
  <si>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</si>
  <si>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</si>
  <si>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</si>
  <si>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</si>
  <si>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</si>
  <si>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</si>
  <si>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</si>
  <si>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</si>
  <si>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</si>
  <si>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</si>
  <si>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</si>
  <si>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</si>
  <si>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</si>
  <si>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</si>
  <si>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</si>
  <si>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</si>
  <si>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</si>
  <si>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</si>
  <si>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</si>
  <si>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</si>
  <si>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</si>
  <si>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</si>
  <si>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</si>
  <si>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</si>
  <si>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</si>
  <si>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</si>
  <si>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</si>
  <si>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</si>
  <si>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</si>
  <si>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</si>
  <si>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</si>
  <si>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</si>
  <si>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</si>
  <si>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</si>
  <si>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</si>
  <si>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</si>
  <si>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</si>
  <si>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</si>
  <si>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</si>
  <si>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</si>
  <si>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</si>
  <si>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</si>
  <si>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</si>
  <si>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</si>
  <si>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</si>
  <si>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</si>
  <si>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</si>
  <si>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</si>
  <si>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</si>
  <si>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</si>
  <si>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</si>
  <si>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</si>
  <si>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</si>
  <si>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</si>
  <si>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</si>
  <si>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</si>
  <si>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</si>
  <si>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</si>
  <si>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</si>
  <si>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</si>
  <si>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</si>
  <si>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</si>
  <si>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</si>
  <si>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</si>
  <si>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</si>
  <si>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</si>
  <si>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</si>
  <si>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</si>
  <si>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</si>
  <si>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</si>
  <si>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</si>
  <si>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</si>
  <si>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</si>
  <si>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</si>
  <si>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</si>
  <si>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</si>
  <si>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</si>
  <si>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</si>
  <si>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</si>
  <si>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</si>
  <si>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</si>
  <si>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</si>
  <si>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</si>
  <si>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</si>
  <si>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</si>
  <si>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</si>
  <si>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</si>
  <si>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</si>
  <si>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</si>
  <si>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</si>
  <si>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</si>
  <si>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</si>
  <si>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</si>
  <si>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</si>
  <si>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</si>
  <si>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</si>
  <si>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</si>
  <si>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</si>
  <si>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</si>
  <si>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</si>
  <si>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</si>
  <si>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</si>
  <si>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</si>
  <si>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</si>
  <si>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</si>
  <si>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</si>
  <si>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</si>
  <si>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</si>
  <si>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</si>
  <si>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</si>
  <si>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</si>
  <si>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</si>
  <si>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</si>
  <si>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</si>
  <si>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</si>
  <si>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</si>
  <si>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</si>
  <si>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</si>
  <si>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</si>
  <si>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</si>
  <si>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</si>
  <si>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</si>
  <si>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</si>
  <si>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</si>
  <si>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</si>
  <si>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</si>
  <si>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</si>
  <si>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</si>
  <si>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</si>
  <si>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</si>
  <si>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</si>
  <si>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</si>
  <si>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</si>
  <si>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</si>
  <si>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</si>
  <si>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</si>
  <si>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</si>
  <si>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</si>
  <si>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</si>
  <si>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</si>
  <si>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</si>
  <si>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</si>
  <si>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</si>
  <si>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</si>
  <si>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</si>
  <si>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</si>
  <si>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</si>
  <si>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</si>
  <si>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</si>
  <si>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</si>
  <si>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</si>
  <si>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</si>
  <si>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</si>
  <si>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</si>
  <si>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</si>
  <si>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</si>
  <si>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</si>
  <si>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</si>
  <si>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</si>
  <si>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</si>
  <si>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</si>
  <si>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</si>
  <si>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</si>
  <si>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</si>
  <si>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</si>
  <si>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</si>
  <si>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</si>
  <si>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</si>
  <si>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</si>
  <si>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</si>
  <si>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</si>
  <si>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</si>
  <si>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</si>
  <si>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</si>
  <si>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</si>
  <si>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</si>
  <si>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</si>
  <si>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</si>
  <si>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</si>
  <si>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</si>
  <si>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</si>
  <si>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</si>
  <si>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</si>
  <si>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</si>
  <si>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</si>
  <si>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</si>
  <si>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</si>
  <si>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</si>
  <si>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</si>
  <si>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</si>
  <si>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</si>
  <si>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</si>
  <si>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</si>
  <si>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</si>
  <si>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</si>
  <si>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</si>
  <si>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</si>
  <si>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</si>
  <si>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</si>
  <si>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</si>
  <si>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</si>
  <si>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</si>
  <si>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</si>
  <si>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</si>
  <si>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</si>
  <si>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</si>
  <si>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</si>
  <si>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</si>
  <si>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</si>
  <si>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</si>
  <si>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</si>
  <si>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</si>
  <si>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</si>
  <si>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</si>
  <si>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</si>
  <si>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</si>
  <si>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</si>
  <si>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</si>
  <si>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</si>
  <si>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</si>
  <si>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</si>
  <si>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</si>
  <si>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</si>
  <si>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</si>
  <si>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</si>
  <si>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</si>
  <si>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</si>
  <si>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</si>
  <si>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</si>
  <si>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</si>
  <si>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</si>
  <si>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</si>
  <si>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</si>
  <si>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</si>
  <si>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</si>
  <si>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</si>
  <si>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</si>
  <si>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</si>
  <si>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</si>
  <si>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</si>
  <si>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</si>
  <si>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</si>
  <si>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</si>
  <si>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</si>
  <si>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</si>
  <si>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</si>
  <si>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</si>
  <si>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</si>
  <si>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</si>
  <si>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</si>
  <si>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</si>
  <si>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</si>
  <si>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</si>
  <si>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</si>
  <si>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</si>
  <si>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</si>
  <si>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</si>
  <si>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</si>
  <si>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</si>
  <si>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</si>
  <si>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</si>
  <si>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</si>
  <si>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</si>
  <si>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</si>
  <si>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</si>
  <si>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</si>
  <si>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</si>
  <si>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</si>
  <si>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</si>
  <si>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</si>
  <si>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</si>
  <si>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</si>
  <si>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</si>
  <si>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</si>
  <si>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</si>
  <si>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</si>
  <si>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</si>
  <si>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</si>
  <si>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</si>
  <si>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</si>
  <si>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</si>
  <si>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</si>
  <si>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</si>
  <si>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</si>
  <si>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</si>
  <si>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</si>
  <si>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</si>
  <si>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</si>
  <si>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</si>
  <si>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</si>
  <si>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</si>
  <si>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</si>
  <si>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</si>
  <si>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</si>
  <si>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</si>
  <si>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</si>
  <si>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</si>
  <si>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</si>
  <si>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</si>
  <si>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</si>
  <si>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</si>
  <si>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</si>
  <si>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</si>
  <si>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</si>
  <si>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</si>
  <si>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</si>
  <si>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</si>
  <si>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</si>
  <si>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</si>
  <si>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</si>
  <si>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</si>
  <si>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</si>
  <si>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</si>
  <si>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</si>
  <si>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</si>
  <si>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</si>
  <si>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</si>
  <si>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</si>
  <si>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</si>
  <si>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</si>
  <si>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</si>
  <si>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</si>
  <si>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</si>
  <si>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</si>
  <si>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</si>
  <si>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</si>
  <si>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</si>
  <si>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</si>
  <si>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</si>
  <si>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</si>
  <si>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</si>
  <si>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</si>
  <si>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</si>
  <si>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</si>
  <si>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</si>
  <si>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</si>
  <si>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</si>
  <si>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</si>
  <si>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</si>
  <si>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</si>
  <si>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</si>
  <si>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</si>
  <si>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</si>
  <si>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</si>
  <si>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</si>
  <si>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</si>
  <si>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</si>
  <si>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</si>
  <si>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</si>
  <si>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</si>
  <si>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</si>
  <si>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</si>
  <si>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</si>
  <si>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</si>
  <si>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</si>
  <si>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</si>
  <si>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</si>
  <si>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</si>
  <si>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</si>
  <si>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</si>
  <si>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</si>
  <si>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</si>
  <si>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</si>
  <si>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</si>
  <si>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</si>
  <si>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</si>
  <si>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</si>
  <si>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</si>
  <si>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</si>
  <si>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</si>
  <si>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</si>
  <si>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</si>
  <si>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</si>
  <si>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</si>
  <si>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</si>
  <si>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</si>
  <si>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</si>
  <si>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</si>
  <si>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</si>
  <si>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</si>
  <si>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</si>
  <si>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</si>
  <si>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</si>
  <si>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</si>
  <si>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</si>
  <si>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</si>
  <si>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</si>
  <si>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</si>
  <si>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</si>
  <si>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</si>
  <si>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</si>
  <si>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</si>
  <si>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</si>
  <si>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</si>
  <si>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</si>
  <si>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</si>
  <si>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</si>
  <si>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</si>
  <si>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</si>
  <si>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</si>
  <si>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</si>
  <si>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</si>
  <si>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</si>
  <si>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</si>
  <si>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</si>
  <si>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</si>
  <si>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</si>
  <si>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</si>
  <si>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</si>
  <si>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</si>
  <si>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</si>
  <si>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</si>
  <si>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</si>
  <si>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</si>
  <si>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</si>
  <si>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</si>
  <si>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</si>
  <si>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</si>
  <si>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</si>
  <si>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</si>
  <si>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</si>
  <si>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</si>
  <si>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</si>
  <si>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</si>
  <si>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</si>
  <si>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</si>
  <si>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</si>
  <si>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</si>
  <si>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</si>
  <si>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</si>
  <si>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</si>
  <si>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</si>
  <si>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</si>
  <si>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</si>
  <si>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</si>
  <si>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</si>
  <si>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</si>
  <si>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</si>
  <si>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</si>
  <si>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</si>
  <si>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</si>
  <si>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</si>
  <si>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</si>
  <si>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</si>
  <si>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</si>
  <si>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</si>
  <si>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</si>
  <si>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</si>
  <si>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</si>
  <si>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</si>
  <si>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</si>
  <si>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</si>
  <si>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</si>
  <si>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</si>
  <si>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</si>
  <si>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</si>
  <si>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</si>
  <si>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</si>
  <si>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</si>
  <si>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</si>
  <si>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</si>
  <si>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</si>
  <si>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</si>
  <si>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</si>
  <si>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</si>
  <si>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</si>
  <si>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</si>
  <si>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</si>
  <si>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</si>
  <si>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</si>
  <si>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</si>
  <si>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</si>
  <si>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</si>
  <si>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</si>
  <si>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</si>
  <si>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</si>
  <si>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</si>
  <si>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</si>
  <si>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</si>
  <si>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</si>
  <si>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</si>
  <si>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</si>
  <si>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</si>
  <si>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</si>
  <si>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</si>
  <si>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</si>
  <si>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</si>
  <si>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</si>
  <si>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</si>
  <si>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</si>
  <si>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</si>
  <si>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</si>
  <si>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</si>
  <si>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</si>
  <si>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</si>
  <si>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</si>
  <si>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</si>
  <si>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</si>
  <si>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</si>
  <si>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</si>
  <si>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</si>
  <si>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</si>
  <si>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</si>
  <si>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</si>
  <si>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</si>
  <si>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</si>
  <si>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</si>
  <si>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</si>
  <si>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</si>
  <si>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</si>
  <si>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</si>
  <si>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</si>
  <si>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</si>
  <si>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</si>
  <si>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</si>
  <si>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</si>
  <si>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</si>
  <si>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</si>
  <si>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</si>
  <si>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</si>
  <si>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</si>
  <si>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</si>
  <si>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</si>
  <si>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</si>
  <si>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</si>
  <si>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</si>
  <si>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</si>
  <si>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</si>
  <si>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</si>
  <si>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</si>
  <si>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</si>
  <si>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</si>
  <si>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</si>
  <si>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</si>
  <si>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</si>
  <si>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https://leetcode.com/problems/top-k-frequent-elements/</t>
  </si>
  <si>
    <t>Top K Frequent Elements</t>
  </si>
  <si>
    <t>HashMap Frequency Count + Sorting</t>
  </si>
  <si>
    <t>Count frequency of each number, then sort numbers by frequency descending.</t>
  </si>
  <si>
    <t>Sort dict.items() using key=lambda item: item[1] because item[1] is frequency.</t>
  </si>
  <si>
    <t>Sorting solution is accepted but not optimal for follow-up; bucket sort gives O(n).</t>
  </si>
  <si>
    <t>HashMap num→freq, sort items by freq desc using lambda item[1], return first k nums. Accepted O(n log n). 
Follow-up optimal uses bucket sort O(n).</t>
  </si>
  <si>
    <t>Shortest and Lexicographically Smallest Beautiful String</t>
  </si>
  <si>
    <t>https://leetcode.com/problems/shortest-and-lexicographically-smallest-beautiful-string/</t>
  </si>
  <si>
    <t>Sliding Window + Lexicographic Comparison</t>
  </si>
  <si>
    <t>Maintain a window with exactly k ones and shrink unnecessary leading zeros.</t>
  </si>
  <si>
    <t>When adding a new 1, shrink while ones &gt; k or window starts with 0.</t>
  </si>
  <si>
    <t>Do not keep leading zeros; they only make the substring longer. For same length, compare lexicographically.</t>
  </si>
  <si>
    <t>O(n²) worst case due to slicing/comparison; pointer movement is O(n)</t>
  </si>
  <si>
    <t>Sliding window over binary string. Count ones. Shrink while ones &gt; k or left char is 0. If ones == k, update result by shorter length first, then lexicographic order. Slicing makes worst-case O(n²).</t>
  </si>
  <si>
    <t>Minimum Size Subarray Sum</t>
  </si>
  <si>
    <t>https://leetcode.com/problems/minimum-size-subarray-sum/</t>
  </si>
  <si>
    <t>Variable Size Sliding Window</t>
  </si>
  <si>
    <t>Positive numbers + minimum length subarray with sum &gt;= target → variable sliding window.</t>
  </si>
  <si>
    <t>Array / Sliding Window</t>
  </si>
  <si>
    <t>Expand the right pointer to increase the window sum; once the target is reached, shrink from the left as much as possible while maintaining validity.</t>
  </si>
  <si>
    <t>This exact strategy is not safe with arbitrary negative numbers because removing or adding an element no longer changes the sum predictably.</t>
  </si>
  <si>
    <t>Update answer before removing nums[i] because the current window is already valid when windowSum &gt;= target.</t>
  </si>
  <si>
    <t>Valid Palindrome</t>
  </si>
  <si>
    <t>https://leetcode.com/problems/valid-palindrome/</t>
  </si>
  <si>
    <t>Compare characters from both ends while skipping non-alphanumeric characters.</t>
  </si>
  <si>
    <t>Use while loops to skip all invalid characters, then compare lowercase characters.</t>
  </si>
  <si>
    <t>When moving right pointer, check s[j], not s[i]. Use while, not if, to skip multiple invalid characters.</t>
  </si>
  <si>
    <t>Palindrome check with ignored chars → Two pointers from both ends.</t>
  </si>
  <si>
    <t>Removing Minimum and Maximum From Array</t>
  </si>
  <si>
    <t>Array / Greedy</t>
  </si>
  <si>
    <t>Greedy + Case Analysis / Index Positions</t>
  </si>
  <si>
    <t>Find the positions of the minimum and maximum, then compare the only three possible optimal deletion strategies.</t>
  </si>
  <si>
    <t>Sort the two indices conceptually into l &lt; r, which makes all three formulas simple.</t>
  </si>
  <si>
    <t>Don't simulate deletions. Once min/max indices are known, directly calculate the three possible deletion counts.</t>
  </si>
  <si>
    <t>Compare r+1, n-l,  (l+1)+(n-r)</t>
  </si>
  <si>
    <t>https://leetcode.com/problems/removing-minimum-and-maximum-from-array/</t>
  </si>
  <si>
    <t>https://leetcode.com/problems/count-commas-in-range-ii/</t>
  </si>
  <si>
    <t>Count Commas in Range II</t>
  </si>
  <si>
    <t>Math, Number Theory, Counting</t>
  </si>
  <si>
    <t>Threshold Counting / Range Contribution Counting</t>
  </si>
  <si>
    <t>Instead of checking every integer or grouping numbers by exact comma count, count how many numbers contribute the 1st comma, then the 2nd comma, then the 3rd comma, etc. Every number &gt;= 1000 contributes at least one comma, every number &gt;= 1,000,000 contributes one additional comma, every number &gt;= 1,000,000,000 contributes another, and so on.</t>
  </si>
  <si>
    <t>For each threshold start = 1000^k, all numbers in [start, n] contribute the k-th comma. Therefore the contribution at that threshold is simply n - start + 1. Sum these contributions while multiplying start by 1000 each iteration.</t>
  </si>
  <si>
    <t>Do not iterate from 1 to n, because n can be extremely large. Also, do not unnecessarily build exact comma-count buckets if cumulative threshold counting gives the answer directly. The +1 in n - start + 1 is important because both endpoints are inclusive.</t>
  </si>
  <si>
    <t>O(log_1000 n)</t>
  </si>
  <si>
    <t>Huge range + property changes only at known thresholds → count contributions at each threshold instead of enumerating elements.</t>
  </si>
  <si>
    <t>https://leetcode.com/problems/count-nodes-equal-to-average-of-subtree/</t>
  </si>
  <si>
    <t>Count Nodes Equal to Average of Subtree</t>
  </si>
  <si>
    <t>Binary Tree, DFS, Recursion</t>
  </si>
  <si>
    <t>Postorder DFS / Return Multiple Subtree Aggregates</t>
  </si>
  <si>
    <t>For every node, compute the total sum and total number of nodes in its subtree. Once the left and right subtree results are known, calculate the current subtree average and compare it with the current node value.</t>
  </si>
  <si>
    <t>Use postorder traversal because the current node’s answer depends on information from both children. Return a pair (subtree_sum, subtree_count) from each recursive call.</t>
  </si>
  <si>
    <t>Do not compute the average before processing both subtrees. Also remember the problem uses integer division, so compare totalSum // totalCount with node.val. Base case must return (0, 0) so leaf-node calculations work naturally.</t>
  </si>
  <si>
    <t>Need subtree result at current node → recurse left/right first → combine → return aggregate upward.
This is a classic “compute children first, combine at parent” tree pattern.</t>
  </si>
  <si>
    <t>https://leetcode.com/problems/longest-substring-without-repeating-characters/</t>
  </si>
  <si>
    <t>Longest Substring Without Repeating Characters</t>
  </si>
  <si>
    <t>The window must always satisfy the invariant: every character has frequency at most 1. When the current character causes a duplicate, repeatedly remove s[i] from the frequency map and increment i until the duplicate disappears.</t>
  </si>
  <si>
    <t>When shrinking the window, decrement the frequency of s[i] before incrementing i. Also, use max(clength, j - i + 1) instead of storing only the current window length. Letting j come from enumerate() avoids off-by-one errors.</t>
  </si>
  <si>
    <t>O(k) where k is the number of distinct characters in the window</t>
  </si>
  <si>
    <t>Expand right and maintain char frequencies. If the new char becomes duplicated, shrink from the left until the window is valid again. Update max window length.</t>
  </si>
  <si>
    <t>String</t>
  </si>
  <si>
    <t>Two Pointers — Opposite Ends</t>
  </si>
  <si>
    <t>Valid Parentheses</t>
  </si>
  <si>
    <t>Matching/LIFO stack</t>
  </si>
  <si>
    <t>Push opening brackets; closing bracket must match stack top</t>
  </si>
  <si>
    <t>Map closing → opening for direct comparison</t>
  </si>
  <si>
    <t>Always check not st before reading st[-1]</t>
  </si>
  <si>
    <t>https://leetcode.com/problems/valid-parentheses/</t>
  </si>
  <si>
    <t>Maintain a window with all unique characters; shrink from the left whenever a duplicate appears</t>
  </si>
  <si>
    <t>Variable-Size Sliding Window + Frequency HashMap/Set</t>
  </si>
  <si>
    <t>String, HashMap, Sliding Window, HashSet</t>
  </si>
  <si>
    <t>Min Stack</t>
  </si>
  <si>
    <t>Auxiliary stack / maintain running state</t>
  </si>
  <si>
    <t>Keep minStk[i] equal to the minimum value among stk[0:i+1]</t>
  </si>
  <si>
    <t>Push the current minimum alongside every value, so getMin() is constant time</t>
  </si>
  <si>
    <t>Both stacks must be popped together; otherwise they become misaligned</t>
  </si>
  <si>
    <t>push O(1),
pop O(1), 
top O(1), 
getMin O(1)</t>
  </si>
  <si>
    <t>https://leetcode.com/problems/longest-valid-parentheses/</t>
  </si>
  <si>
    <t>Strings / Parentheses</t>
  </si>
  <si>
    <t>Two-pass greedy counter scan</t>
  </si>
  <si>
    <t>Scan left→right to catch valid regions unless close &gt; open; scan right→left to catch the symmetric case where open &gt; close</t>
  </si>
  <si>
    <t>When counts become invalid in the current direction, reset both counters</t>
  </si>
  <si>
    <t>One directional pass is not enough; cases like "(()" require the reverse scan</t>
  </si>
  <si>
    <t>https://leetcode.com/problems/daily-temperatures/</t>
  </si>
  <si>
    <t>Longest Valid Parentheses</t>
  </si>
  <si>
    <t>Monotonic Stack</t>
  </si>
  <si>
    <t>Traverse right to left and maintain candidate warmer days in monotonic order</t>
  </si>
  <si>
    <t>Pop while current temperature is &gt;= stack-top temperature</t>
  </si>
  <si>
    <t>Equal temperature is not warmer, so use &gt;=, not just &gt;</t>
  </si>
  <si>
    <t>Daily Temperatures</t>
  </si>
  <si>
    <t>https://leetcode.com/problems/classes-with-at-least-5-students/</t>
  </si>
  <si>
    <t>Group rows by class, count students in each group, then keep only classes with at least 5 students.</t>
  </si>
  <si>
    <t>Use HAVING for aggregate conditions after GROUP BY.</t>
  </si>
  <si>
    <t>Do not use WHERE for conditions on COUNT(); WHERE filters rows before aggregation.</t>
  </si>
  <si>
    <t>SELECT, FROM, GROUP BY, COUNT, HAVING</t>
  </si>
  <si>
    <t>First HAVING-pattern problem; reinforces WHERE vs HAVING.</t>
  </si>
  <si>
    <t>Classes More Than 5 Students</t>
  </si>
  <si>
    <t>Customer Placing the Largest Number of Orders</t>
  </si>
  <si>
    <t>https://leetcode.com/problems/customer-placing-the-largest-number-of-orders/</t>
  </si>
  <si>
    <t>GROUP BY + ORDER BY aggregate + LIMIT</t>
  </si>
  <si>
    <t>Count orders per customer, sort customers by order count descending, and return the top one.</t>
  </si>
  <si>
    <t>ORDER BY COUNT(*) DESC lets you rank grouped results directly.</t>
  </si>
  <si>
    <t>Don’t sort by customer_number; sort by the aggregate count.</t>
  </si>
  <si>
    <t>customer_number; sort by the aggregate count.SELECT, FROM, GROUP BY, COUNT, ORDER BY, LIMIT</t>
  </si>
  <si>
    <t>Reinforces ranking grouped results using aggregate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</si>
</sst>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m\-yyyy"/>
    <numFmt numFmtId="166" formatCode="mm/dd/yyyy"/>
  </numFmts>
  <fonts count="7">
    <font>
      <sz val="11"/>
      <name val="Carlito"/>
    </font>
    <font>
      <b/>
      <sz val="11"/>
      <color rgb="FFFFFFFF"/>
      <name val="Carlito"/>
    </font>
    <font>
      <b/>
      <sz val="16"/>
      <color rgb="FFFFFFFF"/>
      <name val="Carlito"/>
    </font>
    <font>
      <b/>
      <sz val="11"/>
      <name val="Carlito"/>
    </font>
    <font>
      <sz val="11"/>
      <color theme="10"/>
      <name val="Carlito"/>
    </font>
    <font>
      <i/>
      <sz val="11"/>
      <color rgb="FF1F2937"/>
      <name val="Carlito"/>
    </font>
    <font>
      <sz val="8"/>
      <name val="Carlito"/>
    </font>
  </fonts>
  <fills count="12">
    <fill>
      <patternFill patternType="none"/>
    </fill>
    <fill>
      <patternFill patternType="gray125"/>
    </fill>
    <fill>
      <patternFill patternType="solid">
        <fgColor rgb="FF1F4E79"/>
      </patternFill>
    </fill>
    <fill>
      <patternFill patternType="solid">
        <fgColor rgb="FF0F766E"/>
      </patternFill>
    </fill>
    <fill>
      <patternFill patternType="solid">
        <fgColor rgb="FFE6F4F1"/>
      </patternFill>
    </fill>
    <fill>
      <patternFill patternType="solid">
        <fgColor rgb="FFFEF3C7"/>
      </patternFill>
    </fill>
    <fill>
      <patternFill patternType="solid">
        <fgColor rgb="FF1F4E78"/>
      </patternFill>
    </fill>
    <fill>
      <patternFill patternType="solid">
        <fgColor rgb="FFD9EAF7"/>
      </patternFill>
    </fill>
    <fill>
      <patternFill patternType="solid">
        <fgColor rgb="FF5B9BD5"/>
      </patternFill>
    </fill>
    <fill>
      <patternFill patternType="solid">
        <fgColor rgb="FF70AD47"/>
      </patternFill>
    </fill>
    <fill>
      <patternFill patternType="solid">
        <fgColor rgb="FFFFD966"/>
      </patternFill>
    </fill>
    <fill>
      <patternFill patternType="solid">
        <fgColor theme="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4">
    <xf numFmtId="0" fontId="0" fillId="0" borderId="0" xfId="0"/>
    <xf numFmtId="0" fontId="1" fillId="2" borderId="0" xfId="0" applyFont="1" applyFill="1" applyAlignment="1">
      <alignment horizontal="center"/>
    </xf>
    <xf numFmtId="0" fontId="1" fillId="2" borderId="0" xfId="0" applyFont="1" applyFill="1" applyAlignment="1">
      <alignment horizontal="center" wrapText="1"/>
    </xf>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xf numFmtId="0" fontId="1" fillId="8" borderId="0" xfId="0" applyFont="1" applyFill="1" applyAlignment="1">
      <alignment horizontal="center" vertical="center" wrapText="1"/>
    </xf>
    <xf numFmtId="0" fontId="0" fillId="0" borderId="0" xfId="0" applyAlignment="1">
      <alignment horizontal="center" vertical="top" wrapText="1"/>
    </xf>
    <xf numFmtId="0" fontId="4" fillId="0" borderId="0" xfId="0" applyFont="1" applyAlignment="1">
      <alignment vertical="top" wrapText="1"/>
    </xf>
    <xf numFmtId="164" fontId="0" fillId="0" borderId="0" xfId="0" applyNumberFormat="1" applyAlignment="1">
      <alignment vertical="top" wrapText="1"/>
    </xf>
    <xf numFmtId="0" fontId="1" fillId="9" borderId="0" xfId="0" applyFont="1" applyFill="1" applyAlignment="1">
      <alignment wrapText="1"/>
    </xf>
    <xf numFmtId="0" fontId="3" fillId="10" borderId="0" xfId="0" applyFont="1" applyFill="1" applyAlignment="1">
      <alignment wrapText="1"/>
    </xf>
    <xf numFmtId="0" fontId="1" fillId="8" borderId="0" xfId="0" applyFont="1" applyFill="1" applyAlignment="1">
      <alignment horizontal="center" wrapText="1"/>
    </xf>
    <xf numFmtId="0" fontId="3" fillId="4" borderId="0" xfId="0" applyFont="1" applyFill="1" applyAlignment="1">
      <alignment wrapText="1"/>
    </xf>
    <xf numFmtId="0" fontId="1" fillId="9" borderId="0" xfId="0" applyFont="1" applyFill="1" applyAlignment="1">
      <alignment horizontal="center" wrapText="1"/>
    </xf>
    <xf numFmtId="0" fontId="3" fillId="4" borderId="0" xfId="0" applyFont="1" applyFill="1" applyAlignment="1">
      <alignment horizontal="center" wrapText="1"/>
    </xf>
    <xf numFmtId="0" fontId="3" fillId="10" borderId="0" xfId="0" applyFont="1" applyFill="1" applyAlignment="1">
      <alignment horizontal="center" wrapText="1"/>
    </xf>
    <xf numFmtId="0" fontId="4" fillId="0" borderId="0" xfId="1" applyNumberFormat="1" applyFill="1" applyBorder="1" applyAlignment="1">
      <alignment vertical="top" wrapText="1"/>
    </xf>
    <xf numFmtId="1" fontId="0" fillId="0" borderId="0" xfId="0" applyNumberFormat="1" applyAlignment="1">
      <alignment horizontal="center" wrapText="1"/>
    </xf>
    <xf numFmtId="1" fontId="0" fillId="0" borderId="0" xfId="0" applyNumberFormat="1" applyAlignment="1">
      <alignment wrapText="1"/>
    </xf>
    <xf numFmtId="165" fontId="0" fillId="0" borderId="0" xfId="0" applyNumberFormat="1" applyAlignment="1">
      <alignment wrapText="1"/>
    </xf>
    <xf numFmtId="165" fontId="0" fillId="0" borderId="0" xfId="0" applyNumberFormat="1"/>
    <xf numFmtId="0" fontId="4" fillId="0" borderId="0" xfId="1" applyAlignment="1">
      <alignment vertical="top" wrapText="1"/>
    </xf>
    <xf numFmtId="0" fontId="4" fillId="0" borderId="0" xfId="1" applyAlignment="1">
      <alignment vertical="center"/>
    </xf>
    <xf numFmtId="164" fontId="0" fillId="0" borderId="0" xfId="0" applyNumberFormat="1" applyAlignment="1">
      <alignment wrapText="1"/>
    </xf>
    <xf numFmtId="0" fontId="5" fillId="7" borderId="0" xfId="0" applyFont="1" applyFill="1" applyAlignment="1">
      <alignment horizontal="left" vertical="center" wrapText="1"/>
    </xf>
    <xf numFmtId="0" fontId="0" fillId="0" borderId="0" xfId="0" applyAlignment="1">
      <alignment vertical="top"/>
    </xf>
    <xf numFmtId="0" fontId="0" fillId="0" borderId="0" xfId="0" applyAlignment="1">
      <alignment horizontal="center" vertical="top"/>
    </xf>
    <xf numFmtId="0" fontId="4" fillId="0" borderId="0" xfId="1" applyAlignment="1">
      <alignment wrapText="1"/>
    </xf>
    <xf numFmtId="166" fontId="0" fillId="0" borderId="0" xfId="0" applyNumberFormat="1" applyAlignment="1">
      <alignment vertical="top" wrapText="1"/>
    </xf>
    <xf numFmtId="0" fontId="0" fillId="0" borderId="0" xfId="0" applyAlignment="1">
      <alignment horizontal="center" vertical="center" wrapText="1"/>
    </xf>
    <xf numFmtId="0" fontId="0" fillId="0" borderId="0" xfId="0" applyAlignment="1">
      <alignment horizontal="center"/>
    </xf>
    <xf numFmtId="0" fontId="3" fillId="0" borderId="0" xfId="0" applyFont="1" applyAlignment="1">
      <alignment horizontal="center" vertical="center" wrapText="1"/>
    </xf>
    <xf numFmtId="0" fontId="5" fillId="7" borderId="0" xfId="0" applyFont="1" applyFill="1" applyAlignment="1">
      <alignment horizontal="left" vertical="center" wrapText="1"/>
    </xf>
    <xf numFmtId="0" fontId="5" fillId="7" borderId="0" xfId="0" applyFont="1" applyFill="1" applyAlignment="1">
      <alignment wrapText="1"/>
    </xf>
    <xf numFmtId="0" fontId="2" fillId="6" borderId="0" xfId="0" applyFont="1" applyFill="1" applyAlignment="1">
      <alignment horizontal="left" vertical="center"/>
    </xf>
    <xf numFmtId="0" fontId="2" fillId="6" borderId="0" xfId="0" applyFont="1" applyFill="1" applyAlignment="1">
      <alignment horizontal="center" wrapText="1"/>
    </xf>
    <xf numFmtId="0" fontId="1" fillId="2" borderId="0" xfId="0" applyFont="1" applyFill="1" applyAlignment="1">
      <alignment horizontal="center" wrapText="1"/>
    </xf>
    <xf numFmtId="0" fontId="0" fillId="0" borderId="0" xfId="0" applyAlignment="1">
      <alignment wrapText="1"/>
    </xf>
    <xf numFmtId="0" fontId="3" fillId="5" borderId="0" xfId="0" applyFont="1" applyFill="1" applyAlignment="1">
      <alignment horizontal="center" wrapText="1"/>
    </xf>
    <xf numFmtId="0" fontId="2" fillId="3" borderId="0" xfId="0" applyFont="1" applyFill="1" applyAlignment="1">
      <alignment horizontal="center"/>
    </xf>
    <xf numFmtId="0" fontId="0" fillId="0" borderId="0" xfId="0"/>
    <xf numFmtId="166" fontId="0" fillId="0" borderId="0" xfId="0" applyNumberFormat="1"/>
    <xf numFmtId="0" fontId="0" fillId="11" borderId="0" xfId="0" applyFill="1" applyAlignment="1">
      <alignment vertical="top" wrapText="1"/>
    </xf>
  </cellXfs>
  <cellStyles count="2">
    <cellStyle name="Hyperlink" xfId="1" xr:uid="{00000000-0005-0000-0000-000000000000}"/>
    <cellStyle name="Normal" xfId="0" builtinId="0"/>
  </cellStyles>
  <dxfs count="31">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FEF3C7"/>
        </patternFill>
      </fill>
    </dxf>
    <dxf>
      <fill>
        <patternFill patternType="solid">
          <bgColor rgb="FFFECACA"/>
        </patternFill>
      </fill>
    </dxf>
    <dxf>
      <fill>
        <patternFill>
          <bgColor rgb="FFDCFCE7"/>
        </patternFill>
      </fill>
    </dxf>
    <dxf>
      <font>
        <b/>
        <color rgb="FF92400E"/>
      </font>
      <fill>
        <patternFill>
          <bgColor rgb="FFFEF3C7"/>
        </patternFill>
      </fill>
    </dxf>
    <dxf>
      <font>
        <b/>
        <color rgb="FF991B1B"/>
      </font>
      <fill>
        <patternFill>
          <bgColor rgb="FFFECACA"/>
        </patternFill>
      </fill>
    </dxf>
    <dxf>
      <fill>
        <patternFill>
          <bgColor rgb="FFDCFCE7"/>
        </patternFill>
      </fill>
    </dxf>
    <dxf>
      <fill>
        <patternFill>
          <bgColor rgb="FFFEF3C7"/>
        </patternFill>
      </fill>
    </dxf>
    <dxf>
      <fill>
        <patternFill>
          <bgColor rgb="FFFECACA"/>
        </patternFill>
      </fill>
    </dxf>
    <dxf>
      <numFmt numFmtId="166" formatCode="mm/dd/yyyy"/>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166" formatCode="mm/dd/yyyy"/>
      <alignment horizontal="general" vertical="top" textRotation="0" wrapText="1" indent="0" justifyLastLine="0" shrinkToFit="0" readingOrder="0"/>
    </dxf>
    <dxf>
      <numFmt numFmtId="166" formatCode="mm/dd/yyyy"/>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166" formatCode="mm/dd/yyyy"/>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Problems by Confidence</a:t>
            </a:r>
          </a:p>
        </c:rich>
      </c:tx>
      <c:overlay val="1"/>
    </c:title>
    <c:autoTitleDeleted val="0"/>
    <c:plotArea>
      <c:layout/>
      <c:barChart>
        <c:barDir val="col"/>
        <c:grouping val="clustered"/>
        <c:varyColors val="0"/>
        <c:ser>
          <c:idx val="0"/>
          <c:order val="0"/>
          <c:tx>
            <c:v>Count</c:v>
          </c:tx>
          <c:invertIfNegative val="1"/>
          <c:cat>
            <c:strRef>
              <c:f>Dashboard!$D$4:$D$6</c:f>
              <c:strCache>
                <c:ptCount val="3"/>
                <c:pt idx="0">
                  <c:v>High</c:v>
                </c:pt>
                <c:pt idx="1">
                  <c:v>Medium</c:v>
                </c:pt>
                <c:pt idx="2">
                  <c:v>Low</c:v>
                </c:pt>
              </c:strCache>
            </c:strRef>
          </c:cat>
          <c:val>
            <c:numRef>
              <c:f>Dashboard!$E$4:$E$6</c:f>
              <c:numCache>
                <c:formatCode>0</c:formatCode>
                <c:ptCount val="3"/>
                <c:pt idx="0">
                  <c:v>16</c:v>
                </c:pt>
                <c:pt idx="1">
                  <c:v>20</c:v>
                </c:pt>
                <c:pt idx="2">
                  <c:v>4</c:v>
                </c:pt>
              </c:numCache>
            </c:numRef>
          </c:val>
          <c:extLst>
            <c:ext xmlns:c16="http://schemas.microsoft.com/office/drawing/2014/chart" uri="{C3380CC4-5D6E-409C-BE32-E72D297353CC}">
              <c16:uniqueId val="{00000000-DCD6-4DA0-9A80-D9937D273FF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Problems by Pattern</a:t>
            </a:r>
          </a:p>
        </c:rich>
      </c:tx>
      <c:overlay val="1"/>
    </c:title>
    <c:autoTitleDeleted val="0"/>
    <c:plotArea>
      <c:layout/>
      <c:barChart>
        <c:barDir val="col"/>
        <c:grouping val="clustered"/>
        <c:varyColors val="0"/>
        <c:ser>
          <c:idx val="0"/>
          <c:order val="0"/>
          <c:tx>
            <c:v>Count</c:v>
          </c:tx>
          <c:invertIfNegative val="1"/>
          <c:cat>
            <c:strRef>
              <c:f>Dashboard!$A$12:$A$18</c:f>
              <c:strCache>
                <c:ptCount val="7"/>
                <c:pt idx="0">
                  <c:v>Redo Queue</c:v>
                </c:pt>
                <c:pt idx="1">
                  <c:v>Contains Duplicate</c:v>
                </c:pt>
                <c:pt idx="2">
                  <c:v>Maximum Average Subarray I</c:v>
                </c:pt>
                <c:pt idx="3">
                  <c:v>Find Pivot Integer</c:v>
                </c:pt>
                <c:pt idx="4">
                  <c:v>Smallest Integer Divisible by K</c:v>
                </c:pt>
                <c:pt idx="5">
                  <c:v>Self Dividing Numbers</c:v>
                </c:pt>
                <c:pt idx="6">
                  <c:v>Subarray Sum Equals K</c:v>
                </c:pt>
              </c:strCache>
            </c:strRef>
          </c:cat>
          <c:val>
            <c:numRef>
              <c:f>Dashboard!$B$12:$B$18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31FC-4BCC-B034-04858F1456C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13</xdr:col>
      <xdr:colOff>0</xdr:colOff>
      <xdr:row>12</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13</xdr:row>
      <xdr:rowOff>0</xdr:rowOff>
    </xdr:from>
    <xdr:to>
      <xdr:col>13</xdr:col>
      <xdr:colOff>0</xdr:colOff>
      <xdr:row>28</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etCodeTracker" displayName="LeetCodeTracker" ref="A3:S882">
  <autoFilter ref="A3:S882" xr:uid="{00000000-0009-0000-0100-000001000000}"/>
  <tableColumns count="19">
    <tableColumn id="1" xr3:uid="{00000000-0010-0000-0000-000001000000}" name="#" dataDxfId="30">
      <calculatedColumnFormula>IF(B4="","",ROW()-3)</calculatedColumnFormula>
    </tableColumn>
    <tableColumn id="2" xr3:uid="{00000000-0010-0000-0000-000002000000}" name="Problem"/>
    <tableColumn id="3" xr3:uid="{00000000-0010-0000-0000-000003000000}" name="Link"/>
    <tableColumn id="4" xr3:uid="{00000000-0010-0000-0000-000004000000}" name="Topic"/>
    <tableColumn id="5" xr3:uid="{00000000-0010-0000-0000-000005000000}" name="Pattern"/>
    <tableColumn id="6" xr3:uid="{00000000-0010-0000-0000-000006000000}" name="Difficulty"/>
    <tableColumn id="7" xr3:uid="{00000000-0010-0000-0000-000007000000}" name="Date Solved"/>
    <tableColumn id="8" xr3:uid="{00000000-0010-0000-0000-000008000000}" name="Key Idea"/>
    <tableColumn id="9" xr3:uid="{00000000-0010-0000-0000-000009000000}" name="Key Trick"/>
    <tableColumn id="10" xr3:uid="{00000000-0010-0000-0000-00000A000000}" name="Mistake I Made"/>
    <tableColumn id="11" xr3:uid="{00000000-0010-0000-0000-00000B000000}" name="Time Complexity"/>
    <tableColumn id="12" xr3:uid="{00000000-0010-0000-0000-00000C000000}" name="Space Complexity"/>
    <tableColumn id="13" xr3:uid="{00000000-0010-0000-0000-00000D000000}" name="Confidence"/>
    <tableColumn id="15" xr3:uid="{00000000-0010-0000-0000-00000F000000}" name="Redo?"/>
    <tableColumn id="16" xr3:uid="{00000000-0010-0000-0000-000010000000}" name="Next Redo Date"/>
    <tableColumn id="17" xr3:uid="{00000000-0010-0000-0000-000011000000}" name="Last Redo Done"/>
    <tableColumn id="18" xr3:uid="{00000000-0010-0000-0000-000012000000}" name="Status"/>
    <tableColumn id="19" xr3:uid="{00000000-0010-0000-0000-000013000000}" name="Notes"/>
    <tableColumn id="14" xr3:uid="{00000000-0010-0000-0000-00000E000000}" name="Solution 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atternGuide" displayName="PatternGuide" ref="A3:G10">
  <tableColumns count="7">
    <tableColumn id="1" xr3:uid="{00000000-0010-0000-0100-000001000000}" name="Pattern"/>
    <tableColumn id="2" xr3:uid="{00000000-0010-0000-0100-000002000000}" name="Use When"/>
    <tableColumn id="3" xr3:uid="{00000000-0010-0000-0100-000003000000}" name="Core Methodology"/>
    <tableColumn id="4" xr3:uid="{00000000-0010-0000-0100-000004000000}" name="Key Lines / Tricks"/>
    <tableColumn id="5" xr3:uid="{00000000-0010-0000-0100-000005000000}" name="Example Problems"/>
    <tableColumn id="6" xr3:uid="{00000000-0010-0000-0100-000006000000}" name="Common Mistake"/>
    <tableColumn id="7" xr3:uid="{00000000-0010-0000-0100-000007000000}" name="Confidence Ru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6D2439-A4C7-406C-83BA-45AAE3C18E63}" name="Table3" displayName="Table3" ref="A3:XFC97" totalsRowShown="0">
  <autoFilter ref="A3:XFC97" xr:uid="{A26D2439-A4C7-406C-83BA-45AAE3C18E63}"/>
  <tableColumns count="16383">
    <tableColumn id="1" xr3:uid="{6D0744F8-4900-43E2-B1F5-8C68B19AFB41}" name="#" dataDxfId="29">
      <calculatedColumnFormula>IF(B4="","",ROW()-3)</calculatedColumnFormula>
    </tableColumn>
    <tableColumn id="2" xr3:uid="{DD8357F4-8FAF-4F31-9650-106D2912CA0A}" name="Problem" dataDxfId="28"/>
    <tableColumn id="3" xr3:uid="{0B286EAE-A133-4371-8821-A595B19049A1}" name="Link" dataDxfId="27"/>
    <tableColumn id="5" xr3:uid="{13294508-46D4-48AD-8E3B-3BAB1A386229}" name="Topic" dataDxfId="26"/>
    <tableColumn id="6" xr3:uid="{01006EC8-63C9-4A05-AFFE-D6533A2B0BF4}" name="Pattern" dataDxfId="25"/>
    <tableColumn id="7" xr3:uid="{20B78EEB-E94E-43AF-9620-50E4F72B3224}" name="Difficulty" dataDxfId="24"/>
    <tableColumn id="8" xr3:uid="{9D7EFD5F-7B6A-42A2-B69F-0E313DCCF7E7}" name="Date Solved" dataDxfId="23"/>
    <tableColumn id="9" xr3:uid="{F18368E4-6FDC-4BFC-854E-F0C7389CA480}" name="Key Idea" dataDxfId="22"/>
    <tableColumn id="10" xr3:uid="{1919AD2B-1781-495C-97C4-A162D00C5223}" name="Key Trick" dataDxfId="21"/>
    <tableColumn id="11" xr3:uid="{9D0BDA4B-02F2-464E-8CC5-78171ED51D26}" name="Mistake to Remember" dataDxfId="20"/>
    <tableColumn id="12" xr3:uid="{9FAD0EBF-BFE8-40EA-9E4D-C08A8A50AB60}" name="Key Clauses" dataDxfId="19"/>
    <tableColumn id="13" xr3:uid="{0F99DEF4-BF37-4EB1-ADFE-3BA8598F3022}" name="Confidence" dataDxfId="18"/>
    <tableColumn id="14" xr3:uid="{1634CCBD-21E1-4AD4-B25F-7FD5A7DF8602}" name="Redo?" dataDxfId="17"/>
    <tableColumn id="15" xr3:uid="{B6DAFE47-96F8-47F6-90B3-55ACC20725CB}" name="Next Redo Date" dataDxfId="16">
      <calculatedColumnFormula>IF(OR(B4="",M4&lt;&gt;"Yes"),"",IF(O4&lt;&gt;"",O4+IF(L4="Low",3,IF(L4="Medium",7,21)),G4+IF(L4="Low",2,IF(L4="Medium",5,14))))</calculatedColumnFormula>
    </tableColumn>
    <tableColumn id="16" xr3:uid="{5249A7A6-83A3-4C2F-AFFE-B53D74778681}" name="Last Redo Done" dataDxfId="15"/>
    <tableColumn id="17" xr3:uid="{919AF0F2-D01A-4C33-A479-27BD286DAE8C}" name="Status" dataDxfId="14"/>
    <tableColumn id="18" xr3:uid="{B26FE421-1611-4A62-9358-0707EBD15DC5}" name="Notes" dataDxfId="13"/>
    <tableColumn id="19" xr3:uid="{121054FA-0D58-450E-BF58-CEC696C33073}" name="Solution / Query Link" dataDxfId="12"/>
    <tableColumn id="20" xr3:uid="{019E6D5B-C648-48BB-AA5A-DEB43D84924F}" name="Column1"/>
    <tableColumn id="21" xr3:uid="{4EAFA231-4ED7-4AC0-80E3-F26D5D467845}" name="Column2"/>
    <tableColumn id="22" xr3:uid="{784AAB5D-C38E-4B9D-B8F9-73315CF21B83}" name="Column3"/>
    <tableColumn id="23" xr3:uid="{1A27CBA7-86F5-478B-B718-769326B44F6E}" name="Column4" dataDxfId="11">
      <calculatedColumnFormula>IF(OR(J4="",U4&lt;&gt;"Yes"),"",IF(W4&lt;&gt;"",W4+IF(T4="Low",3,IF(T4="Medium",7,21)),O4+IF(T4="Low",2,IF(T4="Medium",5,14))))</calculatedColumnFormula>
    </tableColumn>
    <tableColumn id="24" xr3:uid="{7B3C8205-5118-4425-8DA8-3644B4E6A916}" name="Column5"/>
    <tableColumn id="25" xr3:uid="{230F289E-3C7A-4988-AC21-D9F5DF5E1F7F}" name="Column6"/>
    <tableColumn id="26" xr3:uid="{862CB436-CA59-4B14-9800-9AD48B0C4F15}" name="Column7"/>
    <tableColumn id="27" xr3:uid="{F8288197-ADB2-4029-B2E5-5BE05EC0EEBC}" name="Column8"/>
    <tableColumn id="28" xr3:uid="{E9420C3F-58DC-45B1-9ACD-ADD217835528}" name="Column9"/>
    <tableColumn id="29" xr3:uid="{B94CBA4D-1DE5-4734-8365-F7B6BC17E76C}" name="Column10"/>
    <tableColumn id="30" xr3:uid="{BE9CB8DC-667F-4E1C-9D1A-2141C037DC81}" name="Column11"/>
    <tableColumn id="31" xr3:uid="{D43B97EA-7671-4E86-BB59-FEB9891E634B}" name="Column12"/>
    <tableColumn id="32" xr3:uid="{3D3AA169-3320-4F7F-BEC2-BED316AADD40}" name="Column13"/>
    <tableColumn id="33" xr3:uid="{15612A40-662A-4EC6-BCF9-55153D509DF0}" name="Column14"/>
    <tableColumn id="34" xr3:uid="{4CA8524D-B28A-46FF-A63B-F053CB119A4E}" name="Column15"/>
    <tableColumn id="35" xr3:uid="{4CC447AA-58C6-4B55-9DD3-2975A4421317}" name="Column16"/>
    <tableColumn id="36" xr3:uid="{E4F8384E-FA18-4268-A284-35AD5675B6C4}" name="Column17"/>
    <tableColumn id="37" xr3:uid="{12C44924-FA0F-4B8B-BBE4-F5684FD250C0}" name="Column18"/>
    <tableColumn id="38" xr3:uid="{D3DB5539-C496-4486-B03C-4425B8317CCE}" name="Column19"/>
    <tableColumn id="39" xr3:uid="{A7744FEA-2F32-4935-97EE-C155196014E9}" name="Column20"/>
    <tableColumn id="40" xr3:uid="{0A55D685-F7E1-4BE5-91E4-D4AC7DDE22D8}" name="Column21"/>
    <tableColumn id="41" xr3:uid="{94F02EC9-FE8C-4040-AE49-C8BA843EC33A}" name="Column22"/>
    <tableColumn id="42" xr3:uid="{7861E5D6-6098-44B1-B518-641E47E3C9E9}" name="Column23"/>
    <tableColumn id="43" xr3:uid="{954337CA-AB26-4F17-976B-AC49C9F93271}" name="Column24"/>
    <tableColumn id="44" xr3:uid="{56E393D0-4F5D-4F38-B9BA-DF18E15B0A3B}" name="Column25"/>
    <tableColumn id="45" xr3:uid="{C5895D63-8705-4E10-9E2F-3F17C0FFC228}" name="Column26"/>
    <tableColumn id="46" xr3:uid="{2DAE8C36-EA45-497F-9523-83446AE05FF1}" name="Column27"/>
    <tableColumn id="47" xr3:uid="{50F2F353-A472-4596-9F56-1EE27C02C40C}" name="Column28"/>
    <tableColumn id="48" xr3:uid="{71C686AE-3385-4416-B0D3-3623DEA8ABB9}" name="Column29"/>
    <tableColumn id="49" xr3:uid="{2924925B-589B-4A32-AC85-D6886F651F8E}" name="Column30"/>
    <tableColumn id="50" xr3:uid="{6CD731FD-76A9-4439-94FD-75A43087B5D4}" name="Column31"/>
    <tableColumn id="51" xr3:uid="{60A837BF-2F1D-4865-8243-0F5A4F2F0E1D}" name="Column32"/>
    <tableColumn id="52" xr3:uid="{D20F3177-DD42-4927-BEB7-3BF73571636F}" name="Column33"/>
    <tableColumn id="53" xr3:uid="{AC655F1E-E936-4DA9-A2F7-B3C1A435D9A0}" name="Column34"/>
    <tableColumn id="54" xr3:uid="{60A49054-938A-4B4E-AC52-C1659092657E}" name="Column35"/>
    <tableColumn id="55" xr3:uid="{736FE0FC-0952-47C2-AC42-99110BDE6084}" name="Column36"/>
    <tableColumn id="56" xr3:uid="{7DDBBF14-9448-4837-8E6D-460E5CCF6990}" name="Column37"/>
    <tableColumn id="57" xr3:uid="{DEB07CF8-F58B-49FB-9EB8-1E0FEFA019E0}" name="Column38"/>
    <tableColumn id="58" xr3:uid="{599838A8-316B-4EEB-8E0D-54D0B3522AEE}" name="Column39"/>
    <tableColumn id="59" xr3:uid="{F3469C92-572B-4707-B50C-44E67AB6165C}" name="Column40"/>
    <tableColumn id="60" xr3:uid="{B6DF8A3A-2F14-43D7-8BC9-B08111BCC363}" name="Column41"/>
    <tableColumn id="61" xr3:uid="{CC75B195-209E-46F5-9AB2-DF508BB51F2E}" name="Column42"/>
    <tableColumn id="62" xr3:uid="{CADA2641-BEBC-4777-AF62-182709AB2416}" name="Column43"/>
    <tableColumn id="63" xr3:uid="{D230A587-B069-4529-9058-CB1E21653D3F}" name="Column44"/>
    <tableColumn id="64" xr3:uid="{4D380851-A1AD-4C3D-BA74-2E2D7FD35222}" name="Column45"/>
    <tableColumn id="65" xr3:uid="{2A6CDDE7-7FCD-4498-A291-33F639D59706}" name="Column46"/>
    <tableColumn id="66" xr3:uid="{DC6947B0-1AA8-4369-8BA3-7FEEC596E46F}" name="Column47"/>
    <tableColumn id="67" xr3:uid="{028AF22B-7E54-4415-895A-5F7EB2237C88}" name="Column48"/>
    <tableColumn id="68" xr3:uid="{AFE06B92-325B-44E1-A2FF-9DC1C0F74025}" name="Column49"/>
    <tableColumn id="69" xr3:uid="{0D70CA1F-C232-4559-8B62-C5574B1C8247}" name="Column50"/>
    <tableColumn id="70" xr3:uid="{26834BD8-C6E7-4C55-A873-E75AB130B62F}" name="Column51"/>
    <tableColumn id="71" xr3:uid="{50D4E9CA-770D-45F3-8002-C19D9EBF124D}" name="Column52"/>
    <tableColumn id="72" xr3:uid="{69357F97-C14A-4A44-B545-2BE3E820B197}" name="Column53"/>
    <tableColumn id="73" xr3:uid="{D9758EEA-6FB1-4281-948D-F11658EA295F}" name="Column54"/>
    <tableColumn id="74" xr3:uid="{9013B302-34C3-4672-B7CC-A840A04D610A}" name="Column55"/>
    <tableColumn id="75" xr3:uid="{66F5575B-B3A0-4785-9F3B-4B101F523E6D}" name="Column56"/>
    <tableColumn id="76" xr3:uid="{DC2E8713-7D32-4C43-8320-0B1718B4D7C7}" name="Column57"/>
    <tableColumn id="77" xr3:uid="{D67399F8-47B4-4738-ACF8-C9E93CA80F0E}" name="Column58"/>
    <tableColumn id="78" xr3:uid="{A1D3BF7A-B491-4503-A060-F1C713C1BEB3}" name="Column59"/>
    <tableColumn id="79" xr3:uid="{20C2FD26-A047-4568-8620-1DC852955573}" name="Column60"/>
    <tableColumn id="80" xr3:uid="{4A622335-5F76-477D-BD82-8B0587BC0B61}" name="Column61"/>
    <tableColumn id="81" xr3:uid="{1C2C4C7C-D0F1-4AAF-8650-76BC97112088}" name="Column62"/>
    <tableColumn id="82" xr3:uid="{860C55C6-37CB-4A2A-990C-0FE63DE77790}" name="Column63"/>
    <tableColumn id="83" xr3:uid="{27D8FEB1-8344-4EF8-B1B2-97CF582240D4}" name="Column64"/>
    <tableColumn id="84" xr3:uid="{0022612A-A9C1-4216-A313-EE88E8132E59}" name="Column65"/>
    <tableColumn id="85" xr3:uid="{54113F3D-0A57-4969-B18C-BD580269D870}" name="Column66"/>
    <tableColumn id="86" xr3:uid="{17FA6E8B-ED81-4F7E-9178-0C7AE8DBBB5E}" name="Column67"/>
    <tableColumn id="87" xr3:uid="{F1314169-BD49-4E81-9C95-E9D5083F94D7}" name="Column68"/>
    <tableColumn id="88" xr3:uid="{E1553859-9338-4781-9591-763C3038F2F2}" name="Column69"/>
    <tableColumn id="89" xr3:uid="{159A2F25-E518-415C-AC47-4503F4A72973}" name="Column70"/>
    <tableColumn id="90" xr3:uid="{E480EBAB-D443-48C9-BC5B-D79EFF1985FE}" name="Column71"/>
    <tableColumn id="91" xr3:uid="{50DDF541-8FD1-4844-8F18-73598772999C}" name="Column72"/>
    <tableColumn id="92" xr3:uid="{F98BE8D4-48EB-4C77-965C-05DC6EA91E84}" name="Column73"/>
    <tableColumn id="93" xr3:uid="{19B30FCA-AEA1-41BE-9A31-CE20529C0F77}" name="Column74"/>
    <tableColumn id="94" xr3:uid="{4B61EAD2-9246-4FDA-A47B-8045EE70ED1A}" name="Column75"/>
    <tableColumn id="95" xr3:uid="{505BAF2D-4F44-4D89-B5AD-A9CD91E2A426}" name="Column76"/>
    <tableColumn id="96" xr3:uid="{091EEE63-B0C0-4087-B6C6-5C1B4A7BCC56}" name="Column77"/>
    <tableColumn id="97" xr3:uid="{7DB13032-7B08-4E0D-8DEA-30329707C0CF}" name="Column78"/>
    <tableColumn id="98" xr3:uid="{419DDFB9-EDD4-49F7-B3DC-563AF49DBD6C}" name="Column79"/>
    <tableColumn id="99" xr3:uid="{5FBDA89C-EE6D-4AF5-A904-E207A99735A7}" name="Column80"/>
    <tableColumn id="100" xr3:uid="{EA0ACD95-50C5-4A4A-897B-E5CA94927EA5}" name="Column81"/>
    <tableColumn id="101" xr3:uid="{E4F8E701-627C-4EFB-B27B-5AD46EB57C50}" name="Column82"/>
    <tableColumn id="102" xr3:uid="{66C576F6-0489-48E3-85A6-513B791CB8B2}" name="Column83"/>
    <tableColumn id="103" xr3:uid="{9D04260D-B947-4048-8586-9606704F3EDF}" name="Column84"/>
    <tableColumn id="104" xr3:uid="{A7E22D07-D31B-4A40-92E0-C247DF20562B}" name="Column85"/>
    <tableColumn id="105" xr3:uid="{F84E6367-9BFB-4524-AA49-AA491F949F2B}" name="Column86"/>
    <tableColumn id="106" xr3:uid="{8B567D32-1ADD-4205-8AA4-35ABCBB00054}" name="Column87"/>
    <tableColumn id="107" xr3:uid="{A1455640-D838-4B56-98E7-C8066EC68AF0}" name="Column88"/>
    <tableColumn id="108" xr3:uid="{B4F0791C-2052-4CD4-BF93-044C1DF4E85D}" name="Column89"/>
    <tableColumn id="109" xr3:uid="{FB9A2C43-2E41-4735-A320-17065A9CF6CA}" name="Column90"/>
    <tableColumn id="110" xr3:uid="{ED0D732A-3825-4A53-AF9B-744FEB20934D}" name="Column91"/>
    <tableColumn id="111" xr3:uid="{3A89194B-05E9-4B59-9CD0-B61465DA221B}" name="Column92"/>
    <tableColumn id="112" xr3:uid="{D1B63B77-53D5-4039-B7BF-C7C08414B776}" name="Column93"/>
    <tableColumn id="113" xr3:uid="{1FCA17B7-2C5E-4656-89CA-813B6D640CBC}" name="Column94"/>
    <tableColumn id="114" xr3:uid="{6AA9EFCD-3BEA-455E-9E99-AA91A739903D}" name="Column95"/>
    <tableColumn id="115" xr3:uid="{F396D894-6AA3-4549-B9FD-BA15E9A7B98F}" name="Column96"/>
    <tableColumn id="116" xr3:uid="{386D21D4-140C-400C-A8C4-6D867D05EA28}" name="Column97"/>
    <tableColumn id="117" xr3:uid="{8B95A8F8-05D1-4CA9-83AF-7934635CBA9B}" name="Column98"/>
    <tableColumn id="118" xr3:uid="{42FDE129-B66A-4819-9393-E23DA7790E05}" name="Column99"/>
    <tableColumn id="119" xr3:uid="{913708F1-AF70-45CC-9ADB-C1199E4F7A32}" name="Column100"/>
    <tableColumn id="120" xr3:uid="{44CA9BBE-C47B-493E-A75E-ED39AAEDBC17}" name="Column101"/>
    <tableColumn id="121" xr3:uid="{7B783316-4ED8-4979-8318-93C419A19B4C}" name="Column102"/>
    <tableColumn id="122" xr3:uid="{886217E6-1D09-40BD-B34F-3F377D02A3A2}" name="Column103"/>
    <tableColumn id="123" xr3:uid="{14596B96-D10D-497C-8333-C12F8BFCBCD3}" name="Column104"/>
    <tableColumn id="124" xr3:uid="{F2A28313-5FDE-412D-BC81-D0B507A30CE2}" name="Column105"/>
    <tableColumn id="125" xr3:uid="{D18C0006-BC95-4603-9CD8-719278520BE7}" name="Column106"/>
    <tableColumn id="126" xr3:uid="{BB44CD04-6FC3-45AD-8858-757196C3A7F9}" name="Column107"/>
    <tableColumn id="127" xr3:uid="{89CBBDDD-CE1E-49F5-8024-A26652540245}" name="Column108"/>
    <tableColumn id="128" xr3:uid="{BDE71410-0222-4492-8386-4140073435F9}" name="Column109"/>
    <tableColumn id="129" xr3:uid="{FC5FA78E-13E1-4106-AC81-F0ED1996CF7A}" name="Column110"/>
    <tableColumn id="130" xr3:uid="{5F7FF58D-AB0A-492A-98E5-FC87CB0CBC90}" name="Column111"/>
    <tableColumn id="131" xr3:uid="{A6BB8B07-6654-477A-9101-0E752995E4B5}" name="Column112"/>
    <tableColumn id="132" xr3:uid="{283EDA1E-08E2-483E-B5F8-A574E5717E0E}" name="Column113"/>
    <tableColumn id="133" xr3:uid="{B71DED5A-28EE-4798-85FF-FE39674AD2A5}" name="Column114"/>
    <tableColumn id="134" xr3:uid="{B3C89DF8-3E1A-45FF-BB27-438141734506}" name="Column115"/>
    <tableColumn id="135" xr3:uid="{74F4159E-F861-4FBB-A1B1-2261D3D414C1}" name="Column116"/>
    <tableColumn id="136" xr3:uid="{9682B2B5-06DC-4926-ABF0-7CC7387B53C3}" name="Column117"/>
    <tableColumn id="137" xr3:uid="{B743BD90-81BC-42F3-BA9B-8E172DF54C87}" name="Column118"/>
    <tableColumn id="138" xr3:uid="{DE515A32-775B-43AE-BBD4-8822B127E41B}" name="Column119"/>
    <tableColumn id="139" xr3:uid="{1C527DA6-3F13-4E5E-9BB5-C4B3A88CE879}" name="Column120"/>
    <tableColumn id="140" xr3:uid="{26D69F6A-3CCC-456D-AE62-CAD05DF9140C}" name="Column121"/>
    <tableColumn id="141" xr3:uid="{570B594C-49DF-49DC-8493-5DF4DE301343}" name="Column122"/>
    <tableColumn id="142" xr3:uid="{B0E64A83-4DE0-4DDC-B470-4A580B28E765}" name="Column123"/>
    <tableColumn id="143" xr3:uid="{4DE64727-CA0E-4084-A656-E1ECA525ADAB}" name="Column124"/>
    <tableColumn id="144" xr3:uid="{5C6CA9BA-BF0D-41D1-8F88-3C97827ACC3D}" name="Column125"/>
    <tableColumn id="145" xr3:uid="{66C84B9E-8297-496F-A3DF-4D57235D8534}" name="Column126"/>
    <tableColumn id="146" xr3:uid="{B3FB73A4-11E8-4BA4-BB8B-E841D6B2F509}" name="Column127"/>
    <tableColumn id="147" xr3:uid="{478046C4-B3DF-49FA-9C02-226E44A075D6}" name="Column128"/>
    <tableColumn id="148" xr3:uid="{63663450-2306-4957-9BFF-43E88D558CC8}" name="Column129"/>
    <tableColumn id="149" xr3:uid="{362186CE-1666-445B-93E8-34D232ACE2AB}" name="Column130"/>
    <tableColumn id="150" xr3:uid="{472A9E29-AECF-4DA6-9F16-AEBF143E799F}" name="Column131"/>
    <tableColumn id="151" xr3:uid="{83A7E89E-2F8E-4B81-A2D1-CAF51354C376}" name="Column132"/>
    <tableColumn id="152" xr3:uid="{0EF512BA-8C2E-499D-B32E-BD3703873F4A}" name="Column133"/>
    <tableColumn id="153" xr3:uid="{EDD9FBF5-1900-4756-9D02-A616E7C13449}" name="Column134"/>
    <tableColumn id="154" xr3:uid="{E44EDEBF-A319-461A-827C-3F24455402D5}" name="Column135"/>
    <tableColumn id="155" xr3:uid="{AD785290-9ECF-4354-A294-17171720A5E8}" name="Column136"/>
    <tableColumn id="156" xr3:uid="{824808A7-2AAA-4142-AAB0-8F920974FAD5}" name="Column137"/>
    <tableColumn id="157" xr3:uid="{2DEB7361-C5E3-4635-9B06-C4D5845139D9}" name="Column138"/>
    <tableColumn id="158" xr3:uid="{DE354D2B-12C4-4E97-9DBD-3B6B18F68B89}" name="Column139"/>
    <tableColumn id="159" xr3:uid="{8F7B270C-FB2D-42E1-9514-D74E635E58DB}" name="Column140"/>
    <tableColumn id="160" xr3:uid="{B58AB833-BC07-484B-9385-7A10D806DFA2}" name="Column141"/>
    <tableColumn id="161" xr3:uid="{28F2C970-4D2D-4D47-A04C-0290C9044688}" name="Column142"/>
    <tableColumn id="162" xr3:uid="{7F6531C6-027B-4934-B0D3-7FCC29D5D366}" name="Column143"/>
    <tableColumn id="163" xr3:uid="{6630106D-E383-403E-80E0-BFF657D0713E}" name="Column144"/>
    <tableColumn id="164" xr3:uid="{BD441055-23EA-434A-8EB5-AF3B0B59FD55}" name="Column145"/>
    <tableColumn id="165" xr3:uid="{8D38FB2D-8519-4102-9E08-AC2F6FB72AA4}" name="Column146"/>
    <tableColumn id="166" xr3:uid="{6C563BDA-B491-4E94-A439-BDB5CF4AE789}" name="Column147"/>
    <tableColumn id="167" xr3:uid="{FCF2E734-3066-48BA-BFF1-8A1A427E1A1F}" name="Column148"/>
    <tableColumn id="168" xr3:uid="{BA03FFC7-BCDE-4F16-92F7-A7343653D256}" name="Column149"/>
    <tableColumn id="169" xr3:uid="{1D26B0C5-32F7-42CE-880E-F0FCD87BEA31}" name="Column150"/>
    <tableColumn id="170" xr3:uid="{00E0600B-FD06-4662-ACAC-0DA99B48FA7C}" name="Column151"/>
    <tableColumn id="171" xr3:uid="{228D0523-3B27-4292-8E2A-D45B127707AA}" name="Column152"/>
    <tableColumn id="172" xr3:uid="{A9C53044-B9E0-4357-80FA-BAE0B9EA839D}" name="Column153"/>
    <tableColumn id="173" xr3:uid="{D5FC3545-A612-474F-BC8F-C94CA1E3C4DC}" name="Column154"/>
    <tableColumn id="174" xr3:uid="{6CB6B38A-B1DB-4FEC-89D4-8BDDBA96205F}" name="Column155"/>
    <tableColumn id="175" xr3:uid="{6BD03F7F-5EDE-4667-96CE-91518F94D038}" name="Column156"/>
    <tableColumn id="176" xr3:uid="{2C11F5CF-0E47-4356-B179-1AF1F84A9A29}" name="Column157"/>
    <tableColumn id="177" xr3:uid="{016BFF23-8BC4-4FC6-A694-7F206A2BDB6D}" name="Column158"/>
    <tableColumn id="178" xr3:uid="{F7FD5642-2CD0-4606-9A41-207C92954EC1}" name="Column159"/>
    <tableColumn id="179" xr3:uid="{07BEF20A-321D-41EA-9C30-0015299A1A75}" name="Column160"/>
    <tableColumn id="180" xr3:uid="{24AF29A1-D60F-4D13-88B9-035D8EADB90F}" name="Column161"/>
    <tableColumn id="181" xr3:uid="{4FB51ABF-C6A4-4291-938A-23E95613CCEE}" name="Column162"/>
    <tableColumn id="182" xr3:uid="{DD43D419-B2A9-4B1B-B00C-6091C5B4A610}" name="Column163"/>
    <tableColumn id="183" xr3:uid="{E15950B9-DFD0-4D70-BA72-B876DF4F3ADC}" name="Column164"/>
    <tableColumn id="184" xr3:uid="{D84DA957-952D-47D3-B153-9D095BDE22CB}" name="Column165"/>
    <tableColumn id="185" xr3:uid="{51A9A811-F96D-4CDC-B618-F8341A58F44C}" name="Column166"/>
    <tableColumn id="186" xr3:uid="{F730AE3A-FAC7-4DBB-8E32-99D536A13C0C}" name="Column167"/>
    <tableColumn id="187" xr3:uid="{03B203E0-5574-4792-BAAB-C24390A789FF}" name="Column168"/>
    <tableColumn id="188" xr3:uid="{ABFD8270-E397-4177-AA39-2A5408398CF3}" name="Column169"/>
    <tableColumn id="189" xr3:uid="{51660D08-3737-4C07-B6B8-607588F8DFC0}" name="Column170"/>
    <tableColumn id="190" xr3:uid="{3B6DE7A9-E2A5-454E-A89F-894EDF437A20}" name="Column171"/>
    <tableColumn id="191" xr3:uid="{95EE9B58-766E-4A09-A5A8-8E27B6BB27C5}" name="Column172"/>
    <tableColumn id="192" xr3:uid="{D1E60C13-9378-4E41-A0B0-4688464DB05B}" name="Column173"/>
    <tableColumn id="193" xr3:uid="{6F59C145-8D00-47D0-8938-9813E0A6141A}" name="Column174"/>
    <tableColumn id="194" xr3:uid="{03C1120B-10F1-4C16-B24D-8A5EF1F9A5B7}" name="Column175"/>
    <tableColumn id="195" xr3:uid="{CEC68192-A6E7-42A6-990F-3426495446F7}" name="Column176"/>
    <tableColumn id="196" xr3:uid="{A9C61517-FB8F-41B4-9EF9-7D0E1A3170CF}" name="Column177"/>
    <tableColumn id="197" xr3:uid="{097E453B-5461-45DC-9B4B-C852F2132CFD}" name="Column178"/>
    <tableColumn id="198" xr3:uid="{8E1CB6B2-E81E-4891-90F5-0308BC70CA89}" name="Column179"/>
    <tableColumn id="199" xr3:uid="{B4A210CF-3848-44A6-A7A3-B51408C6B2BA}" name="Column180"/>
    <tableColumn id="200" xr3:uid="{40801205-E6ED-4519-8F1F-FDD460F8D1E8}" name="Column181"/>
    <tableColumn id="201" xr3:uid="{E6804641-DE9B-415E-80C8-63FE73677B4D}" name="Column182"/>
    <tableColumn id="202" xr3:uid="{9DD473CD-C27A-4DD2-9932-84BF6173850A}" name="Column183"/>
    <tableColumn id="203" xr3:uid="{37A9CEF8-AFE8-4D6D-B425-0FB42D711A08}" name="Column184"/>
    <tableColumn id="204" xr3:uid="{7ABD74AF-E460-4AC6-943C-A4CFD01D346B}" name="Column185"/>
    <tableColumn id="205" xr3:uid="{04CD4647-A03C-47F3-8D86-BE55B658AC0C}" name="Column186"/>
    <tableColumn id="206" xr3:uid="{6EF16C65-58B2-4F3A-AF0B-C1F331759480}" name="Column187"/>
    <tableColumn id="207" xr3:uid="{4C96B83B-55BD-4FE2-8417-C2659F3DAC7A}" name="Column188"/>
    <tableColumn id="208" xr3:uid="{91FA2A33-A605-4628-8429-E6C26CE62EAE}" name="Column189"/>
    <tableColumn id="209" xr3:uid="{DCFCB000-3B90-4AAE-9B96-B1F860E5DAB5}" name="Column190"/>
    <tableColumn id="210" xr3:uid="{31703AA3-664F-4C97-BFEE-1E52A094C050}" name="Column191"/>
    <tableColumn id="211" xr3:uid="{6C677346-477C-42BB-B376-29DF39D9CCD9}" name="Column192"/>
    <tableColumn id="212" xr3:uid="{119CFB7E-AB82-434F-AAE2-642A18320558}" name="Column193"/>
    <tableColumn id="213" xr3:uid="{58BF69DB-1738-4869-BBA3-CCE198C1CE1E}" name="Column194"/>
    <tableColumn id="214" xr3:uid="{40FAE0D4-E1FB-476A-B262-82CC4A84D2E1}" name="Column195"/>
    <tableColumn id="215" xr3:uid="{53960FF7-32A4-486E-A4E4-F6AB6A0D1067}" name="Column196"/>
    <tableColumn id="216" xr3:uid="{A9A13A15-0202-4744-AD73-CDA4E1EDCF57}" name="Column197"/>
    <tableColumn id="217" xr3:uid="{C0C9E73A-279F-4C03-B5CD-48F550FACEE5}" name="Column198"/>
    <tableColumn id="218" xr3:uid="{16D726EC-74B5-4C49-890C-C36F59A9DEA6}" name="Column199"/>
    <tableColumn id="219" xr3:uid="{6F424441-F0A3-4D1F-9F9A-76467C4B70F7}" name="Column200"/>
    <tableColumn id="220" xr3:uid="{76CE130F-92D9-43DA-AC10-8815D0BB7154}" name="Column201"/>
    <tableColumn id="221" xr3:uid="{B9792A62-2705-41B4-9A60-06F4E10EFCA4}" name="Column202"/>
    <tableColumn id="222" xr3:uid="{518BAB67-52CB-4FEB-9FEA-AF239B61F980}" name="Column203"/>
    <tableColumn id="223" xr3:uid="{D981D7CD-A932-48E2-A6A9-0B568889CCCF}" name="Column204"/>
    <tableColumn id="224" xr3:uid="{7ACA16F0-C2F6-4D38-A7B9-84789BF255C3}" name="Column205"/>
    <tableColumn id="225" xr3:uid="{C9547463-4BBA-4981-BE59-0BB3E11CB6A8}" name="Column206"/>
    <tableColumn id="226" xr3:uid="{8265EB50-3A99-4152-AF77-68EDAACF91FB}" name="Column207"/>
    <tableColumn id="227" xr3:uid="{2E750797-D40F-4BEE-94AE-5247BB08E9CF}" name="Column208"/>
    <tableColumn id="228" xr3:uid="{439A4294-9899-4EA8-8E1E-6812B9248B5C}" name="Column209"/>
    <tableColumn id="229" xr3:uid="{C9F7F75B-87FE-4583-9925-CD3255759CF1}" name="Column210"/>
    <tableColumn id="230" xr3:uid="{B783414E-93A9-4903-AC2D-822D7CEAD5FD}" name="Column211"/>
    <tableColumn id="231" xr3:uid="{147F55C0-24EC-44EE-99F8-38BA04725895}" name="Column212"/>
    <tableColumn id="232" xr3:uid="{1424F219-43E9-4C7D-8D66-C025ED88CD86}" name="Column213"/>
    <tableColumn id="233" xr3:uid="{C9886A2C-6E68-4980-AEC5-81BD9C1B9920}" name="Column214"/>
    <tableColumn id="234" xr3:uid="{B74F50A6-0D36-48A1-A6B5-52914492FD6F}" name="Column215"/>
    <tableColumn id="235" xr3:uid="{56212ED9-6F99-47EB-8FF4-7A5CE8FB3586}" name="Column216"/>
    <tableColumn id="236" xr3:uid="{130BF29A-7559-4D0D-A03D-EB0EC2EEE5C4}" name="Column217"/>
    <tableColumn id="237" xr3:uid="{D5F3E161-7433-4BC5-893A-44203D27B6B4}" name="Column218"/>
    <tableColumn id="238" xr3:uid="{55484618-A425-425E-8752-CE5D40F358E6}" name="Column219"/>
    <tableColumn id="239" xr3:uid="{D03B0CB5-0F71-49B0-B8FE-448B1F01E156}" name="Column220"/>
    <tableColumn id="240" xr3:uid="{A641F98C-AB3C-442E-B2A8-422AB3A1B822}" name="Column221"/>
    <tableColumn id="241" xr3:uid="{91FD5A4E-63B6-4924-ADD5-9EB8B4E21F6D}" name="Column222"/>
    <tableColumn id="242" xr3:uid="{04E32B21-371B-416E-8856-F304716469D1}" name="Column223"/>
    <tableColumn id="243" xr3:uid="{427DA3FD-EB07-4595-9483-9F11A031B9AB}" name="Column224"/>
    <tableColumn id="244" xr3:uid="{0E4337C4-FB1E-4754-8BE9-877AAF1C00C3}" name="Column225"/>
    <tableColumn id="245" xr3:uid="{8C6DFFE8-5743-4389-B932-83F29826212C}" name="Column226"/>
    <tableColumn id="246" xr3:uid="{13E6BF41-064C-44EE-A97F-2B1EF543E286}" name="Column227"/>
    <tableColumn id="247" xr3:uid="{E6D1D4D2-3756-45FF-A908-9DB16EBBA771}" name="Column228"/>
    <tableColumn id="248" xr3:uid="{66DAF8F2-0B6F-49C8-8F20-46BA67043F00}" name="Column229"/>
    <tableColumn id="249" xr3:uid="{1A5D45F4-A4FE-45B2-A2EA-C035E647B032}" name="Column230"/>
    <tableColumn id="250" xr3:uid="{A77F3D65-105C-4D90-96D5-C152B7A73B7D}" name="Column231"/>
    <tableColumn id="251" xr3:uid="{EE621129-3E4A-414B-9E4B-4E4A0C3BA2AE}" name="Column232"/>
    <tableColumn id="252" xr3:uid="{E6E7C21C-39D0-491A-B7F9-58DB14EF99EC}" name="Column233"/>
    <tableColumn id="253" xr3:uid="{0DD32B7F-E950-4091-96DE-344C00627091}" name="Column234"/>
    <tableColumn id="254" xr3:uid="{D109A9CC-0CB6-4A65-84E0-E0BF8A1315A4}" name="Column235"/>
    <tableColumn id="255" xr3:uid="{96E0EC51-AC87-4A3E-BFF2-8F9C6DE1B5C5}" name="Column236"/>
    <tableColumn id="256" xr3:uid="{9125723B-C0A9-4A02-9538-845DB044A041}" name="Column237"/>
    <tableColumn id="257" xr3:uid="{05DC06E9-C3CF-4DD8-88A7-1A95F52EE230}" name="Column238"/>
    <tableColumn id="258" xr3:uid="{3A06D17E-B32B-41DB-B7A7-A6C6BED33EB4}" name="Column239"/>
    <tableColumn id="259" xr3:uid="{6956F1CE-5C20-4F67-9009-752C89D3C245}" name="Column240"/>
    <tableColumn id="260" xr3:uid="{48D75F57-5B05-4DD5-894B-AD1444D20A20}" name="Column241"/>
    <tableColumn id="261" xr3:uid="{FE97C276-4401-40D7-AE54-98146929FF3C}" name="Column242"/>
    <tableColumn id="262" xr3:uid="{5AFB99CB-B03B-4D24-9EFC-99E6D4050BED}" name="Column243"/>
    <tableColumn id="263" xr3:uid="{0A24E9F2-BB45-486F-8B0E-B0A9B7FBDA33}" name="Column244"/>
    <tableColumn id="264" xr3:uid="{6BEEBD8E-6B52-4ADB-BC2A-7883F34F888E}" name="Column245"/>
    <tableColumn id="265" xr3:uid="{FF84AA15-81A6-4403-9347-FB61832B6C57}" name="Column246"/>
    <tableColumn id="266" xr3:uid="{BD121F05-C414-4125-9097-FAD32968E2F9}" name="Column247"/>
    <tableColumn id="267" xr3:uid="{37047E81-D5E9-452C-9A88-CC72AA44A768}" name="Column248"/>
    <tableColumn id="268" xr3:uid="{D5C04C27-970C-44C5-937A-5086BA567C11}" name="Column249"/>
    <tableColumn id="269" xr3:uid="{D2005DB4-7603-4518-9421-40371CC48110}" name="Column250"/>
    <tableColumn id="270" xr3:uid="{114D350D-F6E5-4729-87AD-984E1418842F}" name="Column251"/>
    <tableColumn id="271" xr3:uid="{0AACE478-9076-476D-B540-5F8046C8B731}" name="Column252"/>
    <tableColumn id="272" xr3:uid="{0BCC30D0-5DDA-4083-AC3C-B036F8DC13EB}" name="Column253"/>
    <tableColumn id="273" xr3:uid="{C1008483-5500-4A32-A710-E863B0CA1048}" name="Column254"/>
    <tableColumn id="274" xr3:uid="{CB79B878-B891-41B8-8159-CB433CD30E1C}" name="Column255"/>
    <tableColumn id="275" xr3:uid="{82B30F9A-7B24-4201-8E88-F3854078A20D}" name="Column256"/>
    <tableColumn id="276" xr3:uid="{E54349A3-351E-4B55-A69B-E7C50C188874}" name="Column257"/>
    <tableColumn id="277" xr3:uid="{7B0EFE2A-E965-48E7-9995-940D84B2ECA7}" name="Column258"/>
    <tableColumn id="278" xr3:uid="{6731CC5E-317B-4D36-9D8D-AD670E2EC170}" name="Column259"/>
    <tableColumn id="279" xr3:uid="{923F3E1A-6B67-4E92-B1C2-C6B8B5395029}" name="Column260"/>
    <tableColumn id="280" xr3:uid="{99C90AC8-F578-4979-9BA1-762042B32B87}" name="Column261"/>
    <tableColumn id="281" xr3:uid="{A0C29435-54D0-4397-A830-F5CDA8EE572B}" name="Column262"/>
    <tableColumn id="282" xr3:uid="{DB474689-1CBB-4D5F-A8C4-E93FC28A1EF4}" name="Column263"/>
    <tableColumn id="283" xr3:uid="{1D1C9C3D-8958-457B-BB5C-262681015568}" name="Column264"/>
    <tableColumn id="284" xr3:uid="{FFE90B3B-4990-418A-90E4-4FB3BCB64420}" name="Column265"/>
    <tableColumn id="285" xr3:uid="{E903E258-0C9D-4C93-A156-8358A79D5038}" name="Column266"/>
    <tableColumn id="286" xr3:uid="{4B29E625-0794-4533-8E1F-D3079A88E936}" name="Column267"/>
    <tableColumn id="287" xr3:uid="{7D0491A2-0CF0-4B5A-9D8F-BCD341FF3799}" name="Column268"/>
    <tableColumn id="288" xr3:uid="{C0EBADEC-1E31-4E17-9850-D8561A3D8E6E}" name="Column269"/>
    <tableColumn id="289" xr3:uid="{164DF716-628A-467B-B148-121E59C52480}" name="Column270"/>
    <tableColumn id="290" xr3:uid="{2D6A5945-FAED-4ECD-BF86-9329426772BE}" name="Column271"/>
    <tableColumn id="291" xr3:uid="{70662A63-167C-48BB-B241-1B29DB506AEA}" name="Column272"/>
    <tableColumn id="292" xr3:uid="{26C705EC-F52C-460A-9C94-2E8CD3B51BED}" name="Column273"/>
    <tableColumn id="293" xr3:uid="{26EAE579-04E6-43A3-A6BE-94D8B93339D2}" name="Column274"/>
    <tableColumn id="294" xr3:uid="{C1873F24-6A2C-43A6-94F5-DFA5A78F3C0C}" name="Column275"/>
    <tableColumn id="295" xr3:uid="{49A573DB-EB6E-440D-8A35-B4578F455BC3}" name="Column276"/>
    <tableColumn id="296" xr3:uid="{965A5715-FD8E-4D6E-84C7-B4090BB852D7}" name="Column277"/>
    <tableColumn id="297" xr3:uid="{6B7D27A4-9BDE-4DC8-AD3A-B02D7821B6C7}" name="Column278"/>
    <tableColumn id="298" xr3:uid="{577EFD6B-0735-403F-92FF-74C26B312EB3}" name="Column279"/>
    <tableColumn id="299" xr3:uid="{8ACEFB65-475A-42CB-B539-B4388F512BA1}" name="Column280"/>
    <tableColumn id="300" xr3:uid="{551945CE-6F5A-4F33-A41F-2D6B581F352F}" name="Column281"/>
    <tableColumn id="301" xr3:uid="{E5478321-D45F-4709-9400-2B4BF34B0228}" name="Column282"/>
    <tableColumn id="302" xr3:uid="{33132877-B3F3-47EE-B58C-B5E3231D5FA5}" name="Column283"/>
    <tableColumn id="303" xr3:uid="{84429B94-DB45-4860-B82D-34840A726574}" name="Column284"/>
    <tableColumn id="304" xr3:uid="{D89B85D2-3035-4B36-B268-BBE1ECEF6058}" name="Column285"/>
    <tableColumn id="305" xr3:uid="{BC2B48DE-379D-48B0-A3E4-826389DDEEC0}" name="Column286"/>
    <tableColumn id="306" xr3:uid="{09DBDE42-FDBA-4512-A18D-D960D470CD97}" name="Column287"/>
    <tableColumn id="307" xr3:uid="{3E851E17-CAA1-449D-B5DA-7FEBB72A492A}" name="Column288"/>
    <tableColumn id="308" xr3:uid="{CA2664E2-48C1-4272-9F48-D7FC8C6AC822}" name="Column289"/>
    <tableColumn id="309" xr3:uid="{4DE11B34-7D72-4392-ACCD-728F8BA9CBA2}" name="Column290"/>
    <tableColumn id="310" xr3:uid="{31499EE9-69A2-4C5C-BDFB-954D9BEFAA8E}" name="Column291"/>
    <tableColumn id="311" xr3:uid="{F29F6804-911A-42B9-A0FA-EAEDA8102517}" name="Column292"/>
    <tableColumn id="312" xr3:uid="{BFA4F459-1F92-44E4-A96D-71EB5DACBFBB}" name="Column293"/>
    <tableColumn id="313" xr3:uid="{E11A08B8-3DFC-44A4-B720-6294FB4C338C}" name="Column294"/>
    <tableColumn id="314" xr3:uid="{E80283A7-BC4D-4D2A-8B9C-40A3E804AFF0}" name="Column295"/>
    <tableColumn id="315" xr3:uid="{A447BD7E-5A9D-4CA1-90E0-342582D56080}" name="Column296"/>
    <tableColumn id="316" xr3:uid="{DACEF907-C394-4D28-8430-37C8B4B378C3}" name="Column297"/>
    <tableColumn id="317" xr3:uid="{54819838-3350-4B54-B6B4-7462495F53AA}" name="Column298"/>
    <tableColumn id="318" xr3:uid="{41044690-970A-434B-8837-8128FE754B92}" name="Column299"/>
    <tableColumn id="319" xr3:uid="{7F401421-1481-433C-A913-0CC8BBD8147C}" name="Column300"/>
    <tableColumn id="320" xr3:uid="{D917EB6C-B33D-4582-87DA-FDCCB10BFE9A}" name="Column301"/>
    <tableColumn id="321" xr3:uid="{5645108F-E921-448E-A5E1-D80EF49E0F52}" name="Column302"/>
    <tableColumn id="322" xr3:uid="{A2D1050C-296F-4E7A-8541-892C9A2A132E}" name="Column303"/>
    <tableColumn id="323" xr3:uid="{01ED3F51-04DE-4883-BC27-CEE200735833}" name="Column304"/>
    <tableColumn id="324" xr3:uid="{BA162228-6AC4-400E-BCC1-2413E8DFD5C1}" name="Column305"/>
    <tableColumn id="325" xr3:uid="{0168D05A-D737-4609-B476-2B740DB802AF}" name="Column306"/>
    <tableColumn id="326" xr3:uid="{728C912C-9B8D-41DF-95A1-E6F6A4EFBF4A}" name="Column307"/>
    <tableColumn id="327" xr3:uid="{7CDE52B3-0448-49A5-95F5-0CA5B005F896}" name="Column308"/>
    <tableColumn id="328" xr3:uid="{B9C62F0D-7744-41B1-AFEF-6B8D13DD9E03}" name="Column309"/>
    <tableColumn id="329" xr3:uid="{0FCAAEA4-424D-458C-86E3-0B1EE09B4018}" name="Column310"/>
    <tableColumn id="330" xr3:uid="{771EFE01-1304-48F9-AF12-74C4D12A0F2C}" name="Column311"/>
    <tableColumn id="331" xr3:uid="{39EF779D-6F30-4238-AF06-8A639F7BB1B5}" name="Column312"/>
    <tableColumn id="332" xr3:uid="{D97499AF-2F07-4549-A897-E6BA1ECCE088}" name="Column313"/>
    <tableColumn id="333" xr3:uid="{DD11E191-5544-4051-8156-F485CC98546D}" name="Column314"/>
    <tableColumn id="334" xr3:uid="{1B702FAC-6B8D-447E-ACEF-EAAF97B258A2}" name="Column315"/>
    <tableColumn id="335" xr3:uid="{06D57F5B-73DD-4A33-B1FA-8ADE381C8CCD}" name="Column316"/>
    <tableColumn id="336" xr3:uid="{A86EFB1E-4A0F-4102-8175-DA7AE73C1C8A}" name="Column317"/>
    <tableColumn id="337" xr3:uid="{B9E80814-F972-4F04-A0BA-A6BE4BED97A2}" name="Column318"/>
    <tableColumn id="338" xr3:uid="{75F90285-FD3E-42D6-A511-A3472EA7B745}" name="Column319"/>
    <tableColumn id="339" xr3:uid="{2A5565EC-CDCF-4BAE-984D-A712750B9B3A}" name="Column320"/>
    <tableColumn id="340" xr3:uid="{DAC2F3AE-FD73-4E1F-AC53-2BC5C90766C0}" name="Column321"/>
    <tableColumn id="341" xr3:uid="{DC9E27B7-402D-45C5-9A07-12EA4A4A4A4C}" name="Column322"/>
    <tableColumn id="342" xr3:uid="{BE0444E3-C2D8-47B2-A83A-760D184BA8F1}" name="Column323"/>
    <tableColumn id="343" xr3:uid="{4F27BF7E-AE74-4CCE-8C3A-6ACC5CEC2B5D}" name="Column324"/>
    <tableColumn id="344" xr3:uid="{03A59AE1-A77B-4393-82FA-1161EC0F35C7}" name="Column325"/>
    <tableColumn id="345" xr3:uid="{7611CBDF-FB37-4A57-AA6E-EE2A56D86735}" name="Column326"/>
    <tableColumn id="346" xr3:uid="{FC29C8E1-EF37-4F2A-999E-00658AE42189}" name="Column327"/>
    <tableColumn id="347" xr3:uid="{C1A60792-C4AB-459D-814E-E1F22F125704}" name="Column328"/>
    <tableColumn id="348" xr3:uid="{B07DEA4C-CD5F-4904-9947-56C6DC0B36E8}" name="Column329"/>
    <tableColumn id="349" xr3:uid="{6002A04B-3D15-454D-AE35-6ADE2699507E}" name="Column330"/>
    <tableColumn id="350" xr3:uid="{9B32E8E9-67C4-40C2-AC9E-E041423BE981}" name="Column331"/>
    <tableColumn id="351" xr3:uid="{C9E6B80F-FA35-471C-91C3-83C4F9764532}" name="Column332"/>
    <tableColumn id="352" xr3:uid="{2D941235-E8AD-4B3F-B1CC-96B2AB199FB5}" name="Column333"/>
    <tableColumn id="353" xr3:uid="{917C322C-C2D3-438E-BE61-839BB5FAD0D3}" name="Column334"/>
    <tableColumn id="354" xr3:uid="{26DFD344-BA82-4CD3-9BA1-9CDE076345E4}" name="Column335"/>
    <tableColumn id="355" xr3:uid="{9BF00788-1A01-4623-8F56-6F31B8443540}" name="Column336"/>
    <tableColumn id="356" xr3:uid="{3C5ECE2E-EA10-439F-B58D-D7F68B6AD940}" name="Column337"/>
    <tableColumn id="357" xr3:uid="{91C0A702-9A6D-4B5B-B72F-1EB4051816A4}" name="Column338"/>
    <tableColumn id="358" xr3:uid="{12FDD405-71B6-4203-B8FF-A420F6ED6647}" name="Column339"/>
    <tableColumn id="359" xr3:uid="{3C7AA2C8-27E9-4A78-A902-C674AF605FCC}" name="Column340"/>
    <tableColumn id="360" xr3:uid="{B6D05C0E-D418-422F-8013-7C30B49BF254}" name="Column341"/>
    <tableColumn id="361" xr3:uid="{CDA152B8-6207-4B9A-98F4-3246A2A709D6}" name="Column342"/>
    <tableColumn id="362" xr3:uid="{AFC49570-E03A-4760-A6B0-41F5166FA77A}" name="Column343"/>
    <tableColumn id="363" xr3:uid="{60D12F21-66D5-430E-98CE-944E268ED9A6}" name="Column344"/>
    <tableColumn id="364" xr3:uid="{6F3816E8-D658-4C0E-961F-2BDDDB9F39A8}" name="Column345"/>
    <tableColumn id="365" xr3:uid="{ADE84A27-25FC-440E-ABE0-D0933134AA92}" name="Column346"/>
    <tableColumn id="366" xr3:uid="{549E15E4-2508-4D1F-AFD7-A56F39069796}" name="Column347"/>
    <tableColumn id="367" xr3:uid="{2877F884-3307-4033-9765-A2C20CD6FDC3}" name="Column348"/>
    <tableColumn id="368" xr3:uid="{2309238D-B882-4BF3-B01A-D81B3852BD5A}" name="Column349"/>
    <tableColumn id="369" xr3:uid="{8F19543C-4CF2-43F6-A09C-DE36525FCA7A}" name="Column350"/>
    <tableColumn id="370" xr3:uid="{EC918CE6-8AC3-4BA0-A761-BA45C838648D}" name="Column351"/>
    <tableColumn id="371" xr3:uid="{988D7BB5-22EF-43E7-A332-6F76A7D1D1A4}" name="Column352"/>
    <tableColumn id="372" xr3:uid="{8CA30E09-7F35-48FF-B4D4-2DB2C64738E1}" name="Column353"/>
    <tableColumn id="373" xr3:uid="{AB827EA1-0269-4D65-A705-0EA898BCDC6A}" name="Column354"/>
    <tableColumn id="374" xr3:uid="{620DAA58-C519-45CB-A9A4-67F0C79E9E7F}" name="Column355"/>
    <tableColumn id="375" xr3:uid="{D95AEA90-A1C9-403A-9480-4664F681258F}" name="Column356"/>
    <tableColumn id="376" xr3:uid="{ACC0D882-CEBA-49DC-BFD3-BEEEFCE8506D}" name="Column357"/>
    <tableColumn id="377" xr3:uid="{3C0C61DC-1F4B-40C3-9DB2-F7550E1085D7}" name="Column358"/>
    <tableColumn id="378" xr3:uid="{C6C19147-73AD-4937-B972-FAA099A42C2B}" name="Column359"/>
    <tableColumn id="379" xr3:uid="{FFED85F7-FA83-4926-BC57-C3E039A05AEB}" name="Column360"/>
    <tableColumn id="380" xr3:uid="{8C69AACD-060E-441E-A057-42D71A7E4922}" name="Column361"/>
    <tableColumn id="381" xr3:uid="{55D5A1FA-5D6C-4939-B67B-F4EBFDEA316F}" name="Column362"/>
    <tableColumn id="382" xr3:uid="{EAB5ECA4-409D-4BA5-961A-62F9F6A6F203}" name="Column363"/>
    <tableColumn id="383" xr3:uid="{2E126699-97EF-4F1F-9643-0AB90ED4C92B}" name="Column364"/>
    <tableColumn id="384" xr3:uid="{BF385913-793D-458E-8F82-160FB9D5199D}" name="Column365"/>
    <tableColumn id="385" xr3:uid="{B9E745E1-43A5-4293-90F3-36F32BE83166}" name="Column366"/>
    <tableColumn id="386" xr3:uid="{9944372A-9776-41B7-B154-C521C03AD924}" name="Column367"/>
    <tableColumn id="387" xr3:uid="{F406487F-0665-4EA8-948A-1C7E1F2405D0}" name="Column368"/>
    <tableColumn id="388" xr3:uid="{0899FFC3-5771-4445-841D-D3BCFC2B73FA}" name="Column369"/>
    <tableColumn id="389" xr3:uid="{2A3F1FC1-F302-4135-BCEB-0C4ADF2623E5}" name="Column370"/>
    <tableColumn id="390" xr3:uid="{DFD366D9-D82E-4A10-A5BD-D85626327CA4}" name="Column371"/>
    <tableColumn id="391" xr3:uid="{CFE82A52-8B7C-4BE4-B340-6B416A4CF1C0}" name="Column372"/>
    <tableColumn id="392" xr3:uid="{836C5211-2F80-4334-B7CB-6DD9D06CF007}" name="Column373"/>
    <tableColumn id="393" xr3:uid="{DA2C3B12-7D8B-44C8-9FC6-73329DAB2704}" name="Column374"/>
    <tableColumn id="394" xr3:uid="{3D1903EB-1570-4EA6-A542-2398BEA1851E}" name="Column375"/>
    <tableColumn id="395" xr3:uid="{8B0A567F-FC36-4F7F-8FD0-2510C241F4BF}" name="Column376"/>
    <tableColumn id="396" xr3:uid="{B586D900-3C5B-4C4A-BFDB-A23C6E1560CD}" name="Column377"/>
    <tableColumn id="397" xr3:uid="{F3EF716F-D7BC-460F-9F9C-27D1BE0DCD46}" name="Column378"/>
    <tableColumn id="398" xr3:uid="{380305E4-CCA5-4FED-8BD4-7D066FBE1E93}" name="Column379"/>
    <tableColumn id="399" xr3:uid="{EF578EAC-8CC2-4BCF-9BB5-269BBCD17DBE}" name="Column380"/>
    <tableColumn id="400" xr3:uid="{CFB51A95-7423-4140-AD92-2C447185191E}" name="Column381"/>
    <tableColumn id="401" xr3:uid="{B8180693-7D97-4DD5-83C5-5DA9E0AE22C7}" name="Column382"/>
    <tableColumn id="402" xr3:uid="{15FB75E2-9BA0-4132-B424-17F0DA280DFF}" name="Column383"/>
    <tableColumn id="403" xr3:uid="{6EA024B1-8ED2-42EC-9E99-5065BEB0AF29}" name="Column384"/>
    <tableColumn id="404" xr3:uid="{513BC260-7774-4054-A9EA-F42B0ADF701C}" name="Column385"/>
    <tableColumn id="405" xr3:uid="{F36D7896-B068-451F-B67D-399F0B340E21}" name="Column386"/>
    <tableColumn id="406" xr3:uid="{0CFC40AA-072F-4DB8-BE07-43BF540841C7}" name="Column387"/>
    <tableColumn id="407" xr3:uid="{61BC5703-8FFE-44B1-B39B-1B6995CFA09F}" name="Column388"/>
    <tableColumn id="408" xr3:uid="{7C33F671-BB51-4E91-BED3-A779393880F6}" name="Column389"/>
    <tableColumn id="409" xr3:uid="{6E3F1EF8-DD09-4EC3-BB0F-F1BD2A6537D0}" name="Column390"/>
    <tableColumn id="410" xr3:uid="{DD0A799F-46F8-4B47-BE43-16FA0B6F28DD}" name="Column391"/>
    <tableColumn id="411" xr3:uid="{86BC60A6-D726-4967-BEAC-62A76DC805C9}" name="Column392"/>
    <tableColumn id="412" xr3:uid="{2FA7616D-0A19-4846-8BF7-AB02A93AE289}" name="Column393"/>
    <tableColumn id="413" xr3:uid="{FDDC145A-4992-4CB6-B869-E5867EDFDDBA}" name="Column394"/>
    <tableColumn id="414" xr3:uid="{9EAA92DF-C90E-46EC-9A74-CD603C59E750}" name="Column395"/>
    <tableColumn id="415" xr3:uid="{1B361017-6F0A-4798-A8AA-EC975C7104DE}" name="Column396"/>
    <tableColumn id="416" xr3:uid="{767C4FF9-7F56-42E0-BF8B-FCD0A7571E1F}" name="Column397"/>
    <tableColumn id="417" xr3:uid="{D6266EB2-556C-4772-9E32-6779B7CA81C5}" name="Column398"/>
    <tableColumn id="418" xr3:uid="{6E83A2D4-5256-4F1F-8513-4955AE79AAD5}" name="Column399"/>
    <tableColumn id="419" xr3:uid="{6D25D800-27B5-4FFA-A800-D9C3F345A542}" name="Column400"/>
    <tableColumn id="420" xr3:uid="{70E3FE50-2DAF-4113-98FE-C418D33B5A2B}" name="Column401"/>
    <tableColumn id="421" xr3:uid="{76E8C3F7-45A4-481D-A181-F5D2C8D0B3EF}" name="Column402"/>
    <tableColumn id="422" xr3:uid="{C6A03DB9-FF8E-4674-BDAD-9DF6BE731B81}" name="Column403"/>
    <tableColumn id="423" xr3:uid="{3A1492DE-9737-4D66-9830-5CBEE5A9DDF8}" name="Column404"/>
    <tableColumn id="424" xr3:uid="{D3F08462-C8D5-43B6-B1D0-C256020C9722}" name="Column405"/>
    <tableColumn id="425" xr3:uid="{E13825C6-5A62-485B-B220-C1FCEBB3C24A}" name="Column406"/>
    <tableColumn id="426" xr3:uid="{FAA04549-28EE-4862-A6FE-9257C4D10F20}" name="Column407"/>
    <tableColumn id="427" xr3:uid="{81D651B0-8C44-4EEB-854D-55B36CFF22BC}" name="Column408"/>
    <tableColumn id="428" xr3:uid="{FC74FA36-0109-4A24-8F14-68B350B20BAE}" name="Column409"/>
    <tableColumn id="429" xr3:uid="{0980EB55-C3CC-4D95-BC25-969AC16B50A0}" name="Column410"/>
    <tableColumn id="430" xr3:uid="{1BE84E61-CE04-4234-B7EF-D42A87FBA463}" name="Column411"/>
    <tableColumn id="431" xr3:uid="{F1B2AA8B-2397-44F4-98CD-233C24831C44}" name="Column412"/>
    <tableColumn id="432" xr3:uid="{CC319DE0-D5FD-4062-BD57-460E542B544C}" name="Column413"/>
    <tableColumn id="433" xr3:uid="{5C4703A8-41F5-47E7-B42C-17F7452A24B7}" name="Column414"/>
    <tableColumn id="434" xr3:uid="{124572DE-E0C6-4BFD-A5D8-F64D07136F12}" name="Column415"/>
    <tableColumn id="435" xr3:uid="{4DC39A33-922E-48F1-BC79-1B45AAD4745D}" name="Column416"/>
    <tableColumn id="436" xr3:uid="{9771F1D6-F646-4B7A-B48B-88B734A467E5}" name="Column417"/>
    <tableColumn id="437" xr3:uid="{846D45EF-AC37-4090-AC58-68D54D542DAC}" name="Column418"/>
    <tableColumn id="438" xr3:uid="{531650FE-A9EF-451B-A57A-7E8EFD906466}" name="Column419"/>
    <tableColumn id="439" xr3:uid="{E68BDC72-863B-4305-9E3E-15F38B5217A3}" name="Column420"/>
    <tableColumn id="440" xr3:uid="{F5D8419D-5459-4DC5-9524-1011576CE4DB}" name="Column421"/>
    <tableColumn id="441" xr3:uid="{1E088424-1E08-4505-A241-2089FFA71808}" name="Column422"/>
    <tableColumn id="442" xr3:uid="{421A259B-82FE-4D61-8405-21ED20483F5A}" name="Column423"/>
    <tableColumn id="443" xr3:uid="{24DFCD4D-7865-40F6-8001-09F8B20BE702}" name="Column424"/>
    <tableColumn id="444" xr3:uid="{87D0D336-B52C-4C95-9881-78B73DE2437F}" name="Column425"/>
    <tableColumn id="445" xr3:uid="{45C67F31-9A2A-4917-A4D2-597CB670997C}" name="Column426"/>
    <tableColumn id="446" xr3:uid="{DEE6D65F-A701-43A6-AB8B-E782F007E04F}" name="Column427"/>
    <tableColumn id="447" xr3:uid="{1CEF6804-5CA0-4016-B6DE-972F086C8A1C}" name="Column428"/>
    <tableColumn id="448" xr3:uid="{B2FBBDF2-82CF-4B95-9089-A6BECCEF2673}" name="Column429"/>
    <tableColumn id="449" xr3:uid="{14B4B17A-DAF6-4729-B191-C0134FB6D981}" name="Column430"/>
    <tableColumn id="450" xr3:uid="{F5FBDB61-611C-45D1-9CBB-45A4F2E64042}" name="Column431"/>
    <tableColumn id="451" xr3:uid="{5E7F0378-BA7E-47EB-A3C9-14C3CA6FD373}" name="Column432"/>
    <tableColumn id="452" xr3:uid="{B0344D0F-5606-49C0-8207-1D4FAE2505F9}" name="Column433"/>
    <tableColumn id="453" xr3:uid="{54AC437E-96FF-4A0F-8C14-32AA93918897}" name="Column434"/>
    <tableColumn id="454" xr3:uid="{7962EF7F-B3B1-4CA8-8329-302F15074283}" name="Column435"/>
    <tableColumn id="455" xr3:uid="{154AF047-6CDB-476D-AA14-BB08BDA77CEB}" name="Column436"/>
    <tableColumn id="456" xr3:uid="{7B581724-5FD6-4AC8-8514-790685904D6B}" name="Column437"/>
    <tableColumn id="457" xr3:uid="{69EE8FB4-1C86-46EA-957A-A5EF171A115B}" name="Column438"/>
    <tableColumn id="458" xr3:uid="{EA9994C1-9B4F-437A-AC7B-98D9D45184E1}" name="Column439"/>
    <tableColumn id="459" xr3:uid="{2289784C-33B2-4535-A3C2-1E73DB8D84AE}" name="Column440"/>
    <tableColumn id="460" xr3:uid="{5C65559E-78C6-449F-A57A-9C15DA03AE55}" name="Column441"/>
    <tableColumn id="461" xr3:uid="{BB766ECE-F7B0-4F9F-86BD-31550CAEB705}" name="Column442"/>
    <tableColumn id="462" xr3:uid="{990884E8-F6DC-4B55-8FCB-F2E3F3BD2374}" name="Column443"/>
    <tableColumn id="463" xr3:uid="{50970638-9973-481E-95DE-7C3B4B744C64}" name="Column444"/>
    <tableColumn id="464" xr3:uid="{B7534EB6-9CA7-4B85-9B58-8B927D3F0E8E}" name="Column445"/>
    <tableColumn id="465" xr3:uid="{4362B239-C186-4216-AF52-9C244DD851B2}" name="Column446"/>
    <tableColumn id="466" xr3:uid="{7D6388B3-792F-4C39-96B6-F4B1D6672804}" name="Column447"/>
    <tableColumn id="467" xr3:uid="{42A8A7E0-BECA-4AFA-AD57-A71DEDE0F865}" name="Column448"/>
    <tableColumn id="468" xr3:uid="{E2742AFE-C5ED-4A45-94BE-288E01FE4EF0}" name="Column449"/>
    <tableColumn id="469" xr3:uid="{96A26099-3A49-4F88-8C65-EF558E28FCC8}" name="Column450"/>
    <tableColumn id="470" xr3:uid="{37BA1840-3D0C-4469-9F91-9236B8F2E520}" name="Column451"/>
    <tableColumn id="471" xr3:uid="{30F1F91A-740F-4A27-BC6F-720DA3173F07}" name="Column452"/>
    <tableColumn id="472" xr3:uid="{C3EB02D7-9513-431C-BB7D-67190BBBB3B1}" name="Column453"/>
    <tableColumn id="473" xr3:uid="{AEF58A7E-63F5-4F08-965B-A0F69DCAC530}" name="Column454"/>
    <tableColumn id="474" xr3:uid="{A23F2232-A5FD-4DD3-86F0-28A5611BC53C}" name="Column455"/>
    <tableColumn id="475" xr3:uid="{82A869B1-5466-455E-B09B-44917162F76C}" name="Column456"/>
    <tableColumn id="476" xr3:uid="{DA7C57D9-CBAB-4B58-B256-F61CE46941D6}" name="Column457"/>
    <tableColumn id="477" xr3:uid="{C902323C-5953-4903-AA58-A87D83013C3B}" name="Column458"/>
    <tableColumn id="478" xr3:uid="{0BE489F4-BBFD-475B-ADD6-8DB34AE07142}" name="Column459"/>
    <tableColumn id="479" xr3:uid="{09CA5791-E120-46B6-A06A-2220857F920F}" name="Column460"/>
    <tableColumn id="480" xr3:uid="{A2B0A67D-3BF2-490D-A71A-CBDF2063BA6F}" name="Column461"/>
    <tableColumn id="481" xr3:uid="{FCD1CE36-F922-4C39-AA9B-9C9173A04031}" name="Column462"/>
    <tableColumn id="482" xr3:uid="{E879B164-108B-4AAB-9892-8A055BFB21B3}" name="Column463"/>
    <tableColumn id="483" xr3:uid="{5ACBCAFC-BC0C-4A49-862C-802AD54E1A27}" name="Column464"/>
    <tableColumn id="484" xr3:uid="{D357CF38-85DA-49EC-B91D-D23A36512753}" name="Column465"/>
    <tableColumn id="485" xr3:uid="{3917D30A-925B-4C26-B9F5-D8A9884074B4}" name="Column466"/>
    <tableColumn id="486" xr3:uid="{603763EC-AFE2-442B-81CD-7A57592A535E}" name="Column467"/>
    <tableColumn id="487" xr3:uid="{084C07CF-FB3D-46EF-A26D-3AC292A6BFCD}" name="Column468"/>
    <tableColumn id="488" xr3:uid="{CAD2E91B-4135-4A91-9FB1-BADDB83C14B0}" name="Column469"/>
    <tableColumn id="489" xr3:uid="{5765FCDE-4FDC-475E-8434-FABE8A3009CB}" name="Column470"/>
    <tableColumn id="490" xr3:uid="{3222500A-B1C5-4217-A338-FE5A72246E1E}" name="Column471"/>
    <tableColumn id="491" xr3:uid="{081697C2-B81A-4CFC-B490-72B541E62EA8}" name="Column472"/>
    <tableColumn id="492" xr3:uid="{8E3F1D69-4761-4431-93DD-72A85A626465}" name="Column473"/>
    <tableColumn id="493" xr3:uid="{E2B001DC-A55F-4E5B-A2EA-98B0D7B8A212}" name="Column474"/>
    <tableColumn id="494" xr3:uid="{042AD473-1F85-4460-94B1-91660064DCE8}" name="Column475"/>
    <tableColumn id="495" xr3:uid="{0C25CBCE-4495-4A60-8F87-4D58AB1AFF25}" name="Column476"/>
    <tableColumn id="496" xr3:uid="{4C183F12-CD6E-497A-914B-466479491F4F}" name="Column477"/>
    <tableColumn id="497" xr3:uid="{F1D915BA-EC48-4E08-9703-8825763059C5}" name="Column478"/>
    <tableColumn id="498" xr3:uid="{FBC5E755-AF7F-45D9-A69A-3341D9DF3A2B}" name="Column479"/>
    <tableColumn id="499" xr3:uid="{F3665C4D-2645-4642-A589-EC140F17536A}" name="Column480"/>
    <tableColumn id="500" xr3:uid="{B58A7E8B-657C-48FB-B1F0-A76F47BFF8F4}" name="Column481"/>
    <tableColumn id="501" xr3:uid="{3F4C6E24-E929-4EB2-8931-2B38ECD9B63B}" name="Column482"/>
    <tableColumn id="502" xr3:uid="{818099A4-EC44-4D8C-9D9C-66AFE45639A2}" name="Column483"/>
    <tableColumn id="503" xr3:uid="{5AB175FB-F735-4A8D-B03D-7E7CFC7DE061}" name="Column484"/>
    <tableColumn id="504" xr3:uid="{9D66AFFA-82B8-4EE4-86F5-8B1986183AE5}" name="Column485"/>
    <tableColumn id="505" xr3:uid="{0DF8CA14-A30B-44D0-AA98-DDF9061F04A5}" name="Column486"/>
    <tableColumn id="506" xr3:uid="{EE4073D1-9C1C-4423-81B0-FBA14CD2A819}" name="Column487"/>
    <tableColumn id="507" xr3:uid="{DFAC166A-38F4-431A-9862-43A4FED8C067}" name="Column488"/>
    <tableColumn id="508" xr3:uid="{EFCBFC4F-06CC-4586-BF57-C05DC90C8A5B}" name="Column489"/>
    <tableColumn id="509" xr3:uid="{9BF7E25C-12E6-451F-95D2-A14ED98AACF1}" name="Column490"/>
    <tableColumn id="510" xr3:uid="{E5FB7ED6-EC85-41F4-B33C-1BA4C662277D}" name="Column491"/>
    <tableColumn id="511" xr3:uid="{86CF51E3-80C3-47B2-ACC0-2CFCACC1EA15}" name="Column492"/>
    <tableColumn id="512" xr3:uid="{8155D2A8-7AD9-4E15-81B8-62094C57BBBE}" name="Column493"/>
    <tableColumn id="513" xr3:uid="{E268F400-BF4F-46AF-8806-BB2BA9A9107E}" name="Column494"/>
    <tableColumn id="514" xr3:uid="{2AE57B5D-CF74-414D-A4DD-32444B93C031}" name="Column495"/>
    <tableColumn id="515" xr3:uid="{D334273D-487A-453A-A229-6EA2DF4035D3}" name="Column496"/>
    <tableColumn id="516" xr3:uid="{915A55E4-64DE-4454-BA23-CC1FF99D3BD1}" name="Column497"/>
    <tableColumn id="517" xr3:uid="{30A32269-309D-4F5F-A803-7D9C5629366E}" name="Column498"/>
    <tableColumn id="518" xr3:uid="{16ABB856-9812-4266-90E5-55223B10C5DE}" name="Column499"/>
    <tableColumn id="519" xr3:uid="{91FF3806-AE0D-4393-BAE8-7DBC4E9352B0}" name="Column500"/>
    <tableColumn id="520" xr3:uid="{35D93CAD-EE77-4B8B-B23B-9CCEDBD0B345}" name="Column501"/>
    <tableColumn id="521" xr3:uid="{F57B2550-140F-4C9F-B49F-AAA013D3A340}" name="Column502"/>
    <tableColumn id="522" xr3:uid="{59FD7D23-C6C6-46D3-B1EB-DEEDC7FB17D1}" name="Column503"/>
    <tableColumn id="523" xr3:uid="{C3BCE82D-62D1-445B-84F4-4071D5965B80}" name="Column504"/>
    <tableColumn id="524" xr3:uid="{C496FCEE-FF0D-4776-9298-2318B7669DB2}" name="Column505"/>
    <tableColumn id="525" xr3:uid="{6371B58B-1EA1-4C71-B7B7-476EA04A3D0D}" name="Column506"/>
    <tableColumn id="526" xr3:uid="{66D9B931-E27B-4E02-9733-C8C6D4CFDC13}" name="Column507"/>
    <tableColumn id="527" xr3:uid="{CD76D517-E779-4E0D-A703-BB3013890A09}" name="Column508"/>
    <tableColumn id="528" xr3:uid="{203CC6E1-819D-4009-8F4C-91E8B3A46D43}" name="Column509"/>
    <tableColumn id="529" xr3:uid="{4B3253DF-3C85-4D6E-BCE1-55D0268FCA90}" name="Column510"/>
    <tableColumn id="530" xr3:uid="{D9976729-DE8E-4B42-8A1D-8734034AC4FA}" name="Column511"/>
    <tableColumn id="531" xr3:uid="{DCE73E5E-031D-4BF6-AA60-5A49E127A84D}" name="Column512"/>
    <tableColumn id="532" xr3:uid="{903E6721-811B-476C-B9FC-65A8D0CBFF41}" name="Column513"/>
    <tableColumn id="533" xr3:uid="{6AB5FDD9-A1E7-4EA5-BF95-D9546E5A706C}" name="Column514"/>
    <tableColumn id="534" xr3:uid="{B06A8B38-3CEB-4056-AD20-FA67FFFD793F}" name="Column515"/>
    <tableColumn id="535" xr3:uid="{B6CF3095-5D74-438E-BDAD-F91C2102CA6B}" name="Column516"/>
    <tableColumn id="536" xr3:uid="{8712BE72-C6EE-4333-96A3-534A88F9A4B0}" name="Column517"/>
    <tableColumn id="537" xr3:uid="{1EA4B592-B3EE-4668-802A-2BB0D9D72EDE}" name="Column518"/>
    <tableColumn id="538" xr3:uid="{041F96C9-8CD4-417C-B7AE-47CB18BB0D12}" name="Column519"/>
    <tableColumn id="539" xr3:uid="{6FD062E9-C0B9-48FC-99F9-C5CFCE0E61EE}" name="Column520"/>
    <tableColumn id="540" xr3:uid="{8839BF99-03B7-460A-ADC7-906FC6D19936}" name="Column521"/>
    <tableColumn id="541" xr3:uid="{037F5016-34AE-4042-A023-2C9C624ECEF2}" name="Column522"/>
    <tableColumn id="542" xr3:uid="{C51BEAFB-0ADD-4491-BF45-09D39BAAB8AF}" name="Column523"/>
    <tableColumn id="543" xr3:uid="{7B272349-9323-4A64-AD63-C1797A74690C}" name="Column524"/>
    <tableColumn id="544" xr3:uid="{7B2897FD-6C21-4812-B852-4E36CD93771C}" name="Column525"/>
    <tableColumn id="545" xr3:uid="{D24A1662-E77C-4C31-B768-0AC1067B12E6}" name="Column526"/>
    <tableColumn id="546" xr3:uid="{D7BCE511-D900-4144-BB98-9D2F5A2E35CE}" name="Column527"/>
    <tableColumn id="547" xr3:uid="{3D467146-5F73-4C8C-81B3-ADB8E6DB50A7}" name="Column528"/>
    <tableColumn id="548" xr3:uid="{4A0D2CC9-6610-40F1-BE3F-B64FB2D6D909}" name="Column529"/>
    <tableColumn id="549" xr3:uid="{3086E352-09E4-4F18-AFFF-47EC6CA1FAD3}" name="Column530"/>
    <tableColumn id="550" xr3:uid="{FB5DC38F-CD5D-44F3-9DB8-0B9EF0AD30D8}" name="Column531"/>
    <tableColumn id="551" xr3:uid="{75EA905C-A5C2-4574-8E76-43047D0D4AD1}" name="Column532"/>
    <tableColumn id="552" xr3:uid="{83367A9A-6CDE-4CB9-8666-C688D6E5CD8D}" name="Column533"/>
    <tableColumn id="553" xr3:uid="{78601230-4470-4BBF-9B87-8581BE165F46}" name="Column534"/>
    <tableColumn id="554" xr3:uid="{5460DE8F-C07B-4AD3-9450-8AC9163B9B02}" name="Column535"/>
    <tableColumn id="555" xr3:uid="{55B17C43-BEB3-490C-A7EA-6EF4D3D1E990}" name="Column536"/>
    <tableColumn id="556" xr3:uid="{FEEDE771-18D6-4CE3-B1D6-F625EEC4EAC6}" name="Column537"/>
    <tableColumn id="557" xr3:uid="{2B92E109-658A-4183-BCD2-1CAFD76DC32E}" name="Column538"/>
    <tableColumn id="558" xr3:uid="{AB69BDF0-A743-432C-B54C-31FAB474AD0E}" name="Column539"/>
    <tableColumn id="559" xr3:uid="{0A2AEF2C-1FBE-4CCB-AD80-14012BFEC3D5}" name="Column540"/>
    <tableColumn id="560" xr3:uid="{85C16542-06C7-4BDA-A03B-F12B7E1BDC84}" name="Column541"/>
    <tableColumn id="561" xr3:uid="{EBF89321-C8F2-4CB9-8DE5-BBA598B49C2C}" name="Column542"/>
    <tableColumn id="562" xr3:uid="{200C998F-0DA4-4E54-A52B-A735F4916A6B}" name="Column543"/>
    <tableColumn id="563" xr3:uid="{F783F445-58DC-46CE-BCD3-1D4DB600E97A}" name="Column544"/>
    <tableColumn id="564" xr3:uid="{F9B355CD-0C7E-4A47-BA60-BC4CC3099B71}" name="Column545"/>
    <tableColumn id="565" xr3:uid="{82F2B79F-94B6-47DC-9468-B2BDDA8BE113}" name="Column546"/>
    <tableColumn id="566" xr3:uid="{F27A0F9C-B763-44CE-B754-B9A5D40A3200}" name="Column547"/>
    <tableColumn id="567" xr3:uid="{EACB327A-130E-4EED-8433-86AD6E8F3D77}" name="Column548"/>
    <tableColumn id="568" xr3:uid="{90BBEB23-F89C-4A82-9E80-D3250DEF18BF}" name="Column549"/>
    <tableColumn id="569" xr3:uid="{C4EAB472-1E78-4CC4-9AF0-0CB0318BDE23}" name="Column550"/>
    <tableColumn id="570" xr3:uid="{2E00475E-7B20-4E1C-B820-5C14608F521B}" name="Column551"/>
    <tableColumn id="571" xr3:uid="{DF6A88F5-F157-4105-A057-4B39013E8352}" name="Column552"/>
    <tableColumn id="572" xr3:uid="{4650B1C3-B7ED-4B93-8C26-B0066CDC94A9}" name="Column553"/>
    <tableColumn id="573" xr3:uid="{ADAA6EDF-53A7-4AB1-9A85-4A19925855B6}" name="Column554"/>
    <tableColumn id="574" xr3:uid="{14FD54C2-5842-4FA4-BF22-D7E640E4EE0E}" name="Column555"/>
    <tableColumn id="575" xr3:uid="{255A82F1-16B9-4AA4-AFD1-524A0581F86D}" name="Column556"/>
    <tableColumn id="576" xr3:uid="{16BB39C6-F9D4-47E2-A5CF-BC9C1195633F}" name="Column557"/>
    <tableColumn id="577" xr3:uid="{F14549AA-B6B9-4C66-9FE8-CEFD7E163D39}" name="Column558"/>
    <tableColumn id="578" xr3:uid="{11516592-03D6-45CC-8648-BF8E5FA337F3}" name="Column559"/>
    <tableColumn id="579" xr3:uid="{1F72312B-C7BB-4192-8665-095CFCF5B256}" name="Column560"/>
    <tableColumn id="580" xr3:uid="{8DECD6E2-39A4-43FF-9E18-02DC2DAAC21E}" name="Column561"/>
    <tableColumn id="581" xr3:uid="{8DEEDE26-8D65-4478-B075-681696CD43A1}" name="Column562"/>
    <tableColumn id="582" xr3:uid="{47EB3E2E-F115-41F4-BDB5-6C423DBE2E41}" name="Column563"/>
    <tableColumn id="583" xr3:uid="{7B7983DF-7862-4E58-9D6A-B87AD489EAE2}" name="Column564"/>
    <tableColumn id="584" xr3:uid="{A07BE025-4C21-404E-BC6F-229AF7D5D12E}" name="Column565"/>
    <tableColumn id="585" xr3:uid="{D1213BD2-B406-4037-A63E-9C5660CDCB7F}" name="Column566"/>
    <tableColumn id="586" xr3:uid="{0C75879F-9AC5-45BC-A3D8-8899F045E57E}" name="Column567"/>
    <tableColumn id="587" xr3:uid="{947253AD-8CD3-4C15-B318-9F8EABDB2BEE}" name="Column568"/>
    <tableColumn id="588" xr3:uid="{DDF18EB5-CF1B-4D7F-89E3-7AAEC8B0AAE8}" name="Column569"/>
    <tableColumn id="589" xr3:uid="{37D1963B-2FA1-4031-8E2B-F3EDD44E3811}" name="Column570"/>
    <tableColumn id="590" xr3:uid="{9B184A63-5CAD-4B71-8F8A-124443308ECE}" name="Column571"/>
    <tableColumn id="591" xr3:uid="{1ACF9812-0286-48B9-A4E9-E995E383A335}" name="Column572"/>
    <tableColumn id="592" xr3:uid="{292E9CCB-450B-41FF-A850-FAA5CB3B730A}" name="Column573"/>
    <tableColumn id="593" xr3:uid="{84BDD1DE-64A1-4F94-8985-1459F2E8BCDF}" name="Column574"/>
    <tableColumn id="594" xr3:uid="{84E1E781-1B8A-4BBE-B844-550A71A0CA80}" name="Column575"/>
    <tableColumn id="595" xr3:uid="{2662370F-77DA-4EF7-AC0E-EDFA369768D9}" name="Column576"/>
    <tableColumn id="596" xr3:uid="{22EABC52-B784-4C79-8804-0FD9DC89DDBC}" name="Column577"/>
    <tableColumn id="597" xr3:uid="{E013FEC4-8BF4-4305-8B3E-738E1BC24209}" name="Column578"/>
    <tableColumn id="598" xr3:uid="{B56227E2-F86E-4B9A-8553-C43A321F2DE0}" name="Column579"/>
    <tableColumn id="599" xr3:uid="{4FEA85D8-1F07-4582-BD02-F7C9057F3BB5}" name="Column580"/>
    <tableColumn id="600" xr3:uid="{57F8E22D-8506-4987-AE89-C6B431130F71}" name="Column581"/>
    <tableColumn id="601" xr3:uid="{8EA91CD3-7817-4140-BFEF-61332F38BE7E}" name="Column582"/>
    <tableColumn id="602" xr3:uid="{2039F8FA-85A6-4FF4-8984-6875E5288F4B}" name="Column583"/>
    <tableColumn id="603" xr3:uid="{CD81722B-8AA7-4B52-A469-3B4E948CAA0A}" name="Column584"/>
    <tableColumn id="604" xr3:uid="{F867E493-1C20-4D04-8036-EA1CEAB9B5C9}" name="Column585"/>
    <tableColumn id="605" xr3:uid="{1F7D35B6-1058-47FB-ABA5-C17BFEF495E7}" name="Column586"/>
    <tableColumn id="606" xr3:uid="{22B9CEBA-9C31-4922-AA6D-3F52A66E7FC1}" name="Column587"/>
    <tableColumn id="607" xr3:uid="{62A4A11D-7A1C-4250-B7F7-CE103A9BA014}" name="Column588"/>
    <tableColumn id="608" xr3:uid="{8478600A-C137-41C7-ACDB-13C6DD50E53D}" name="Column589"/>
    <tableColumn id="609" xr3:uid="{96DF361D-3707-4DA1-AFE1-A5593EB4CED9}" name="Column590"/>
    <tableColumn id="610" xr3:uid="{DCC4E0FA-EE09-43CF-9E2C-52BC07529501}" name="Column591"/>
    <tableColumn id="611" xr3:uid="{22AF5118-4F09-44BA-8368-565E80140E13}" name="Column592"/>
    <tableColumn id="612" xr3:uid="{0B28B779-191B-424B-9470-0E0A044579A1}" name="Column593"/>
    <tableColumn id="613" xr3:uid="{61547762-0F6F-46DD-BABF-3AFC54030BAD}" name="Column594"/>
    <tableColumn id="614" xr3:uid="{8F8701E7-5712-480D-9C93-DE9F33842066}" name="Column595"/>
    <tableColumn id="615" xr3:uid="{B5B7611F-A0F2-41FA-81D7-8E0F935599EB}" name="Column596"/>
    <tableColumn id="616" xr3:uid="{18A40589-572A-48CA-AC1B-B7927AC11ACE}" name="Column597"/>
    <tableColumn id="617" xr3:uid="{45099F96-246E-4462-A780-327A138BC6CB}" name="Column598"/>
    <tableColumn id="618" xr3:uid="{00BA2CA4-B51D-4855-89D0-7BBAF9BB6FED}" name="Column599"/>
    <tableColumn id="619" xr3:uid="{F2CA6839-E2F2-41D0-AF95-4BDD4BE71A26}" name="Column600"/>
    <tableColumn id="620" xr3:uid="{5A2A8EC0-3510-4DBA-AC20-21ADB8E0D6B3}" name="Column601"/>
    <tableColumn id="621" xr3:uid="{9985E469-9D48-4D89-B72A-9819F043041A}" name="Column602"/>
    <tableColumn id="622" xr3:uid="{E689E037-CBBC-4430-B748-D63DBE0E2CFA}" name="Column603"/>
    <tableColumn id="623" xr3:uid="{6C71EFB4-7CE4-40D2-AE12-F233BE161988}" name="Column604"/>
    <tableColumn id="624" xr3:uid="{0C06EAA5-F024-47F7-823B-DC208CE648FC}" name="Column605"/>
    <tableColumn id="625" xr3:uid="{F60756FE-BD7D-4C1D-9CA3-274AA34ACC7E}" name="Column606"/>
    <tableColumn id="626" xr3:uid="{F0404931-B3C2-4755-BFE8-E39C0492FDA8}" name="Column607"/>
    <tableColumn id="627" xr3:uid="{B5097B82-4396-4F09-9CFC-31234070E32F}" name="Column608"/>
    <tableColumn id="628" xr3:uid="{3C9BDFB5-62BD-4806-B7B2-42158719955E}" name="Column609"/>
    <tableColumn id="629" xr3:uid="{0471567E-ED6A-4E6A-ABDF-9156A814A8FE}" name="Column610"/>
    <tableColumn id="630" xr3:uid="{0EA2BBF8-A1C2-4BF4-B9FD-F81000ECE0FA}" name="Column611"/>
    <tableColumn id="631" xr3:uid="{D7AECD40-7FB0-4C87-8E6C-10713C513A97}" name="Column612"/>
    <tableColumn id="632" xr3:uid="{B8B6F91C-114E-4E92-9F04-B668F9E2FBAE}" name="Column613"/>
    <tableColumn id="633" xr3:uid="{E945A9DB-C158-4356-85B1-394203C0B19B}" name="Column614"/>
    <tableColumn id="634" xr3:uid="{D9544EB1-D5FC-4841-AFD3-4A140881A6AB}" name="Column615"/>
    <tableColumn id="635" xr3:uid="{F28B565A-DFA5-43EF-81A3-7E4EA8509494}" name="Column616"/>
    <tableColumn id="636" xr3:uid="{D0F9A7F4-CA65-4351-836C-B98AA9F9B31A}" name="Column617"/>
    <tableColumn id="637" xr3:uid="{EC30DED6-AC96-4FF3-85FB-68E6DF8B7FE8}" name="Column618"/>
    <tableColumn id="638" xr3:uid="{B4FC0DA2-9B6A-4A6B-A9E0-62C7CC533987}" name="Column619"/>
    <tableColumn id="639" xr3:uid="{A594CDF5-AD08-4106-8356-3FF8AA661DCB}" name="Column620"/>
    <tableColumn id="640" xr3:uid="{82F9C67C-E66F-4255-B9D2-F4FC2E97FDA3}" name="Column621"/>
    <tableColumn id="641" xr3:uid="{E71FB5CF-2326-412F-AD32-CDFA3382EF20}" name="Column622"/>
    <tableColumn id="642" xr3:uid="{A8074F2B-C024-430C-A6F4-B23279868E1E}" name="Column623"/>
    <tableColumn id="643" xr3:uid="{4C1F779B-E31E-413D-8D72-8118622DB21A}" name="Column624"/>
    <tableColumn id="644" xr3:uid="{8DF25C93-E30E-4852-BD3C-993E2E1D69A1}" name="Column625"/>
    <tableColumn id="645" xr3:uid="{128F9AE9-A20B-471C-AD2F-97843139A28D}" name="Column626"/>
    <tableColumn id="646" xr3:uid="{C16AE5DB-8E3A-4B23-8FA1-0666C73C1933}" name="Column627"/>
    <tableColumn id="647" xr3:uid="{4A460056-ED8C-46D2-8BB2-CB40F05BA284}" name="Column628"/>
    <tableColumn id="648" xr3:uid="{4B3D89E3-D2DD-454F-A584-D9A67C0DDC04}" name="Column629"/>
    <tableColumn id="649" xr3:uid="{93542642-CF76-4CC5-B24F-D8DC3BC6147E}" name="Column630"/>
    <tableColumn id="650" xr3:uid="{6010DB61-2D74-41AF-8E73-458707C62B81}" name="Column631"/>
    <tableColumn id="651" xr3:uid="{3392A85A-374B-4D08-9A2F-506A5834F4B7}" name="Column632"/>
    <tableColumn id="652" xr3:uid="{7D173815-77B4-4F1D-A305-8A2B01090E04}" name="Column633"/>
    <tableColumn id="653" xr3:uid="{4A74EAF6-3C8F-4033-973F-221FFB82D1B9}" name="Column634"/>
    <tableColumn id="654" xr3:uid="{8CC556E1-AD16-4390-B1F5-A15FF2329D0C}" name="Column635"/>
    <tableColumn id="655" xr3:uid="{008F8302-1F87-4697-A6F6-99C95165E404}" name="Column636"/>
    <tableColumn id="656" xr3:uid="{6F9FB450-4437-4333-9DB4-81B6A2954EDD}" name="Column637"/>
    <tableColumn id="657" xr3:uid="{317FD9D4-A2D6-4E52-832E-03618F3E5FF4}" name="Column638"/>
    <tableColumn id="658" xr3:uid="{C47DBE21-D534-483B-981D-16DAA93876CE}" name="Column639"/>
    <tableColumn id="659" xr3:uid="{48357E88-010D-4AF0-BD16-8EBCFF68962A}" name="Column640"/>
    <tableColumn id="660" xr3:uid="{2E243CB7-197D-4C98-AB69-B0A9C95E3291}" name="Column641"/>
    <tableColumn id="661" xr3:uid="{FCD15156-6F1D-4289-938F-989490CD7953}" name="Column642"/>
    <tableColumn id="662" xr3:uid="{D1BE345F-613F-4A1C-9E39-4F72EA06D62B}" name="Column643"/>
    <tableColumn id="663" xr3:uid="{B27BD3A5-7411-45DF-AA01-A9AF4493C2D3}" name="Column644"/>
    <tableColumn id="664" xr3:uid="{091205A9-13EA-40F1-B0A3-F080F9019EE5}" name="Column645"/>
    <tableColumn id="665" xr3:uid="{EE769919-F0B2-4802-AB08-159F08EB9509}" name="Column646"/>
    <tableColumn id="666" xr3:uid="{84584894-9785-49B0-9271-6DCF832B57B0}" name="Column647"/>
    <tableColumn id="667" xr3:uid="{65EB6227-3205-4FBD-8B24-8815EF86EADC}" name="Column648"/>
    <tableColumn id="668" xr3:uid="{2E72CC69-0FFF-4AF4-8D24-62D8A025270E}" name="Column649"/>
    <tableColumn id="669" xr3:uid="{1BA13B20-6ABB-4674-A542-C50F1008802B}" name="Column650"/>
    <tableColumn id="670" xr3:uid="{7A0CEBBE-68CE-4FA3-B646-BA17B60B0B96}" name="Column651"/>
    <tableColumn id="671" xr3:uid="{7AD9B7EC-71F7-4FF4-ABB7-A4BAD22EC85A}" name="Column652"/>
    <tableColumn id="672" xr3:uid="{2B1D3E11-7D84-4FBA-B3B4-449759C83683}" name="Column653"/>
    <tableColumn id="673" xr3:uid="{55F710E5-FD5C-47C3-A90E-18A7DD930E65}" name="Column654"/>
    <tableColumn id="674" xr3:uid="{10B860D3-670A-46BA-883C-C8F4D5D9E7A1}" name="Column655"/>
    <tableColumn id="675" xr3:uid="{CBB16BB1-8D2F-420D-95F3-5DDA32C3F8C6}" name="Column656"/>
    <tableColumn id="676" xr3:uid="{FDD9366C-B522-409B-BF2F-36157896296C}" name="Column657"/>
    <tableColumn id="677" xr3:uid="{37F5CAC3-E258-4854-82D9-373B7D995F4D}" name="Column658"/>
    <tableColumn id="678" xr3:uid="{39E393AF-C52D-4D9B-8DCC-BAE52BB336BE}" name="Column659"/>
    <tableColumn id="679" xr3:uid="{37A65956-BD5C-4789-9C21-FD70C86C6EB7}" name="Column660"/>
    <tableColumn id="680" xr3:uid="{F1D33E71-F9D2-4505-A6C6-7AE7DCEA18BF}" name="Column661"/>
    <tableColumn id="681" xr3:uid="{1E28FF50-5B7C-4124-800A-1054E78F377A}" name="Column662"/>
    <tableColumn id="682" xr3:uid="{C9E208DC-9C0B-4F84-ABFD-07F7BDD54B13}" name="Column663"/>
    <tableColumn id="683" xr3:uid="{04328B19-4F15-48CB-855B-668AC4E85CFF}" name="Column664"/>
    <tableColumn id="684" xr3:uid="{99B9E596-BD50-4640-8203-82C6DB96ECC7}" name="Column665"/>
    <tableColumn id="685" xr3:uid="{0DBC7AB5-017E-4DC0-9D7B-55413A5BD9A5}" name="Column666"/>
    <tableColumn id="686" xr3:uid="{AE9CF1AB-684E-435D-B37D-34394532AAB6}" name="Column667"/>
    <tableColumn id="687" xr3:uid="{317B6B60-A92F-4BE0-A405-D844D5AAE95F}" name="Column668"/>
    <tableColumn id="688" xr3:uid="{C4D7C327-C63B-48A5-B73E-E8F84DE89408}" name="Column669"/>
    <tableColumn id="689" xr3:uid="{DC5E286A-EBF5-40A1-95E0-F662FB1EF16D}" name="Column670"/>
    <tableColumn id="690" xr3:uid="{5617B13F-1587-493C-A09B-D73FEC9A2A65}" name="Column671"/>
    <tableColumn id="691" xr3:uid="{33E9E9C6-58B8-48E3-9A44-65B360C4DF8E}" name="Column672"/>
    <tableColumn id="692" xr3:uid="{1AAF4C98-EC46-4861-B1C1-822C243DB05D}" name="Column673"/>
    <tableColumn id="693" xr3:uid="{15C2CD93-DB9D-4C94-8301-70C9F6CBE1C9}" name="Column674"/>
    <tableColumn id="694" xr3:uid="{F2F95856-44B2-45ED-A902-7676DCF3CBB9}" name="Column675"/>
    <tableColumn id="695" xr3:uid="{DE06A70F-6698-490B-B847-F8344126EBB3}" name="Column676"/>
    <tableColumn id="696" xr3:uid="{2F54A88A-3E73-471A-9142-DD42F003B77C}" name="Column677"/>
    <tableColumn id="697" xr3:uid="{62BB6068-C431-4FD1-B69F-79AA4D5D5D94}" name="Column678"/>
    <tableColumn id="698" xr3:uid="{D9089FE8-0D36-4AC5-B525-493688409721}" name="Column679"/>
    <tableColumn id="699" xr3:uid="{4CEDA15F-7A1A-40A1-B96F-BDE68EAED614}" name="Column680"/>
    <tableColumn id="700" xr3:uid="{CB83FBF2-5D9C-4260-944A-FAE3037E16D4}" name="Column681"/>
    <tableColumn id="701" xr3:uid="{C58B3521-87A9-4325-805E-A9CD6A2D2DBE}" name="Column682"/>
    <tableColumn id="702" xr3:uid="{31599F5C-3F33-4D86-84F4-2286049FEA4B}" name="Column683"/>
    <tableColumn id="703" xr3:uid="{A987DA58-0ECA-466B-AF2F-57BC4D3B3B0D}" name="Column684"/>
    <tableColumn id="704" xr3:uid="{A9CFD60B-F624-450C-9F8C-2546AD199E21}" name="Column685"/>
    <tableColumn id="705" xr3:uid="{D90986CB-B1A6-4A58-B9E8-F6592CDE2B33}" name="Column686"/>
    <tableColumn id="706" xr3:uid="{8B7BCF2F-2887-4C8B-91E7-28C848951B24}" name="Column687"/>
    <tableColumn id="707" xr3:uid="{27256916-1B27-455A-B096-3E16C238B58C}" name="Column688"/>
    <tableColumn id="708" xr3:uid="{78F093E5-B623-457D-B483-55FA9249768A}" name="Column689"/>
    <tableColumn id="709" xr3:uid="{C570ADD6-D2B8-4EFC-929B-54037473DBA5}" name="Column690"/>
    <tableColumn id="710" xr3:uid="{128E7586-B2FE-421E-8B27-AEDD97A2A655}" name="Column691"/>
    <tableColumn id="711" xr3:uid="{C97F9100-6EAF-4293-8843-845B583BC69A}" name="Column692"/>
    <tableColumn id="712" xr3:uid="{2FDFEA31-4191-49D7-AA91-3E573FA7B201}" name="Column693"/>
    <tableColumn id="713" xr3:uid="{E24214F3-8F93-4DCB-8A59-DAFDFCB81F78}" name="Column694"/>
    <tableColumn id="714" xr3:uid="{1D479E3B-3DB7-4E40-886B-103764F66E61}" name="Column695"/>
    <tableColumn id="715" xr3:uid="{8B0ED8B5-306B-456A-80F4-C23E001D772B}" name="Column696"/>
    <tableColumn id="716" xr3:uid="{883FF4C6-EA3B-4BA3-9B1D-747D5A9A1BCA}" name="Column697"/>
    <tableColumn id="717" xr3:uid="{4B45914E-93E7-4AAB-BF3F-CD1A047067E4}" name="Column698"/>
    <tableColumn id="718" xr3:uid="{9F08B4F2-DE0B-45D6-81BA-46AF8AC6A285}" name="Column699"/>
    <tableColumn id="719" xr3:uid="{F6BD376A-68C7-43D5-A6BF-A1228811146B}" name="Column700"/>
    <tableColumn id="720" xr3:uid="{73A54430-7FC5-4806-9957-71D5092B2567}" name="Column701"/>
    <tableColumn id="721" xr3:uid="{6C4043BE-B3DB-4419-91A7-E25E0D853DAC}" name="Column702"/>
    <tableColumn id="722" xr3:uid="{0E98616B-4BE8-48D8-B665-20A54B2B9E44}" name="Column703"/>
    <tableColumn id="723" xr3:uid="{49181E82-0F0B-4EEB-8F09-2F3341B42735}" name="Column704"/>
    <tableColumn id="724" xr3:uid="{C3EEDE2C-E4FC-4A4E-BEC4-E4AEA6E33E9D}" name="Column705"/>
    <tableColumn id="725" xr3:uid="{D2D2433C-5B4D-402A-994A-4040A39C605E}" name="Column706"/>
    <tableColumn id="726" xr3:uid="{7F68A54A-FE92-4669-B0A7-C8AFF2AAFA22}" name="Column707"/>
    <tableColumn id="727" xr3:uid="{D420A14A-7CBF-4E5A-9E18-FD06F1958A8C}" name="Column708"/>
    <tableColumn id="728" xr3:uid="{C16A466C-5FE4-4A12-A30F-1DD7CD139E6B}" name="Column709"/>
    <tableColumn id="729" xr3:uid="{C2CEE8C8-C00B-4715-8403-6B16DFE8A4C5}" name="Column710"/>
    <tableColumn id="730" xr3:uid="{7E76BB9B-2757-4AE2-9FCC-79ADCBD6C637}" name="Column711"/>
    <tableColumn id="731" xr3:uid="{469114F9-40E1-45D8-8D9F-2845F1CEB99F}" name="Column712"/>
    <tableColumn id="732" xr3:uid="{03D6DCCC-05F5-4C2D-842A-20A94D802ADA}" name="Column713"/>
    <tableColumn id="733" xr3:uid="{6056AF29-7BFF-4D07-909B-21DD8CE3E573}" name="Column714"/>
    <tableColumn id="734" xr3:uid="{1C0F4D72-9EC3-414E-8ECB-3AE23A9924B7}" name="Column715"/>
    <tableColumn id="735" xr3:uid="{3B626C35-44CA-4AB7-95F1-FE9EA8FD74E2}" name="Column716"/>
    <tableColumn id="736" xr3:uid="{3C8CBCE8-A680-40E0-86C0-1DDB3701D718}" name="Column717"/>
    <tableColumn id="737" xr3:uid="{502EB088-3068-4F53-BDCD-59FA854CAA4F}" name="Column718"/>
    <tableColumn id="738" xr3:uid="{BB44348E-38B3-44F6-BD11-93B671318972}" name="Column719"/>
    <tableColumn id="739" xr3:uid="{23E8843B-B6BE-4FC0-BB17-2B3E3B1D322A}" name="Column720"/>
    <tableColumn id="740" xr3:uid="{AAE1E106-E488-43ED-A708-5098AA105097}" name="Column721"/>
    <tableColumn id="741" xr3:uid="{E1275E5F-6CE4-4BDA-BF46-386FE4C6B703}" name="Column722"/>
    <tableColumn id="742" xr3:uid="{DB474EE9-C534-4ED8-82B4-222FEC0887C1}" name="Column723"/>
    <tableColumn id="743" xr3:uid="{0D215812-B80C-4CB2-8908-73E1D04A8E1C}" name="Column724"/>
    <tableColumn id="744" xr3:uid="{DABA4D65-D92A-401B-B95A-15C9A20E1ECE}" name="Column725"/>
    <tableColumn id="745" xr3:uid="{C8F36B6B-6E9D-4335-8A38-33DD942183E4}" name="Column726"/>
    <tableColumn id="746" xr3:uid="{3ACDD9F3-BC39-44CF-8B1E-67608EDF93C0}" name="Column727"/>
    <tableColumn id="747" xr3:uid="{097DB800-84FD-49C1-8128-9A5DBC5CB5F0}" name="Column728"/>
    <tableColumn id="748" xr3:uid="{E14D09B1-5EAF-472A-9B3F-573EE30AF2E8}" name="Column729"/>
    <tableColumn id="749" xr3:uid="{F7CA2F9D-8443-4D07-B5C1-AE9DEC7E452E}" name="Column730"/>
    <tableColumn id="750" xr3:uid="{C97521F5-96C1-4CEE-AAF6-48FA390140B6}" name="Column731"/>
    <tableColumn id="751" xr3:uid="{874B78B8-4808-4D0A-891F-8D95C0F49C32}" name="Column732"/>
    <tableColumn id="752" xr3:uid="{A862A340-D5BF-4704-9A88-8646BDE46BE7}" name="Column733"/>
    <tableColumn id="753" xr3:uid="{A289836F-9A41-458A-A21D-9F7B17A592D9}" name="Column734"/>
    <tableColumn id="754" xr3:uid="{B040C7BF-0417-4D46-B800-AD32A4D21799}" name="Column735"/>
    <tableColumn id="755" xr3:uid="{AC49E817-0977-4AA7-BDD2-3B1889F66AF8}" name="Column736"/>
    <tableColumn id="756" xr3:uid="{268EEF55-FB3F-4A3A-A7AA-9E6CFAC190C7}" name="Column737"/>
    <tableColumn id="757" xr3:uid="{8F3FB129-F772-4353-BD6F-811B77831C7C}" name="Column738"/>
    <tableColumn id="758" xr3:uid="{279B1E67-4AE5-4662-809B-8D08E7566059}" name="Column739"/>
    <tableColumn id="759" xr3:uid="{B6428B27-376A-4D44-8A09-4320A486AD13}" name="Column740"/>
    <tableColumn id="760" xr3:uid="{B759CD49-C1C2-40F6-AEDD-4B9FAE72D8AE}" name="Column741"/>
    <tableColumn id="761" xr3:uid="{5831449C-05F8-4AFE-B52D-776EF0D9C522}" name="Column742"/>
    <tableColumn id="762" xr3:uid="{0DDDB7E8-46C0-465B-8C19-85841A14A750}" name="Column743"/>
    <tableColumn id="763" xr3:uid="{2FF928A9-8D7B-459A-B092-3B28358ADBCB}" name="Column744"/>
    <tableColumn id="764" xr3:uid="{D93641B1-129B-4E73-A225-3331234B6AD3}" name="Column745"/>
    <tableColumn id="765" xr3:uid="{0559E14D-3218-4B7E-B625-231B3E394EDF}" name="Column746"/>
    <tableColumn id="766" xr3:uid="{207F5962-CA1B-41BB-9E2F-08647046AFA7}" name="Column747"/>
    <tableColumn id="767" xr3:uid="{80EB2E85-2565-49EA-9981-3D64AC2EE866}" name="Column748"/>
    <tableColumn id="768" xr3:uid="{5BFFA174-FEA5-4E5C-9BA3-B94794A0EFF9}" name="Column749"/>
    <tableColumn id="769" xr3:uid="{43006F09-DD60-472B-B8B2-9CAB5EEB8BCF}" name="Column750"/>
    <tableColumn id="770" xr3:uid="{82010D48-AC26-43D6-8D24-3101CAFC6A3E}" name="Column751"/>
    <tableColumn id="771" xr3:uid="{348C630E-E3B2-4D74-B562-12BE08A357DF}" name="Column752"/>
    <tableColumn id="772" xr3:uid="{45EF4020-4732-4C65-B683-E58BE46CB415}" name="Column753"/>
    <tableColumn id="773" xr3:uid="{A0A13DB0-A586-45A2-8B47-7899BDC50226}" name="Column754"/>
    <tableColumn id="774" xr3:uid="{B94602DD-53F6-4412-A3D8-EE6621DF7EA9}" name="Column755"/>
    <tableColumn id="775" xr3:uid="{94EB301E-E462-4DFD-A0AA-C96D405658E5}" name="Column756"/>
    <tableColumn id="776" xr3:uid="{3D22C903-CBB6-4B46-AB68-71000D1D0CCB}" name="Column757"/>
    <tableColumn id="777" xr3:uid="{E4DEB8C4-E93E-438C-840E-12F2E50687CB}" name="Column758"/>
    <tableColumn id="778" xr3:uid="{600B045E-5B73-4175-8E31-15D12A2E5CE0}" name="Column759"/>
    <tableColumn id="779" xr3:uid="{56A79CDE-4321-4156-98A8-A9848C7CAB71}" name="Column760"/>
    <tableColumn id="780" xr3:uid="{ED25C843-62B6-4575-B469-6C8278C92D23}" name="Column761"/>
    <tableColumn id="781" xr3:uid="{64824036-046A-4D67-B536-42496CD16A92}" name="Column762"/>
    <tableColumn id="782" xr3:uid="{44E2B4DD-7C29-4E2E-94D0-D09B856A6BDC}" name="Column763"/>
    <tableColumn id="783" xr3:uid="{B11D9190-9C75-47D9-917A-4E9587165D5F}" name="Column764"/>
    <tableColumn id="784" xr3:uid="{75003079-EE87-4B16-B21C-268E2422DBC5}" name="Column765"/>
    <tableColumn id="785" xr3:uid="{E26BAD31-76D2-42D0-87F6-8188DA8A0B7B}" name="Column766"/>
    <tableColumn id="786" xr3:uid="{A009C830-E52E-428B-B3AF-B37489485395}" name="Column767"/>
    <tableColumn id="787" xr3:uid="{79C67FF8-160E-4403-AA5F-070D7ED945EA}" name="Column768"/>
    <tableColumn id="788" xr3:uid="{B8B9ACA7-E85F-4D6A-8F9D-37D4552788CC}" name="Column769"/>
    <tableColumn id="789" xr3:uid="{648D68BD-F0E0-435C-AAA9-2551FF460464}" name="Column770"/>
    <tableColumn id="790" xr3:uid="{0B18C3C4-52D6-4D7E-BD66-6D35D80EE1E8}" name="Column771"/>
    <tableColumn id="791" xr3:uid="{0B514C26-EA25-4ABA-A403-00EC83B77A54}" name="Column772"/>
    <tableColumn id="792" xr3:uid="{4302F250-34FB-4453-BCED-BAF9EBD28ED3}" name="Column773"/>
    <tableColumn id="793" xr3:uid="{10D8D54F-FA05-4A33-A66D-C1B38A1F86EB}" name="Column774"/>
    <tableColumn id="794" xr3:uid="{3BCF4C1B-02BE-420D-A8A4-46B70A1D17E4}" name="Column775"/>
    <tableColumn id="795" xr3:uid="{3A44DA3D-7698-4AE3-B8AE-71DD0806B571}" name="Column776"/>
    <tableColumn id="796" xr3:uid="{85C4DAA1-0D87-4FCC-A979-65E3214396D4}" name="Column777"/>
    <tableColumn id="797" xr3:uid="{DFB9E914-5DAD-435E-A0E8-6EC76C3B7449}" name="Column778"/>
    <tableColumn id="798" xr3:uid="{466F735C-8A68-480B-BD39-BE8E9813A0B6}" name="Column779"/>
    <tableColumn id="799" xr3:uid="{4E72062A-ADC3-40E1-A78D-58154D5F78EE}" name="Column780"/>
    <tableColumn id="800" xr3:uid="{F55E6754-1C62-47D8-AFFE-6E4AF26DBEE8}" name="Column781"/>
    <tableColumn id="801" xr3:uid="{2440381A-8855-4A23-AEBC-146E9859903F}" name="Column782"/>
    <tableColumn id="802" xr3:uid="{ABA24C5E-A987-4D03-9832-B469E6E38EB8}" name="Column783"/>
    <tableColumn id="803" xr3:uid="{C6BDFE21-03DB-4BFE-B0AB-7944C0EEDCD5}" name="Column784"/>
    <tableColumn id="804" xr3:uid="{745A5BB9-495A-48C7-A950-8100D71D820A}" name="Column785"/>
    <tableColumn id="805" xr3:uid="{EE5833F7-2910-4AC8-8805-9FBAD62B0BE4}" name="Column786"/>
    <tableColumn id="806" xr3:uid="{238B6B45-E4FA-4BC2-85BD-8546E4150AC6}" name="Column787"/>
    <tableColumn id="807" xr3:uid="{D8CD33A8-251B-45C2-84AE-B72C7C9F4C2C}" name="Column788"/>
    <tableColumn id="808" xr3:uid="{B0514FC0-9A0E-44AE-9B61-8338A1A11DA3}" name="Column789"/>
    <tableColumn id="809" xr3:uid="{F4C08630-7354-4014-99E5-76A0B80FE90F}" name="Column790"/>
    <tableColumn id="810" xr3:uid="{6E80700C-F3BF-464F-BC33-5F8DBD230A1F}" name="Column791"/>
    <tableColumn id="811" xr3:uid="{1C43209E-6CA0-4A4B-AB5C-33FC6C579B62}" name="Column792"/>
    <tableColumn id="812" xr3:uid="{858ADD5D-75C2-463B-9BBD-B0EB7C97CA4F}" name="Column793"/>
    <tableColumn id="813" xr3:uid="{9CC9C3BC-8910-4DD8-9805-3EF2BC96938F}" name="Column794"/>
    <tableColumn id="814" xr3:uid="{994EB56B-9C5C-4083-A521-C3702AC98898}" name="Column795"/>
    <tableColumn id="815" xr3:uid="{DCD04E7D-CBE9-49C1-B545-68A83874BFC3}" name="Column796"/>
    <tableColumn id="816" xr3:uid="{F088CE38-7329-4684-9475-8455783E4CBC}" name="Column797"/>
    <tableColumn id="817" xr3:uid="{62C9638C-FF80-4BAB-B8D6-23F7E9AE3C09}" name="Column798"/>
    <tableColumn id="818" xr3:uid="{7D750E42-EB9C-4B9D-837C-A13CF6E08B19}" name="Column799"/>
    <tableColumn id="819" xr3:uid="{1B714BE9-DCE6-430E-B210-205A79C15EDC}" name="Column800"/>
    <tableColumn id="820" xr3:uid="{11EBFBE0-07C8-471D-9AC9-2A8BB508CD2F}" name="Column801"/>
    <tableColumn id="821" xr3:uid="{D41ECE56-11D4-495F-9429-3A92547F3976}" name="Column802"/>
    <tableColumn id="822" xr3:uid="{37AD59C7-3111-4DC2-ACA8-15C36BB40762}" name="Column803"/>
    <tableColumn id="823" xr3:uid="{E70DE1A5-5DEC-46AE-BD0B-8C5487E1EEFD}" name="Column804"/>
    <tableColumn id="824" xr3:uid="{5E395403-063C-4FCF-9206-1E7A1D5E4BD3}" name="Column805"/>
    <tableColumn id="825" xr3:uid="{D68E1A2E-6905-4460-A581-A464EF64EA76}" name="Column806"/>
    <tableColumn id="826" xr3:uid="{EEB85ECE-1952-4D98-A484-BB02CAE72A76}" name="Column807"/>
    <tableColumn id="827" xr3:uid="{F5DC03C5-F91B-4CD7-B9F5-7C329DBAB7E1}" name="Column808"/>
    <tableColumn id="828" xr3:uid="{5A5159B6-D97A-4946-B70B-0E1810AA44D2}" name="Column809"/>
    <tableColumn id="829" xr3:uid="{C16D9028-4A5F-4869-A2D7-D379ABC9E459}" name="Column810"/>
    <tableColumn id="830" xr3:uid="{DDB208BA-E992-4EED-92B6-0B7F940C47B4}" name="Column811"/>
    <tableColumn id="831" xr3:uid="{36B10452-98EF-4497-9D86-D59D20D55EBE}" name="Column812"/>
    <tableColumn id="832" xr3:uid="{D42BD31A-DD51-42D9-BD7D-F1FF0D28260D}" name="Column813"/>
    <tableColumn id="833" xr3:uid="{29A6CB42-B365-4618-BAF0-E3FB3B8074F3}" name="Column814"/>
    <tableColumn id="834" xr3:uid="{418D1268-C7FF-49FA-8567-9549A06C7AAE}" name="Column815"/>
    <tableColumn id="835" xr3:uid="{FA175EA2-3144-495F-8714-E6C8056C9E53}" name="Column816"/>
    <tableColumn id="836" xr3:uid="{1D29618C-9034-47FA-A5E3-5D3E564095E2}" name="Column817"/>
    <tableColumn id="837" xr3:uid="{02DC6042-3FC4-4729-926C-FDE5BB6D1428}" name="Column818"/>
    <tableColumn id="838" xr3:uid="{ACE07B80-08E0-452E-8AB6-A40D79EA2172}" name="Column819"/>
    <tableColumn id="839" xr3:uid="{16E5D387-AFE0-4D06-A373-5BA78B237366}" name="Column820"/>
    <tableColumn id="840" xr3:uid="{C307CFCD-8C45-4EDC-B5D2-C7F24BD6244A}" name="Column821"/>
    <tableColumn id="841" xr3:uid="{15DA2953-8A4C-42D1-97CD-A3F287F9FC52}" name="Column822"/>
    <tableColumn id="842" xr3:uid="{51123908-C015-48A1-9AAA-2E382ED5EFC5}" name="Column823"/>
    <tableColumn id="843" xr3:uid="{BD4F2DA3-7A78-4F50-8B39-3174AD429E6E}" name="Column824"/>
    <tableColumn id="844" xr3:uid="{CDBE5BAC-BF5C-40FD-87F8-7AB64428A7BB}" name="Column825"/>
    <tableColumn id="845" xr3:uid="{688A735E-FF30-4A62-87F9-61C16A3D18F8}" name="Column826"/>
    <tableColumn id="846" xr3:uid="{2903E211-F394-489E-B6B6-0EB89BF8A2C4}" name="Column827"/>
    <tableColumn id="847" xr3:uid="{F182945F-BE2B-4EBB-8E17-1CDAD1D59680}" name="Column828"/>
    <tableColumn id="848" xr3:uid="{76BF4EB3-1232-4A02-8280-7E1699457FDD}" name="Column829"/>
    <tableColumn id="849" xr3:uid="{EFDF30EF-226F-46A4-9B3C-42ED10B0AA78}" name="Column830"/>
    <tableColumn id="850" xr3:uid="{0A6856D1-0C5B-42EA-AF2C-3FEECF231D5B}" name="Column831"/>
    <tableColumn id="851" xr3:uid="{59900E53-5624-4E68-963E-B3EC12A2903B}" name="Column832"/>
    <tableColumn id="852" xr3:uid="{ED0730E1-04BF-4A8A-9FC9-1393AA81A687}" name="Column833"/>
    <tableColumn id="853" xr3:uid="{558B6021-0E61-44D5-87E1-CC85A5E23D3E}" name="Column834"/>
    <tableColumn id="854" xr3:uid="{76583267-6152-4BFF-A7AB-07D6E6AB5B58}" name="Column835"/>
    <tableColumn id="855" xr3:uid="{D208F3B1-9A82-4D7E-AA26-E4B71BCA3441}" name="Column836"/>
    <tableColumn id="856" xr3:uid="{90974FCF-D2CB-411B-8858-C3407FB737FB}" name="Column837"/>
    <tableColumn id="857" xr3:uid="{83E6EAA2-BC6D-445F-BD87-08543ECE5F4D}" name="Column838"/>
    <tableColumn id="858" xr3:uid="{75C410D5-C202-4EBC-B54B-8B44D13AFA6D}" name="Column839"/>
    <tableColumn id="859" xr3:uid="{774D3B96-9953-467F-A9E3-221155876CAD}" name="Column840"/>
    <tableColumn id="860" xr3:uid="{460AF5DA-D28D-4CD0-ADB3-E7C418959EEB}" name="Column841"/>
    <tableColumn id="861" xr3:uid="{6A821622-055A-46E8-BBA0-A61B39FA66C3}" name="Column842"/>
    <tableColumn id="862" xr3:uid="{01786DEF-86FB-41EF-9C3C-FBC98AACF881}" name="Column843"/>
    <tableColumn id="863" xr3:uid="{5B12F021-7D5A-45C0-91B2-442B6149CA8A}" name="Column844"/>
    <tableColumn id="864" xr3:uid="{C43529E8-FD71-486C-9C6A-C7AFF6388256}" name="Column845"/>
    <tableColumn id="865" xr3:uid="{56367D0E-8937-4673-A3C8-37A04A43D399}" name="Column846"/>
    <tableColumn id="866" xr3:uid="{F64B6D7F-C3E9-4747-AA3D-BEF5A3DA2CED}" name="Column847"/>
    <tableColumn id="867" xr3:uid="{1C9A6ACA-A0D8-42BC-8232-8FE58260C555}" name="Column848"/>
    <tableColumn id="868" xr3:uid="{A685448E-2C9C-44D0-809B-A4012AE29D7F}" name="Column849"/>
    <tableColumn id="869" xr3:uid="{6142DD00-5FBC-49BC-A249-08C50BCF052A}" name="Column850"/>
    <tableColumn id="870" xr3:uid="{E5B21DF9-23A9-43CA-BD34-5087D6FE75EB}" name="Column851"/>
    <tableColumn id="871" xr3:uid="{5687AC07-954B-41E1-A09A-08B473CCAA56}" name="Column852"/>
    <tableColumn id="872" xr3:uid="{85141CD9-FFED-4F90-8A95-16040ABBB3EC}" name="Column853"/>
    <tableColumn id="873" xr3:uid="{D7A99419-F1D0-4CAC-B1C1-EBD788C97016}" name="Column854"/>
    <tableColumn id="874" xr3:uid="{E5E2DD6E-807F-4BF1-959E-19D2709B141C}" name="Column855"/>
    <tableColumn id="875" xr3:uid="{2404DAFC-4165-4AD0-90EA-F149075C6250}" name="Column856"/>
    <tableColumn id="876" xr3:uid="{75FE6DB3-AB61-4BA1-A80D-F88F39185318}" name="Column857"/>
    <tableColumn id="877" xr3:uid="{FCE83DD6-CB1A-47DC-AED4-5078E33D1300}" name="Column858"/>
    <tableColumn id="878" xr3:uid="{A1960D86-353A-4B70-8C6D-A84A0A3A2F43}" name="Column859"/>
    <tableColumn id="879" xr3:uid="{8707F6BF-FC78-41E2-B5F3-E1206575C58E}" name="Column860"/>
    <tableColumn id="880" xr3:uid="{3184F9F7-C05B-42B7-8184-53F7C075E6ED}" name="Column861"/>
    <tableColumn id="881" xr3:uid="{99AC44AE-F918-4D11-8F85-93E1ABAB7410}" name="Column862"/>
    <tableColumn id="882" xr3:uid="{6A917E5F-1DA4-4208-8ED1-2BC86D3D74AD}" name="Column863"/>
    <tableColumn id="883" xr3:uid="{D06808D3-AEB3-4D2C-A4F4-E779CD5F125C}" name="Column864"/>
    <tableColumn id="884" xr3:uid="{1720C432-7062-4345-AA5C-53347528D9E5}" name="Column865"/>
    <tableColumn id="885" xr3:uid="{7E4B10DD-5855-46D7-AD4D-83AD2881B82D}" name="Column866"/>
    <tableColumn id="886" xr3:uid="{A2B67519-92E4-4795-A36B-32B851D95412}" name="Column867"/>
    <tableColumn id="887" xr3:uid="{59E1CC36-14E9-48AB-924D-FD598022CD72}" name="Column868"/>
    <tableColumn id="888" xr3:uid="{3A5C4009-D8FE-407A-BB0A-16D086ADF135}" name="Column869"/>
    <tableColumn id="889" xr3:uid="{72473FAA-D10A-4089-8047-B9BF5864830A}" name="Column870"/>
    <tableColumn id="890" xr3:uid="{4FD785E3-6821-4FE7-BA2A-1682D4240E72}" name="Column871"/>
    <tableColumn id="891" xr3:uid="{7BE33A04-D075-4D89-AC7D-BF0C2C34BD9F}" name="Column872"/>
    <tableColumn id="892" xr3:uid="{66A37F2E-1761-464A-98EE-7C757A74ECC3}" name="Column873"/>
    <tableColumn id="893" xr3:uid="{1E7A130E-01B4-46EF-9BA4-8B3A11514421}" name="Column874"/>
    <tableColumn id="894" xr3:uid="{A9219DBC-628A-4CF8-B2B1-925CDB59B4DA}" name="Column875"/>
    <tableColumn id="895" xr3:uid="{76B83B93-425D-4BCC-9A7C-0C539A69725B}" name="Column876"/>
    <tableColumn id="896" xr3:uid="{7A47B302-9B1A-4AD8-AA90-F44E958FDFE8}" name="Column877"/>
    <tableColumn id="897" xr3:uid="{D6052034-2A62-4FD6-BB72-F3645271568E}" name="Column878"/>
    <tableColumn id="898" xr3:uid="{AA631C12-8DAA-4A22-A6BE-7539BAACC29D}" name="Column879"/>
    <tableColumn id="899" xr3:uid="{B6C92D79-4C8E-4BC2-B2C0-364777049D88}" name="Column880"/>
    <tableColumn id="900" xr3:uid="{8E339C09-C70D-441C-B23D-E5A62F91727B}" name="Column881"/>
    <tableColumn id="901" xr3:uid="{00A8A165-1D80-4D9C-B450-F46F011A4819}" name="Column882"/>
    <tableColumn id="902" xr3:uid="{6C34D9C3-E3F7-4B1B-8118-1036994563C0}" name="Column883"/>
    <tableColumn id="903" xr3:uid="{59AD5BEE-3932-4FD3-8807-454D189668E7}" name="Column884"/>
    <tableColumn id="904" xr3:uid="{4928F126-2FEB-4C9F-A5DA-5F1F2BF2FAA9}" name="Column885"/>
    <tableColumn id="905" xr3:uid="{664AA98E-5077-42CC-A18C-8251B35425CD}" name="Column886"/>
    <tableColumn id="906" xr3:uid="{045CE482-9527-4B91-ABD5-1C7238364952}" name="Column887"/>
    <tableColumn id="907" xr3:uid="{07651CB6-90D9-4011-9156-99E1F37A02C2}" name="Column888"/>
    <tableColumn id="908" xr3:uid="{31A6FA37-9461-40D8-8B24-F3991828148D}" name="Column889"/>
    <tableColumn id="909" xr3:uid="{246FFC4A-36B3-494B-A738-45FCBC70EBDD}" name="Column890"/>
    <tableColumn id="910" xr3:uid="{27EA9704-BC08-4E9A-A590-8748DD5C01DE}" name="Column891"/>
    <tableColumn id="911" xr3:uid="{01A99B59-D658-434E-BA9E-57DE9DE70358}" name="Column892"/>
    <tableColumn id="912" xr3:uid="{0AB60B0E-E7DA-4340-A4A0-8DBA3BC036A0}" name="Column893"/>
    <tableColumn id="913" xr3:uid="{2C140399-9D03-4AE5-9AFA-E0DA5DF04D74}" name="Column894"/>
    <tableColumn id="914" xr3:uid="{F2C0417E-8186-42D9-BF64-96F516737EB2}" name="Column895"/>
    <tableColumn id="915" xr3:uid="{A1A71E28-BA5F-438B-B8F5-514B2E8E5580}" name="Column896"/>
    <tableColumn id="916" xr3:uid="{A0D36DD0-66F5-4440-8BD5-B5AC879CD63B}" name="Column897"/>
    <tableColumn id="917" xr3:uid="{27507983-F829-45ED-BF6F-2D8171516B16}" name="Column898"/>
    <tableColumn id="918" xr3:uid="{A18BA1C6-659C-4E67-8237-F068D35F174B}" name="Column899"/>
    <tableColumn id="919" xr3:uid="{BA319B47-CBE9-4836-A96F-0094DFBF58ED}" name="Column900"/>
    <tableColumn id="920" xr3:uid="{F38B103C-944A-4D3C-B15C-046DD54CD883}" name="Column901"/>
    <tableColumn id="921" xr3:uid="{D3D4D0A8-4A11-410F-ACBF-1B94253DDBC0}" name="Column902"/>
    <tableColumn id="922" xr3:uid="{22184DA7-9F72-4630-A234-5866B44630D7}" name="Column903"/>
    <tableColumn id="923" xr3:uid="{3F454032-079F-4E3B-84B1-26760F493914}" name="Column904"/>
    <tableColumn id="924" xr3:uid="{9C747DF5-AEE1-432E-AB9C-EF8B60EF6725}" name="Column905"/>
    <tableColumn id="925" xr3:uid="{DEBCC6CB-C130-491E-9046-A1E4BA3D1591}" name="Column906"/>
    <tableColumn id="926" xr3:uid="{8A4E3BA6-F8D7-4B18-8B8C-91852AC9CE59}" name="Column907"/>
    <tableColumn id="927" xr3:uid="{DB5F2112-2A23-4F13-9237-D973CCA806FE}" name="Column908"/>
    <tableColumn id="928" xr3:uid="{D4A8CDEA-5B88-4CE1-BCE2-370099607077}" name="Column909"/>
    <tableColumn id="929" xr3:uid="{838FA787-1FC5-4549-9C20-7A14E1BA4AB0}" name="Column910"/>
    <tableColumn id="930" xr3:uid="{87E2EFD0-0E77-4712-B673-40E31DCB09CA}" name="Column911"/>
    <tableColumn id="931" xr3:uid="{FFCCFE32-3065-417A-B676-2F03EC1727DD}" name="Column912"/>
    <tableColumn id="932" xr3:uid="{2AD5F74F-9514-4397-9ECD-333F800323A0}" name="Column913"/>
    <tableColumn id="933" xr3:uid="{6575D041-C20D-4646-B0C7-2998A8D69556}" name="Column914"/>
    <tableColumn id="934" xr3:uid="{727D62F8-4362-4C63-910B-FCC2D2647D72}" name="Column915"/>
    <tableColumn id="935" xr3:uid="{6AB648BD-C7EC-4832-B850-86F609CD9BA7}" name="Column916"/>
    <tableColumn id="936" xr3:uid="{EAFF98C3-5B6A-4081-9DAA-D0E2476612FF}" name="Column917"/>
    <tableColumn id="937" xr3:uid="{B6A9FDC1-6489-403E-AD50-B13CA1AC7EEC}" name="Column918"/>
    <tableColumn id="938" xr3:uid="{D91A835A-88F5-4079-ABC1-A8CFFE81680E}" name="Column919"/>
    <tableColumn id="939" xr3:uid="{015426A0-B852-4D49-B5FF-54DADC32AB0D}" name="Column920"/>
    <tableColumn id="940" xr3:uid="{64909A35-0558-443B-9462-7D15776CD0AA}" name="Column921"/>
    <tableColumn id="941" xr3:uid="{63270ABE-D217-4682-BA89-393D514D0271}" name="Column922"/>
    <tableColumn id="942" xr3:uid="{00D57F58-38E4-4506-8B5C-9FA00F1319FB}" name="Column923"/>
    <tableColumn id="943" xr3:uid="{A772FD6E-552C-4A8C-9B7F-3094CDC1D30E}" name="Column924"/>
    <tableColumn id="944" xr3:uid="{2FF4E012-AAB1-4A00-B31A-3C069742EACD}" name="Column925"/>
    <tableColumn id="945" xr3:uid="{46EBAF8C-C3EC-4DA0-A198-CC2F4A7C06E4}" name="Column926"/>
    <tableColumn id="946" xr3:uid="{CD16C420-D79A-47D3-A677-EC344471EE93}" name="Column927"/>
    <tableColumn id="947" xr3:uid="{C5178CF3-6C6F-4DD5-8D70-CE51E2BD4FF8}" name="Column928"/>
    <tableColumn id="948" xr3:uid="{3A4F14EF-ECCA-4EC2-A849-B41E23D20A53}" name="Column929"/>
    <tableColumn id="949" xr3:uid="{4F5743C3-7037-4B55-8CC0-EC42D4644513}" name="Column930"/>
    <tableColumn id="950" xr3:uid="{1097BC96-0F94-411B-B881-FC3DEA9CAF50}" name="Column931"/>
    <tableColumn id="951" xr3:uid="{B4E46818-2C78-4B11-A346-06D079A3A4D6}" name="Column932"/>
    <tableColumn id="952" xr3:uid="{7C306C80-E552-4380-B983-4B6F0255762F}" name="Column933"/>
    <tableColumn id="953" xr3:uid="{A07EF68C-5515-4C80-A71D-1666D140034B}" name="Column934"/>
    <tableColumn id="954" xr3:uid="{56648298-4762-45EC-B0DE-69828C700177}" name="Column935"/>
    <tableColumn id="955" xr3:uid="{D7DDCB77-2965-43F4-8068-D82BC094E18A}" name="Column936"/>
    <tableColumn id="956" xr3:uid="{47278971-8176-4215-99EB-4383384C34D3}" name="Column937"/>
    <tableColumn id="957" xr3:uid="{43EC33A3-853F-4D98-BD44-AB0406BD42AE}" name="Column938"/>
    <tableColumn id="958" xr3:uid="{AD102793-4460-45AD-AFAD-0448D157151E}" name="Column939"/>
    <tableColumn id="959" xr3:uid="{6B562E68-B0A4-421E-9288-C3912213B413}" name="Column940"/>
    <tableColumn id="960" xr3:uid="{B771346F-CE0E-435E-ADB6-6D8B3446002F}" name="Column941"/>
    <tableColumn id="961" xr3:uid="{01A71B57-E267-4E27-86A4-A3AFB4557F22}" name="Column942"/>
    <tableColumn id="962" xr3:uid="{ED169EFC-A3E3-4CCF-A33A-1DC90B78E10B}" name="Column943"/>
    <tableColumn id="963" xr3:uid="{25DCAB1E-085E-44C8-9CC5-DEA6A07395AC}" name="Column944"/>
    <tableColumn id="964" xr3:uid="{B9B36051-E643-4EA2-87AB-E29B7503E408}" name="Column945"/>
    <tableColumn id="965" xr3:uid="{2C655C67-2828-41EA-A053-3827873ACFEF}" name="Column946"/>
    <tableColumn id="966" xr3:uid="{D6DB9BC7-5D7A-48F3-B327-156238053DB7}" name="Column947"/>
    <tableColumn id="967" xr3:uid="{A005B72F-4933-4725-B2B6-B45C19878802}" name="Column948"/>
    <tableColumn id="968" xr3:uid="{3D5A147A-87E4-4FB8-9972-6567A75E2528}" name="Column949"/>
    <tableColumn id="969" xr3:uid="{17CF826C-4F49-4903-8372-80DF052A850C}" name="Column950"/>
    <tableColumn id="970" xr3:uid="{D165667E-FBA0-4285-97A9-CB5E63A538AC}" name="Column951"/>
    <tableColumn id="971" xr3:uid="{FE055A39-16BC-4996-85C1-C9FF71085A2A}" name="Column952"/>
    <tableColumn id="972" xr3:uid="{177F1A27-9BA8-461C-B87A-AE08A55DC0EA}" name="Column953"/>
    <tableColumn id="973" xr3:uid="{5B588979-3A2D-441E-AFEB-11A59C852F4E}" name="Column954"/>
    <tableColumn id="974" xr3:uid="{71C85240-1DD9-4423-A87B-D0582BFF3C2B}" name="Column955"/>
    <tableColumn id="975" xr3:uid="{A2FCFB61-16FD-4B3C-A3F7-59FCB0D10C4E}" name="Column956"/>
    <tableColumn id="976" xr3:uid="{5C85BCD7-609E-42ED-8239-DCDDC2262395}" name="Column957"/>
    <tableColumn id="977" xr3:uid="{5EC37138-F46F-4308-AB50-795442047E6F}" name="Column958"/>
    <tableColumn id="978" xr3:uid="{7D9F7349-DE42-4B4F-95F0-437C86ABBDD8}" name="Column959"/>
    <tableColumn id="979" xr3:uid="{52A26DFA-7DCD-46AE-9FC8-80BA25C37E94}" name="Column960"/>
    <tableColumn id="980" xr3:uid="{727709A1-E4F4-4658-9DAC-B55A17831C59}" name="Column961"/>
    <tableColumn id="981" xr3:uid="{A2E4F213-9799-4838-BF3D-07496BDA45F4}" name="Column962"/>
    <tableColumn id="982" xr3:uid="{286B6E8E-9D45-4662-89E6-B3E5E9126B99}" name="Column963"/>
    <tableColumn id="983" xr3:uid="{32F272D4-AB13-4B68-95CE-0ED8CA9EFC7B}" name="Column964"/>
    <tableColumn id="984" xr3:uid="{75C2C029-8290-4069-8171-AC371E3DED95}" name="Column965"/>
    <tableColumn id="985" xr3:uid="{CEB2081F-6556-4B12-B721-7348797ADFD2}" name="Column966"/>
    <tableColumn id="986" xr3:uid="{C1E85783-3C8A-4463-A048-2A7C4A46C60D}" name="Column967"/>
    <tableColumn id="987" xr3:uid="{ACA67E8A-E573-4D5D-9448-A7B74DA3DA25}" name="Column968"/>
    <tableColumn id="988" xr3:uid="{30AFAA8C-66BC-4CFB-B797-2F421866584F}" name="Column969"/>
    <tableColumn id="989" xr3:uid="{4AED6F71-7D56-4851-BAF7-95D0CDD5A1AB}" name="Column970"/>
    <tableColumn id="990" xr3:uid="{D9D58281-0B14-4739-A621-598C7FDC7624}" name="Column971"/>
    <tableColumn id="991" xr3:uid="{C0D070A9-88D6-4E76-A839-75F5C9CE63FA}" name="Column972"/>
    <tableColumn id="992" xr3:uid="{FB5FCD32-4F81-48D2-8BDC-E26894479E26}" name="Column973"/>
    <tableColumn id="993" xr3:uid="{A23CB5D5-C386-492B-B4C1-259D3E3E7328}" name="Column974"/>
    <tableColumn id="994" xr3:uid="{B7E31148-1E11-4B55-9938-CC24B47DC0FD}" name="Column975"/>
    <tableColumn id="995" xr3:uid="{4CBF474B-2EE9-4541-A2A0-458DAF913202}" name="Column976"/>
    <tableColumn id="996" xr3:uid="{5079EB1F-D826-40B1-823B-E5B0E7B7F8DB}" name="Column977"/>
    <tableColumn id="997" xr3:uid="{B28FC1F5-44B3-4DE1-98DE-FD64881A4BD2}" name="Column978"/>
    <tableColumn id="998" xr3:uid="{BC99CA55-B922-4631-A3B6-E63F3FB96ECF}" name="Column979"/>
    <tableColumn id="999" xr3:uid="{D992E601-0482-41CA-BBC1-38F3143DD010}" name="Column980"/>
    <tableColumn id="1000" xr3:uid="{FABC27DC-8F59-4187-8B48-AE87FF461187}" name="Column981"/>
    <tableColumn id="1001" xr3:uid="{AAF2289F-3339-4C32-8DF8-0771C42EDFA2}" name="Column982"/>
    <tableColumn id="1002" xr3:uid="{70C4C368-11F8-4867-ABD3-84D13A37FF76}" name="Column983"/>
    <tableColumn id="1003" xr3:uid="{46B81460-9857-4201-86CF-21EF6E54311E}" name="Column984"/>
    <tableColumn id="1004" xr3:uid="{DC1EAF1F-33BD-4059-8AB6-46931A996375}" name="Column985"/>
    <tableColumn id="1005" xr3:uid="{9C7F6834-9DA3-421E-A0D5-BFFE2C4435E4}" name="Column986"/>
    <tableColumn id="1006" xr3:uid="{4750ACF8-8560-42FC-A01B-5F2912058400}" name="Column987"/>
    <tableColumn id="1007" xr3:uid="{7DF89D4C-2D30-4C1E-BB71-EA3093ABDCF4}" name="Column988"/>
    <tableColumn id="1008" xr3:uid="{407E57DB-A8D3-4AB9-AAC4-CACCA8C8ABC8}" name="Column989"/>
    <tableColumn id="1009" xr3:uid="{D89A6149-B079-41A5-BE72-4391D800FF51}" name="Column990"/>
    <tableColumn id="1010" xr3:uid="{B8727CDA-D011-4B3C-856A-0459CB89E192}" name="Column991"/>
    <tableColumn id="1011" xr3:uid="{54A0B833-92FF-46FA-B72E-CF4BB8A747D7}" name="Column992"/>
    <tableColumn id="1012" xr3:uid="{D80843FA-A796-4105-B500-04B8F55F3FBC}" name="Column993"/>
    <tableColumn id="1013" xr3:uid="{060D0AC1-FCAA-452C-B16A-257457C3E4A1}" name="Column994"/>
    <tableColumn id="1014" xr3:uid="{1DF3D2EA-3E87-484F-B949-06D5F80BB5FE}" name="Column995"/>
    <tableColumn id="1015" xr3:uid="{0DBDF8F0-B5E0-4B2A-B2C8-BDC017208927}" name="Column996"/>
    <tableColumn id="1016" xr3:uid="{C32DD2EA-DDAB-409E-8547-4F76634187DA}" name="Column997"/>
    <tableColumn id="1017" xr3:uid="{E62C792C-72E4-4B4D-AD5C-5E41A3EFF32B}" name="Column998"/>
    <tableColumn id="1018" xr3:uid="{447CC0C4-FB4F-4C74-822E-671BE33EF1D6}" name="Column999"/>
    <tableColumn id="1019" xr3:uid="{9B94E49F-8504-48BF-AB27-4E3E4F66B77D}" name="Column1000"/>
    <tableColumn id="1020" xr3:uid="{AA437297-FA1E-456F-9512-F598381AD48D}" name="Column1001"/>
    <tableColumn id="1021" xr3:uid="{4DF6449B-7556-467F-9D84-88C5032535ED}" name="Column1002"/>
    <tableColumn id="1022" xr3:uid="{534202A6-B740-4A51-98DA-15064F0EE296}" name="Column1003"/>
    <tableColumn id="1023" xr3:uid="{9691D005-0953-41FA-988B-15C865019A8E}" name="Column1004"/>
    <tableColumn id="1024" xr3:uid="{CCF12549-90FB-4B0C-8ACE-DF4CC8221870}" name="Column1005"/>
    <tableColumn id="1025" xr3:uid="{1B499CCC-EC6D-47A1-9F9B-91AA98FA2D1B}" name="Column1006"/>
    <tableColumn id="1026" xr3:uid="{2201616A-D77C-40BE-9281-1008F3B0F400}" name="Column1007"/>
    <tableColumn id="1027" xr3:uid="{4ABB41E5-AD0B-42FB-880C-D113B51BD203}" name="Column1008"/>
    <tableColumn id="1028" xr3:uid="{406960F9-CBD7-4EAA-B523-C8BC7F580A63}" name="Column1009"/>
    <tableColumn id="1029" xr3:uid="{66D6CE8B-6D54-4CAD-9233-92AE3D609765}" name="Column1010"/>
    <tableColumn id="1030" xr3:uid="{8F99B2A0-86A3-4732-A2FF-78C96F3926DB}" name="Column1011"/>
    <tableColumn id="1031" xr3:uid="{438CD6DA-AEBD-4B49-A613-AC4A886B1188}" name="Column1012"/>
    <tableColumn id="1032" xr3:uid="{289EE459-67B7-42A0-A355-192705EA48FF}" name="Column1013"/>
    <tableColumn id="1033" xr3:uid="{2053DBDC-5B13-46ED-8144-338414AA9BBD}" name="Column1014"/>
    <tableColumn id="1034" xr3:uid="{F22E25E2-DC1D-477C-9180-E9D01941D791}" name="Column1015"/>
    <tableColumn id="1035" xr3:uid="{23C2F19D-E4EB-4526-8D75-C939B4ABF682}" name="Column1016"/>
    <tableColumn id="1036" xr3:uid="{B83CB3B6-BCB2-4D1E-9971-B1FDCB75DD4D}" name="Column1017"/>
    <tableColumn id="1037" xr3:uid="{487F044A-C94D-46BC-B7AE-75FC0B8D7113}" name="Column1018"/>
    <tableColumn id="1038" xr3:uid="{D7E25C2F-FCD2-48C2-B98D-D07D0B58D95A}" name="Column1019"/>
    <tableColumn id="1039" xr3:uid="{E33A818D-50F3-4235-A45F-981A8AC9FE1C}" name="Column1020"/>
    <tableColumn id="1040" xr3:uid="{B0FB2866-E677-4515-98DE-EA81AD5825E8}" name="Column1021"/>
    <tableColumn id="1041" xr3:uid="{19506350-8FE1-4F7C-A1A2-83DD70EB2DAC}" name="Column1022"/>
    <tableColumn id="1042" xr3:uid="{D0EE4D56-41DE-4D8B-8521-48D756391D95}" name="Column1023"/>
    <tableColumn id="1043" xr3:uid="{1321DA30-0ADA-4AA3-BAED-84A57023BD76}" name="Column1024"/>
    <tableColumn id="1044" xr3:uid="{B1BC038C-D2AA-41D3-B64C-B5C5212F4D3C}" name="Column1025"/>
    <tableColumn id="1045" xr3:uid="{91ABF594-B35D-42F0-AB6D-E4305CA1DD2D}" name="Column1026"/>
    <tableColumn id="1046" xr3:uid="{3165AEAF-1A6B-4782-9AB1-11FAE7AD2CBD}" name="Column1027"/>
    <tableColumn id="1047" xr3:uid="{CA3903A7-ADF5-4BB8-A9E3-4A43A2607878}" name="Column1028"/>
    <tableColumn id="1048" xr3:uid="{0365205D-6ACB-4E03-BB1B-A3E56A201FDB}" name="Column1029"/>
    <tableColumn id="1049" xr3:uid="{549A6CA2-4AB2-431E-BC2C-9F63B612C427}" name="Column1030"/>
    <tableColumn id="1050" xr3:uid="{E9D51B80-A4B2-4EBA-9EB8-7B09837E811A}" name="Column1031"/>
    <tableColumn id="1051" xr3:uid="{6546613D-C143-46F2-9449-25DBE5D465A0}" name="Column1032"/>
    <tableColumn id="1052" xr3:uid="{09EA76DB-7C1A-4A78-A48E-48753901746C}" name="Column1033"/>
    <tableColumn id="1053" xr3:uid="{0EA8B4E4-586E-4BCD-942D-A57A47B1FFBD}" name="Column1034"/>
    <tableColumn id="1054" xr3:uid="{DA537443-302E-4A82-9DFB-EB50D25487A6}" name="Column1035"/>
    <tableColumn id="1055" xr3:uid="{1B5EC894-8F8B-496F-AAE0-39F41F3D245B}" name="Column1036"/>
    <tableColumn id="1056" xr3:uid="{AC09D746-760F-4C51-B998-87FD79863D62}" name="Column1037"/>
    <tableColumn id="1057" xr3:uid="{870B3026-5A38-412E-81DB-EC66C5DD5849}" name="Column1038"/>
    <tableColumn id="1058" xr3:uid="{C4AC3D64-343E-4C33-B6FF-9757229A9192}" name="Column1039"/>
    <tableColumn id="1059" xr3:uid="{3D3E2566-1DE4-4EA8-A630-FD82AC5162BA}" name="Column1040"/>
    <tableColumn id="1060" xr3:uid="{3972CE74-8ABA-4331-8E41-709DEE31A591}" name="Column1041"/>
    <tableColumn id="1061" xr3:uid="{F8392768-6ED0-4CE7-B42A-5CF9A1206776}" name="Column1042"/>
    <tableColumn id="1062" xr3:uid="{5A094F1D-2BDF-4C57-80ED-42E9056FC439}" name="Column1043"/>
    <tableColumn id="1063" xr3:uid="{422114DC-CCBA-4BF2-B2F3-B2462F7B5881}" name="Column1044"/>
    <tableColumn id="1064" xr3:uid="{E2186E9D-2BD8-48CD-A8B0-9F25C35054A9}" name="Column1045"/>
    <tableColumn id="1065" xr3:uid="{2727B979-9050-4A3D-B78A-25B9AF1FB5FC}" name="Column1046"/>
    <tableColumn id="1066" xr3:uid="{4EFB63D3-D6F0-4189-888A-FF7CC529D697}" name="Column1047"/>
    <tableColumn id="1067" xr3:uid="{67C24C90-ED30-4F3D-81A4-992BD63EA169}" name="Column1048"/>
    <tableColumn id="1068" xr3:uid="{FEC82655-458C-499C-B476-5E71AADB204A}" name="Column1049"/>
    <tableColumn id="1069" xr3:uid="{BEF2617C-3D16-4AF9-AE6E-652C733A7C55}" name="Column1050"/>
    <tableColumn id="1070" xr3:uid="{7F9968F4-AE11-4421-A819-C38CA5FD6E68}" name="Column1051"/>
    <tableColumn id="1071" xr3:uid="{1E3C7DFB-4AD5-4EF7-A70C-46934FCBE511}" name="Column1052"/>
    <tableColumn id="1072" xr3:uid="{F5B63711-8FB0-446E-89A1-5B7C70AD9BF5}" name="Column1053"/>
    <tableColumn id="1073" xr3:uid="{E4A1C735-C673-42A7-BCEE-1C33592EE3D2}" name="Column1054"/>
    <tableColumn id="1074" xr3:uid="{8FE7CEB1-AC19-4C19-88BD-FDEEF2EB810D}" name="Column1055"/>
    <tableColumn id="1075" xr3:uid="{C5263733-4A79-4A0F-BB37-BAFA5B1D3718}" name="Column1056"/>
    <tableColumn id="1076" xr3:uid="{9E37678C-A80E-406B-B6FD-04D4CC2360FA}" name="Column1057"/>
    <tableColumn id="1077" xr3:uid="{FCF46AC0-4BD4-4612-A69D-75F626938DC3}" name="Column1058"/>
    <tableColumn id="1078" xr3:uid="{2CFC8ED2-281C-4A6E-ADF5-DFC1A93F35BB}" name="Column1059"/>
    <tableColumn id="1079" xr3:uid="{6B0A1344-8495-48CB-928A-3E3988C6FB0E}" name="Column1060"/>
    <tableColumn id="1080" xr3:uid="{673D11AC-5056-4901-90A7-4592AE9C4C9E}" name="Column1061"/>
    <tableColumn id="1081" xr3:uid="{8E4E2C8A-FE87-4C7C-A24E-EA10D3C0FD96}" name="Column1062"/>
    <tableColumn id="1082" xr3:uid="{0493CABF-7269-4F8F-BCEE-D2E3206261D4}" name="Column1063"/>
    <tableColumn id="1083" xr3:uid="{5CE65561-B5B9-4C86-832F-A4302D9D5004}" name="Column1064"/>
    <tableColumn id="1084" xr3:uid="{4FBE74BC-8656-4CED-85D7-B245907B5DF6}" name="Column1065"/>
    <tableColumn id="1085" xr3:uid="{E3839B05-A4DE-4259-A703-DFA576004FAA}" name="Column1066"/>
    <tableColumn id="1086" xr3:uid="{0795EFE7-16F1-424F-998E-D66FA200FCC5}" name="Column1067"/>
    <tableColumn id="1087" xr3:uid="{52A22199-2004-47C2-8851-2BB2ABBDDFDB}" name="Column1068"/>
    <tableColumn id="1088" xr3:uid="{FCB053B0-7FDF-416F-87AB-725E75CB0466}" name="Column1069"/>
    <tableColumn id="1089" xr3:uid="{72CC60B4-C0AC-48AB-91B3-063098371177}" name="Column1070"/>
    <tableColumn id="1090" xr3:uid="{0C55F440-5DB9-42FE-8710-8581AD8477D9}" name="Column1071"/>
    <tableColumn id="1091" xr3:uid="{021B43D0-35AA-498E-BBB6-5A39DF8B961A}" name="Column1072"/>
    <tableColumn id="1092" xr3:uid="{144EF6C0-DF61-4033-894C-59F07F7CB17A}" name="Column1073"/>
    <tableColumn id="1093" xr3:uid="{AB2986C7-C0D4-48CB-9497-7B0A43A79CFB}" name="Column1074"/>
    <tableColumn id="1094" xr3:uid="{A801E6D5-6778-41AA-86C2-841053E4F685}" name="Column1075"/>
    <tableColumn id="1095" xr3:uid="{A28D9746-BDAF-4836-B7CF-F5CDEEF6D3D2}" name="Column1076"/>
    <tableColumn id="1096" xr3:uid="{A108C052-407E-4D9E-8FC5-C87474DEA4D9}" name="Column1077"/>
    <tableColumn id="1097" xr3:uid="{9E41BE40-89B7-40B6-8374-795D81053B23}" name="Column1078"/>
    <tableColumn id="1098" xr3:uid="{FC8E091F-0015-40BD-9755-85765B73AF74}" name="Column1079"/>
    <tableColumn id="1099" xr3:uid="{97C0E47F-E7B6-4ADE-9C70-CB9AA8C56BB3}" name="Column1080"/>
    <tableColumn id="1100" xr3:uid="{5FF1DA9E-F5DA-4E2C-B781-6BD445A47E64}" name="Column1081"/>
    <tableColumn id="1101" xr3:uid="{F847D3F8-EC19-481F-BFED-350C5BEC43F7}" name="Column1082"/>
    <tableColumn id="1102" xr3:uid="{7E3904D9-EAFC-4D0F-BDC2-EEE00A3AEF5B}" name="Column1083"/>
    <tableColumn id="1103" xr3:uid="{0D499C06-7935-473E-84D5-57E00FCF1845}" name="Column1084"/>
    <tableColumn id="1104" xr3:uid="{6C7CEE98-F3E1-4106-A948-FDB399540B6A}" name="Column1085"/>
    <tableColumn id="1105" xr3:uid="{EDFF5BC5-F070-416E-816D-73A52824E5F9}" name="Column1086"/>
    <tableColumn id="1106" xr3:uid="{7D1D39CD-7C35-4753-BE37-A310406077FF}" name="Column1087"/>
    <tableColumn id="1107" xr3:uid="{1942DF1C-2625-4CC9-B20A-352773155425}" name="Column1088"/>
    <tableColumn id="1108" xr3:uid="{4F6EEF58-F053-43E3-A631-89F8121B40B4}" name="Column1089"/>
    <tableColumn id="1109" xr3:uid="{78325C56-1D5C-410F-AC2E-6408131F4238}" name="Column1090"/>
    <tableColumn id="1110" xr3:uid="{C7132006-358A-44F3-9C6B-753938AF359A}" name="Column1091"/>
    <tableColumn id="1111" xr3:uid="{B8C02E9D-8CFF-4260-A201-F7AD70FEAED6}" name="Column1092"/>
    <tableColumn id="1112" xr3:uid="{11CDCC34-445D-4290-B9B3-5177372A99CC}" name="Column1093"/>
    <tableColumn id="1113" xr3:uid="{35581066-9A84-4171-90E4-039F2A94B6F5}" name="Column1094"/>
    <tableColumn id="1114" xr3:uid="{34D0FB31-9855-463E-A6B0-117E34B7059B}" name="Column1095"/>
    <tableColumn id="1115" xr3:uid="{F2A6ECF5-AFC0-4EA9-B813-F7998F23D90F}" name="Column1096"/>
    <tableColumn id="1116" xr3:uid="{5BFF6DE8-8E1C-41C6-919E-96B8116CA956}" name="Column1097"/>
    <tableColumn id="1117" xr3:uid="{3E8C47CC-F269-494D-8CC2-E686A5673227}" name="Column1098"/>
    <tableColumn id="1118" xr3:uid="{ADF3F65E-4B60-4507-B6F4-910560B2AA02}" name="Column1099"/>
    <tableColumn id="1119" xr3:uid="{B14375A1-831E-4BFF-A70E-B5699A07AABF}" name="Column1100"/>
    <tableColumn id="1120" xr3:uid="{64D347DC-D94A-4E83-BAD7-14D2C4B6B198}" name="Column1101"/>
    <tableColumn id="1121" xr3:uid="{CD02C37E-DB21-453A-9D21-C70212A139B6}" name="Column1102"/>
    <tableColumn id="1122" xr3:uid="{CC74E796-6639-4941-B533-63925876B205}" name="Column1103"/>
    <tableColumn id="1123" xr3:uid="{AC2D96D5-8BDD-4C8D-B8F4-DAC9676C0269}" name="Column1104"/>
    <tableColumn id="1124" xr3:uid="{285640A9-5C6E-4548-9849-FF3085D92095}" name="Column1105"/>
    <tableColumn id="1125" xr3:uid="{E8245568-326A-4C30-967C-889499B83446}" name="Column1106"/>
    <tableColumn id="1126" xr3:uid="{58EE3A18-8D68-4AA3-ACE0-EAE42E3603CD}" name="Column1107"/>
    <tableColumn id="1127" xr3:uid="{EA75E59E-C81C-41A3-8BC2-EEF49768EF5E}" name="Column1108"/>
    <tableColumn id="1128" xr3:uid="{20C6E26E-FD7B-472B-9AA0-5D3FFBB60FFD}" name="Column1109"/>
    <tableColumn id="1129" xr3:uid="{0D69974B-02A7-42E7-9F05-18487C568AB2}" name="Column1110"/>
    <tableColumn id="1130" xr3:uid="{B5CE5DE8-86B5-4815-A8A9-4EB18BD69BB2}" name="Column1111"/>
    <tableColumn id="1131" xr3:uid="{C2A872CB-788E-4098-964E-B49FFB2818F5}" name="Column1112"/>
    <tableColumn id="1132" xr3:uid="{DE318117-3CDA-42BB-A059-B46E9B4BA520}" name="Column1113"/>
    <tableColumn id="1133" xr3:uid="{FAA508C6-B55C-4F79-A77E-6F037A083D11}" name="Column1114"/>
    <tableColumn id="1134" xr3:uid="{E60143D8-6678-4681-9069-EA4B6308E7E9}" name="Column1115"/>
    <tableColumn id="1135" xr3:uid="{F42DD0CA-DD77-48DA-B86F-F5976ACEFDEB}" name="Column1116"/>
    <tableColumn id="1136" xr3:uid="{281D914E-6783-44AF-A6FF-1C3FA43049BD}" name="Column1117"/>
    <tableColumn id="1137" xr3:uid="{7A2EAED3-A27D-40C7-88DD-E5276AEBA0B1}" name="Column1118"/>
    <tableColumn id="1138" xr3:uid="{A4F07DC0-B6E9-42FC-BBE4-694D5BBDC50D}" name="Column1119"/>
    <tableColumn id="1139" xr3:uid="{71A73D8B-E10A-46E4-B18F-631573069F84}" name="Column1120"/>
    <tableColumn id="1140" xr3:uid="{EAD31216-7C85-46FE-9DEB-75E03B3125E3}" name="Column1121"/>
    <tableColumn id="1141" xr3:uid="{40BB83C4-F31C-417B-8C53-C60637671ECB}" name="Column1122"/>
    <tableColumn id="1142" xr3:uid="{41A87CAE-230F-4544-B7E2-151FCDFD3E83}" name="Column1123"/>
    <tableColumn id="1143" xr3:uid="{760A091C-91FA-4863-9F30-273962F5B5E9}" name="Column1124"/>
    <tableColumn id="1144" xr3:uid="{893D19B6-AB0B-4BE4-B3C1-505B4F464003}" name="Column1125"/>
    <tableColumn id="1145" xr3:uid="{FC9A5657-85D2-4444-ADC5-F850D8F383BA}" name="Column1126"/>
    <tableColumn id="1146" xr3:uid="{15DE5EE5-2D04-43B4-AAB6-B147E0790068}" name="Column1127"/>
    <tableColumn id="1147" xr3:uid="{CE2B8773-6736-482F-A970-4F93E94AF3DA}" name="Column1128"/>
    <tableColumn id="1148" xr3:uid="{E54870CD-1BA3-4A1C-8BC9-AD492D070A0F}" name="Column1129"/>
    <tableColumn id="1149" xr3:uid="{AABE3821-D1E1-4F51-91B1-ADE78A684424}" name="Column1130"/>
    <tableColumn id="1150" xr3:uid="{E3121710-53E7-4E62-B2C3-008A94B01BCE}" name="Column1131"/>
    <tableColumn id="1151" xr3:uid="{C1B28B0E-B32E-4408-A948-0725D21D5C30}" name="Column1132"/>
    <tableColumn id="1152" xr3:uid="{69A23F81-75F4-4388-B170-2D1A568C6F50}" name="Column1133"/>
    <tableColumn id="1153" xr3:uid="{FFB4A785-57B1-488F-B535-2D59207B27D4}" name="Column1134"/>
    <tableColumn id="1154" xr3:uid="{1C96F1AA-099B-4A77-8BFC-22E2646691D5}" name="Column1135"/>
    <tableColumn id="1155" xr3:uid="{1B10DD11-396F-4D10-A21C-B0D72F40ECC1}" name="Column1136"/>
    <tableColumn id="1156" xr3:uid="{1C31EEB7-B936-434E-9885-ECB950ECDC89}" name="Column1137"/>
    <tableColumn id="1157" xr3:uid="{AE501477-D4BD-4393-AD16-3582E3CDE2AF}" name="Column1138"/>
    <tableColumn id="1158" xr3:uid="{5F19DFBA-8EF0-49DD-BB02-B5D37F03B3E7}" name="Column1139"/>
    <tableColumn id="1159" xr3:uid="{C772D74C-97F3-4B0F-B0C6-517042592D7D}" name="Column1140"/>
    <tableColumn id="1160" xr3:uid="{07A7DB65-D40F-4239-8621-2F1FC2C8CE8A}" name="Column1141"/>
    <tableColumn id="1161" xr3:uid="{2616D693-F9BB-4C10-9F71-B1DD3FDFED3B}" name="Column1142"/>
    <tableColumn id="1162" xr3:uid="{442DFE9C-85DD-4580-A3B8-0000EE1D9F02}" name="Column1143"/>
    <tableColumn id="1163" xr3:uid="{06DF53CB-32B5-48C7-8784-D31E1BA161C0}" name="Column1144"/>
    <tableColumn id="1164" xr3:uid="{D76B9C0F-D634-4E37-82E9-31A274A93B89}" name="Column1145"/>
    <tableColumn id="1165" xr3:uid="{E08C2529-784D-4928-A928-C483CB29D227}" name="Column1146"/>
    <tableColumn id="1166" xr3:uid="{1D8450AF-C29A-429C-A716-B9C11593F574}" name="Column1147"/>
    <tableColumn id="1167" xr3:uid="{D5B69F47-4B9A-49A7-913B-AD669D3C5E7C}" name="Column1148"/>
    <tableColumn id="1168" xr3:uid="{47337859-7A68-4B55-806F-49C623DBD972}" name="Column1149"/>
    <tableColumn id="1169" xr3:uid="{2BE99595-3FAB-457F-96FE-AA1772A6F2B9}" name="Column1150"/>
    <tableColumn id="1170" xr3:uid="{377A0E5A-908F-4A6D-A29D-3D10817549B4}" name="Column1151"/>
    <tableColumn id="1171" xr3:uid="{023E8BE7-2191-49E2-A964-7C3588841327}" name="Column1152"/>
    <tableColumn id="1172" xr3:uid="{134C02E2-24C8-407E-B683-DF1FDFEF4A5D}" name="Column1153"/>
    <tableColumn id="1173" xr3:uid="{C768DDFB-E044-4CCC-A501-841FC60938B8}" name="Column1154"/>
    <tableColumn id="1174" xr3:uid="{501487A3-D59A-44AB-AB02-7100ED8C21DD}" name="Column1155"/>
    <tableColumn id="1175" xr3:uid="{0695F799-E220-4EE5-A3FD-649CC8A704A7}" name="Column1156"/>
    <tableColumn id="1176" xr3:uid="{046A28B5-BA12-4FB0-ABA0-D7E242F9A5A1}" name="Column1157"/>
    <tableColumn id="1177" xr3:uid="{B60B81F9-BAF0-47CE-9863-4333DF7C3531}" name="Column1158"/>
    <tableColumn id="1178" xr3:uid="{01882A08-E85F-4703-8B1E-37FA53890B72}" name="Column1159"/>
    <tableColumn id="1179" xr3:uid="{D44865D4-C1BB-4903-B689-EDBEAAC0DD2F}" name="Column1160"/>
    <tableColumn id="1180" xr3:uid="{B30A968C-BC78-43D9-ABEE-2FAA397CF2D1}" name="Column1161"/>
    <tableColumn id="1181" xr3:uid="{0696A942-3820-4889-8146-D431BDEACF93}" name="Column1162"/>
    <tableColumn id="1182" xr3:uid="{880EC66D-85DF-4A4F-8A9A-E1335452652E}" name="Column1163"/>
    <tableColumn id="1183" xr3:uid="{44EB527D-43D7-4FF7-A7E4-726A2E5907C3}" name="Column1164"/>
    <tableColumn id="1184" xr3:uid="{356269F5-EF81-46DC-BB06-00E6D1A2A1B5}" name="Column1165"/>
    <tableColumn id="1185" xr3:uid="{3C252F34-1848-406F-8206-E13EBE09FE55}" name="Column1166"/>
    <tableColumn id="1186" xr3:uid="{3BD40F51-91C1-4183-9072-B5EE7C57655C}" name="Column1167"/>
    <tableColumn id="1187" xr3:uid="{A3F11395-FDB2-4E12-BDBA-CEEF51B81F6F}" name="Column1168"/>
    <tableColumn id="1188" xr3:uid="{01DE5132-AD7C-4B54-8D9E-7BA5708700A4}" name="Column1169"/>
    <tableColumn id="1189" xr3:uid="{60C76BF2-4EE2-41AE-AC5C-5992B07A7DF7}" name="Column1170"/>
    <tableColumn id="1190" xr3:uid="{6D288A64-2FEF-4CF7-AB95-178DF8DDDC36}" name="Column1171"/>
    <tableColumn id="1191" xr3:uid="{2D56BEE1-1929-4C8F-A423-98F7CB58DCB9}" name="Column1172"/>
    <tableColumn id="1192" xr3:uid="{3CAE79CF-BC91-4335-84DD-AC0220E3D175}" name="Column1173"/>
    <tableColumn id="1193" xr3:uid="{F4272F2C-0D5F-4F2C-B863-0683595D57A9}" name="Column1174"/>
    <tableColumn id="1194" xr3:uid="{3EBC4854-1E09-43C1-9D03-21EF4D944614}" name="Column1175"/>
    <tableColumn id="1195" xr3:uid="{235262A4-8A1C-457F-8830-7A798CD9EFF9}" name="Column1176"/>
    <tableColumn id="1196" xr3:uid="{CDBEB40F-EC55-499E-A7AD-1FE899B98197}" name="Column1177"/>
    <tableColumn id="1197" xr3:uid="{4C5298A9-0D4D-4114-8A32-5ED9B3F034CE}" name="Column1178"/>
    <tableColumn id="1198" xr3:uid="{041F1230-2209-4036-B6C8-D21E6B872E1E}" name="Column1179"/>
    <tableColumn id="1199" xr3:uid="{36FCC42A-DC20-4088-8228-49B8529D3D07}" name="Column1180"/>
    <tableColumn id="1200" xr3:uid="{283CF1E5-F950-4FB2-9E96-F03804ECAAF8}" name="Column1181"/>
    <tableColumn id="1201" xr3:uid="{AFF44F62-521E-41C5-A1E9-56FA017262B7}" name="Column1182"/>
    <tableColumn id="1202" xr3:uid="{748E2E3D-4343-44C8-8471-8664BC70F31C}" name="Column1183"/>
    <tableColumn id="1203" xr3:uid="{5BD649BC-4A01-429E-9E32-F87902EAB536}" name="Column1184"/>
    <tableColumn id="1204" xr3:uid="{B370B453-C9AE-4EF3-BB53-D0841B3968DC}" name="Column1185"/>
    <tableColumn id="1205" xr3:uid="{63633929-0EFE-4F0F-9CDA-60894D377F86}" name="Column1186"/>
    <tableColumn id="1206" xr3:uid="{85361FD3-7F4A-42B0-9E91-6F4277364D36}" name="Column1187"/>
    <tableColumn id="1207" xr3:uid="{6430F73E-A92F-4EBD-9CC9-01F66056933D}" name="Column1188"/>
    <tableColumn id="1208" xr3:uid="{7F2B56C8-178A-4237-B0D5-8F70F37B3E45}" name="Column1189"/>
    <tableColumn id="1209" xr3:uid="{91A74957-1CF7-46DB-8677-82F522E8B226}" name="Column1190"/>
    <tableColumn id="1210" xr3:uid="{858A5B99-E2D2-4108-90A7-D0D2B0242805}" name="Column1191"/>
    <tableColumn id="1211" xr3:uid="{AD654E89-2D05-49EC-8B2F-4E5206E0F1CF}" name="Column1192"/>
    <tableColumn id="1212" xr3:uid="{463078A2-86FE-401B-BA79-F7AF37914638}" name="Column1193"/>
    <tableColumn id="1213" xr3:uid="{14A32698-9818-4374-A4BF-75F3BE7B7386}" name="Column1194"/>
    <tableColumn id="1214" xr3:uid="{FC5D811A-21B9-43D5-92E5-E425E9A25D70}" name="Column1195"/>
    <tableColumn id="1215" xr3:uid="{6865D469-8D6F-4922-BB89-46B6B49F9B29}" name="Column1196"/>
    <tableColumn id="1216" xr3:uid="{08D11B0F-C140-454A-AE95-E3F075EFA527}" name="Column1197"/>
    <tableColumn id="1217" xr3:uid="{7B6C6F84-0738-43A4-B3F2-997EF69B5348}" name="Column1198"/>
    <tableColumn id="1218" xr3:uid="{095A4BA5-24C6-482D-A3BD-729C9B0E3CBF}" name="Column1199"/>
    <tableColumn id="1219" xr3:uid="{5E4DF078-3BA3-47A3-9B75-0486A570FD22}" name="Column1200"/>
    <tableColumn id="1220" xr3:uid="{95FB5915-6805-420E-B885-09AEA2DC53F5}" name="Column1201"/>
    <tableColumn id="1221" xr3:uid="{33216A12-F507-44C2-8EE9-737BFF263EAB}" name="Column1202"/>
    <tableColumn id="1222" xr3:uid="{0DA106B1-25F4-417E-AFC4-BBF5CFB29D3E}" name="Column1203"/>
    <tableColumn id="1223" xr3:uid="{278F1472-6253-4A5F-84C9-556D6DDCFC12}" name="Column1204"/>
    <tableColumn id="1224" xr3:uid="{B72AA303-4EAC-414F-B5E3-7FE3C6959373}" name="Column1205"/>
    <tableColumn id="1225" xr3:uid="{D5375432-3C06-4CED-8650-9747858DBDC5}" name="Column1206"/>
    <tableColumn id="1226" xr3:uid="{44D9903A-4798-41A7-AEBE-BA1CAB90181F}" name="Column1207"/>
    <tableColumn id="1227" xr3:uid="{BA42C310-F1CB-4320-8C46-A8BA88E416F9}" name="Column1208"/>
    <tableColumn id="1228" xr3:uid="{731AF227-4405-4951-92D8-40FF66BADE46}" name="Column1209"/>
    <tableColumn id="1229" xr3:uid="{B428B825-0C45-402D-AF32-815E23459207}" name="Column1210"/>
    <tableColumn id="1230" xr3:uid="{3B7CED7F-2763-45EE-9C55-96AE05F93A61}" name="Column1211"/>
    <tableColumn id="1231" xr3:uid="{F4E8A880-0B00-4D5C-BBBC-6B7DCA0756A1}" name="Column1212"/>
    <tableColumn id="1232" xr3:uid="{835B7099-DD93-4F8F-848E-1B873D5834C1}" name="Column1213"/>
    <tableColumn id="1233" xr3:uid="{BF3C650E-FBFE-4CCC-9438-EFDF2554B915}" name="Column1214"/>
    <tableColumn id="1234" xr3:uid="{87283DAF-07F1-4611-9062-A7F82E6C35B5}" name="Column1215"/>
    <tableColumn id="1235" xr3:uid="{15423FA5-2FBF-48B7-823B-D65D3C2C0317}" name="Column1216"/>
    <tableColumn id="1236" xr3:uid="{97F48518-7BF0-4B1E-91E9-4D5C4297040E}" name="Column1217"/>
    <tableColumn id="1237" xr3:uid="{01F15002-8A70-402A-B81D-93880ADA5A86}" name="Column1218"/>
    <tableColumn id="1238" xr3:uid="{3877A28B-D138-4F6F-9452-0171912161E3}" name="Column1219"/>
    <tableColumn id="1239" xr3:uid="{6E462B85-9C94-42DC-BF40-A20F1C0079B6}" name="Column1220"/>
    <tableColumn id="1240" xr3:uid="{4A80A160-8EB0-44A3-A319-41DFD8ED5687}" name="Column1221"/>
    <tableColumn id="1241" xr3:uid="{10FFFB9F-B1B3-4167-A906-7947876BC5A6}" name="Column1222"/>
    <tableColumn id="1242" xr3:uid="{CAA1FEC3-AA63-4DB5-9F05-549BE9AE2492}" name="Column1223"/>
    <tableColumn id="1243" xr3:uid="{06D20104-9FFA-49CA-B829-99B0F38CE49D}" name="Column1224"/>
    <tableColumn id="1244" xr3:uid="{69B88961-FA3A-474A-9A86-B6B0DBF195E7}" name="Column1225"/>
    <tableColumn id="1245" xr3:uid="{5182C025-62CD-4A29-8DEE-EDC6DC670DAF}" name="Column1226"/>
    <tableColumn id="1246" xr3:uid="{BFA07796-6785-4FD2-B84A-4FB6D3299867}" name="Column1227"/>
    <tableColumn id="1247" xr3:uid="{3AD5A605-7516-44BB-BB62-C8CA14F6459F}" name="Column1228"/>
    <tableColumn id="1248" xr3:uid="{83570740-4FC0-4124-90A8-C362777AB38A}" name="Column1229"/>
    <tableColumn id="1249" xr3:uid="{78B9912B-7EC0-4494-A9AF-3425AECA6B82}" name="Column1230"/>
    <tableColumn id="1250" xr3:uid="{5F3421FC-E850-4F26-BE50-45E065F7072A}" name="Column1231"/>
    <tableColumn id="1251" xr3:uid="{F8FE6CFA-30A5-4DBC-BB09-94982C71C9D2}" name="Column1232"/>
    <tableColumn id="1252" xr3:uid="{D5A78AC2-E19A-461E-8729-39C7CE3868F9}" name="Column1233"/>
    <tableColumn id="1253" xr3:uid="{90A8FA5E-17AC-4FCE-8C27-3682454FB5DF}" name="Column1234"/>
    <tableColumn id="1254" xr3:uid="{BED510CA-2EC8-470B-A42A-D5371967524F}" name="Column1235"/>
    <tableColumn id="1255" xr3:uid="{F48E7899-6789-4E5D-B079-038481814FDF}" name="Column1236"/>
    <tableColumn id="1256" xr3:uid="{DB9812DD-71F5-4519-95F7-3BD89E70EAF1}" name="Column1237"/>
    <tableColumn id="1257" xr3:uid="{9ABD2E10-6676-4B8F-8A75-E2D2E69E0E4F}" name="Column1238"/>
    <tableColumn id="1258" xr3:uid="{E541A1B8-4C21-4899-8F0B-3BEC1C46A861}" name="Column1239"/>
    <tableColumn id="1259" xr3:uid="{266C8DDB-BF8B-4E12-88C2-6C14450A9E5F}" name="Column1240"/>
    <tableColumn id="1260" xr3:uid="{14E78D0B-82BE-4EE3-A29E-D4C4DD91887C}" name="Column1241"/>
    <tableColumn id="1261" xr3:uid="{55B970FC-D961-40F7-9D4F-498DC3DE7509}" name="Column1242"/>
    <tableColumn id="1262" xr3:uid="{3C41F798-42A1-4910-9297-20E710BD8ED7}" name="Column1243"/>
    <tableColumn id="1263" xr3:uid="{7A7CBA92-EDAB-4C52-BFD9-43BF38918E57}" name="Column1244"/>
    <tableColumn id="1264" xr3:uid="{C3B68ED4-C3EF-4617-8FBC-4202F700395A}" name="Column1245"/>
    <tableColumn id="1265" xr3:uid="{33011E4F-238C-4A49-B1A7-FC3C3DABBD1E}" name="Column1246"/>
    <tableColumn id="1266" xr3:uid="{374EEF1F-C765-4DE7-9F4D-95AD9B83B5AF}" name="Column1247"/>
    <tableColumn id="1267" xr3:uid="{E6ACA039-D46C-4FB8-9529-E99ADE5581E3}" name="Column1248"/>
    <tableColumn id="1268" xr3:uid="{218C256D-D52F-401E-923E-B3C8B7C062F6}" name="Column1249"/>
    <tableColumn id="1269" xr3:uid="{7859C436-6A93-4233-87B2-0CF2E744B8E5}" name="Column1250"/>
    <tableColumn id="1270" xr3:uid="{240EB4BE-F072-4D30-B1AC-F6C191E7AA6A}" name="Column1251"/>
    <tableColumn id="1271" xr3:uid="{67367D81-824B-40C7-942B-696254B35C0C}" name="Column1252"/>
    <tableColumn id="1272" xr3:uid="{16A05A89-8C20-4BC0-9FFB-0288F4E4C403}" name="Column1253"/>
    <tableColumn id="1273" xr3:uid="{4D9E1ABD-7BA8-41E6-AFB0-1FDBE8B70089}" name="Column1254"/>
    <tableColumn id="1274" xr3:uid="{699EBD90-DEDD-44BF-8229-1E3CB7F86D7B}" name="Column1255"/>
    <tableColumn id="1275" xr3:uid="{32F3332F-570D-4C66-8731-EBC8A7A3BC76}" name="Column1256"/>
    <tableColumn id="1276" xr3:uid="{63C0E08B-9E43-4FF6-8F5C-71BF1ECC6A59}" name="Column1257"/>
    <tableColumn id="1277" xr3:uid="{CC4A5734-69EF-4210-B77B-D3393C03A468}" name="Column1258"/>
    <tableColumn id="1278" xr3:uid="{80F1C442-77C2-48C7-8ADA-C1CAB0372DEF}" name="Column1259"/>
    <tableColumn id="1279" xr3:uid="{43808298-9B05-4A08-8CC1-4F151CF4ECF0}" name="Column1260"/>
    <tableColumn id="1280" xr3:uid="{2875277A-A223-46BC-8BCF-C63C5648CD87}" name="Column1261"/>
    <tableColumn id="1281" xr3:uid="{40CB43EF-5AC5-4B07-83BE-13FDA9F6FEAD}" name="Column1262"/>
    <tableColumn id="1282" xr3:uid="{204AF0DD-15AA-460D-862E-695D38D5DCB3}" name="Column1263"/>
    <tableColumn id="1283" xr3:uid="{DD42BA61-4DED-416A-9BB1-13C7FC471313}" name="Column1264"/>
    <tableColumn id="1284" xr3:uid="{1A7B2CA8-BBA6-46D8-9EC9-57784971A153}" name="Column1265"/>
    <tableColumn id="1285" xr3:uid="{2E73BBC3-5247-4AE0-BAF6-4ABA09249649}" name="Column1266"/>
    <tableColumn id="1286" xr3:uid="{F66C1FE0-AC7A-47F4-BCB5-18BCD809CF25}" name="Column1267"/>
    <tableColumn id="1287" xr3:uid="{FD62D668-E68F-4D80-A004-2EDBE307F43F}" name="Column1268"/>
    <tableColumn id="1288" xr3:uid="{349DC471-36E0-451A-8E77-FEEC616974BE}" name="Column1269"/>
    <tableColumn id="1289" xr3:uid="{543435E1-394B-4900-867D-674684DD12EB}" name="Column1270"/>
    <tableColumn id="1290" xr3:uid="{4F17A1A2-9794-496D-89DB-7AE33CC60380}" name="Column1271"/>
    <tableColumn id="1291" xr3:uid="{7CEA4266-674E-479D-A16D-F0DF088FA7C7}" name="Column1272"/>
    <tableColumn id="1292" xr3:uid="{1B95B610-B16F-497B-BEFE-C5CD0C5E050A}" name="Column1273"/>
    <tableColumn id="1293" xr3:uid="{1B2E7E26-4428-4905-9790-80FFED5E09D8}" name="Column1274"/>
    <tableColumn id="1294" xr3:uid="{BA5936ED-043F-4E22-A267-E51ED3B8EC42}" name="Column1275"/>
    <tableColumn id="1295" xr3:uid="{78B64F39-6596-422B-BDE9-06FB6FDD9D0B}" name="Column1276"/>
    <tableColumn id="1296" xr3:uid="{1DCD272F-FB4B-4BB6-AFB2-440396556AF2}" name="Column1277"/>
    <tableColumn id="1297" xr3:uid="{292F86A4-4E61-4C79-878A-B8D7B36F1B69}" name="Column1278"/>
    <tableColumn id="1298" xr3:uid="{64074C3E-5DAF-4534-866B-D84C686EA984}" name="Column1279"/>
    <tableColumn id="1299" xr3:uid="{692DA85A-874F-45A0-B262-D30C2FC27033}" name="Column1280"/>
    <tableColumn id="1300" xr3:uid="{6B5F1662-0371-4527-885D-C22D623C79CF}" name="Column1281"/>
    <tableColumn id="1301" xr3:uid="{CD44F0F7-3BEC-4883-9028-EADEA1BD96C5}" name="Column1282"/>
    <tableColumn id="1302" xr3:uid="{8318CF6A-24CB-4692-A4D5-DB3252A84A04}" name="Column1283"/>
    <tableColumn id="1303" xr3:uid="{92B39CE6-618A-408C-BDB7-F150E49FB2FD}" name="Column1284"/>
    <tableColumn id="1304" xr3:uid="{B16F842C-08AC-402A-99B8-DA02EFD76620}" name="Column1285"/>
    <tableColumn id="1305" xr3:uid="{A8865A2E-50F3-4ABB-BD42-CC2206CA5129}" name="Column1286"/>
    <tableColumn id="1306" xr3:uid="{E96D2797-C620-465C-99C1-39A0019398FC}" name="Column1287"/>
    <tableColumn id="1307" xr3:uid="{6482CC6E-71CA-459B-9349-D991786F76EC}" name="Column1288"/>
    <tableColumn id="1308" xr3:uid="{D37AB626-26AC-472B-B4B4-E6BEAABF1877}" name="Column1289"/>
    <tableColumn id="1309" xr3:uid="{E581509D-99B7-4923-B62C-F30F03713AE7}" name="Column1290"/>
    <tableColumn id="1310" xr3:uid="{24CE9CF7-6E34-4B0C-8130-FF4F37CFFB54}" name="Column1291"/>
    <tableColumn id="1311" xr3:uid="{0D066A59-CCFD-4155-BA02-474B50EC3B5F}" name="Column1292"/>
    <tableColumn id="1312" xr3:uid="{9C09A50E-8314-45BA-B299-D88F6E38217C}" name="Column1293"/>
    <tableColumn id="1313" xr3:uid="{058FC3AD-9297-4919-A994-5BF52BDDF3CB}" name="Column1294"/>
    <tableColumn id="1314" xr3:uid="{6DD247DE-B53B-48E0-B421-E91610D095C8}" name="Column1295"/>
    <tableColumn id="1315" xr3:uid="{3CCEB283-D55D-45AA-8D11-C7E4724A3AE7}" name="Column1296"/>
    <tableColumn id="1316" xr3:uid="{34C6BCDC-2673-48D2-A922-DDF2D84DEC35}" name="Column1297"/>
    <tableColumn id="1317" xr3:uid="{247F3C9D-6064-4D5C-B3A8-BE5391A5F7A5}" name="Column1298"/>
    <tableColumn id="1318" xr3:uid="{E0730400-2A64-4045-891E-59607C8F5B85}" name="Column1299"/>
    <tableColumn id="1319" xr3:uid="{81AB6581-4E92-4BA7-A74C-8C1DF41918F6}" name="Column1300"/>
    <tableColumn id="1320" xr3:uid="{1FC5B1E5-767F-4BF3-9CEA-B692B97C36E2}" name="Column1301"/>
    <tableColumn id="1321" xr3:uid="{443060BC-D58C-4757-AB64-DE438519C066}" name="Column1302"/>
    <tableColumn id="1322" xr3:uid="{9036C176-8FA4-47D3-BF1F-E9642417D8B9}" name="Column1303"/>
    <tableColumn id="1323" xr3:uid="{B1C72EEF-B30B-49F2-889A-BFB93BADBD1F}" name="Column1304"/>
    <tableColumn id="1324" xr3:uid="{720CC273-27DB-4FE8-A871-EB29AE11F5B4}" name="Column1305"/>
    <tableColumn id="1325" xr3:uid="{035E6785-D18A-422B-BD85-E983C483F80C}" name="Column1306"/>
    <tableColumn id="1326" xr3:uid="{2C37D634-F0A9-4C10-9F8F-D52E67360858}" name="Column1307"/>
    <tableColumn id="1327" xr3:uid="{B1D0E3ED-B7F4-4F80-A046-067475281C34}" name="Column1308"/>
    <tableColumn id="1328" xr3:uid="{4B118BAA-486A-416A-983C-1FAD08DB5420}" name="Column1309"/>
    <tableColumn id="1329" xr3:uid="{286BEE7B-2B70-48D9-A9F3-8357A18717B5}" name="Column1310"/>
    <tableColumn id="1330" xr3:uid="{69092987-250E-4C0D-AF6C-D03585F013DA}" name="Column1311"/>
    <tableColumn id="1331" xr3:uid="{085559F1-9B07-4A11-9D6C-271691B64427}" name="Column1312"/>
    <tableColumn id="1332" xr3:uid="{270F0AAB-A0D0-4109-8B97-DBFF3FFFCEF3}" name="Column1313"/>
    <tableColumn id="1333" xr3:uid="{FCF0FC50-555E-46FC-AB84-79A6D84B44F1}" name="Column1314"/>
    <tableColumn id="1334" xr3:uid="{BC1EBF79-5CA1-4146-933D-90AB9566844F}" name="Column1315"/>
    <tableColumn id="1335" xr3:uid="{0289EAC5-A466-4039-85E8-1119181E30B1}" name="Column1316"/>
    <tableColumn id="1336" xr3:uid="{EB6CDBE8-6331-4DA8-BC90-6447003C4CF2}" name="Column1317"/>
    <tableColumn id="1337" xr3:uid="{B5F110C6-C252-4650-9FC3-6E129A397B24}" name="Column1318"/>
    <tableColumn id="1338" xr3:uid="{6ADC6773-A228-40D9-ACC2-129148D33DAE}" name="Column1319"/>
    <tableColumn id="1339" xr3:uid="{2BA6CF3B-451A-46B6-AD77-7501F91B5B8B}" name="Column1320"/>
    <tableColumn id="1340" xr3:uid="{7426BC3D-A433-41DC-BB72-C78DD5EDD5BD}" name="Column1321"/>
    <tableColumn id="1341" xr3:uid="{895E6263-753E-4DD5-952F-F29397843D79}" name="Column1322"/>
    <tableColumn id="1342" xr3:uid="{28260E87-FC71-4A12-A7B7-B3459332A5D9}" name="Column1323"/>
    <tableColumn id="1343" xr3:uid="{31F8F64D-DA72-46E9-A33F-C8207A4FEDF9}" name="Column1324"/>
    <tableColumn id="1344" xr3:uid="{1FA9465D-C55B-4851-8824-BC0219BD252D}" name="Column1325"/>
    <tableColumn id="1345" xr3:uid="{45D5436B-6DC7-4498-8F73-5C9E5AC53CF4}" name="Column1326"/>
    <tableColumn id="1346" xr3:uid="{E0746E55-A9ED-40CD-BF78-4A2098980836}" name="Column1327"/>
    <tableColumn id="1347" xr3:uid="{0F4C9BE6-83AD-446E-B834-52E2CC89CE76}" name="Column1328"/>
    <tableColumn id="1348" xr3:uid="{EA0D59E5-7687-45CF-AC7D-EFC5B1C160DA}" name="Column1329"/>
    <tableColumn id="1349" xr3:uid="{FADA0529-B3FE-45B1-A5A4-A5DECF8AFBD1}" name="Column1330"/>
    <tableColumn id="1350" xr3:uid="{8AA1DA78-F88D-47A0-8C0A-DEF038DACCF1}" name="Column1331"/>
    <tableColumn id="1351" xr3:uid="{E5FA97DC-DE24-4387-A306-AD4D8BA740E9}" name="Column1332"/>
    <tableColumn id="1352" xr3:uid="{DA4C44BB-DB28-42E3-87C2-72FF034F91D2}" name="Column1333"/>
    <tableColumn id="1353" xr3:uid="{3D0AD675-6F1E-40EE-BB48-9088ED9F3E20}" name="Column1334"/>
    <tableColumn id="1354" xr3:uid="{65053FFE-410D-4597-B24C-F44EADE42284}" name="Column1335"/>
    <tableColumn id="1355" xr3:uid="{E1D48272-C9D5-4299-91E1-387DB157BBE3}" name="Column1336"/>
    <tableColumn id="1356" xr3:uid="{1CCA5CD4-5243-4E38-AADE-7BB6430B5960}" name="Column1337"/>
    <tableColumn id="1357" xr3:uid="{4F662478-280C-4996-BE18-42B79F6AA49A}" name="Column1338"/>
    <tableColumn id="1358" xr3:uid="{ADEBF024-740C-4113-A0AF-AD1756349E82}" name="Column1339"/>
    <tableColumn id="1359" xr3:uid="{C8ACADAE-38F2-45AD-B86B-FEAB945E901E}" name="Column1340"/>
    <tableColumn id="1360" xr3:uid="{5E97922E-61EE-4523-BE32-AE1094BB6193}" name="Column1341"/>
    <tableColumn id="1361" xr3:uid="{0772AD03-93A8-4CCC-AFFC-77D3819AAE09}" name="Column1342"/>
    <tableColumn id="1362" xr3:uid="{F53DBF54-D647-452B-A242-BCDDE3985F93}" name="Column1343"/>
    <tableColumn id="1363" xr3:uid="{DB4F69F0-DBAC-464F-96F2-D54F566B7A03}" name="Column1344"/>
    <tableColumn id="1364" xr3:uid="{0A0A8E60-E212-4D7F-AB7E-B1AD6DAD678D}" name="Column1345"/>
    <tableColumn id="1365" xr3:uid="{F2DCD54E-2968-458B-A77B-AC46198C9DE4}" name="Column1346"/>
    <tableColumn id="1366" xr3:uid="{4C8BE91B-445F-40CC-8BD2-CA63BF0C9973}" name="Column1347"/>
    <tableColumn id="1367" xr3:uid="{B991F48C-2945-43CD-9436-77355786684A}" name="Column1348"/>
    <tableColumn id="1368" xr3:uid="{1CE18ACE-3351-400D-873A-ACD8FF304A3F}" name="Column1349"/>
    <tableColumn id="1369" xr3:uid="{85F006C0-A52F-466F-B5B9-0E78E34ECE6C}" name="Column1350"/>
    <tableColumn id="1370" xr3:uid="{A580EFF6-A8C0-43DE-9059-17217FAAC5BB}" name="Column1351"/>
    <tableColumn id="1371" xr3:uid="{DE5B10C1-53B1-4090-82E9-70C11870EC21}" name="Column1352"/>
    <tableColumn id="1372" xr3:uid="{605A99A4-D752-4680-9F67-3B80ACF9209B}" name="Column1353"/>
    <tableColumn id="1373" xr3:uid="{14AB8F4F-56E9-43FC-B08E-B746064506C8}" name="Column1354"/>
    <tableColumn id="1374" xr3:uid="{F7D695EF-3D93-41F5-AA65-E4FAC967DEE7}" name="Column1355"/>
    <tableColumn id="1375" xr3:uid="{B1BB1F5C-4882-4686-9D5E-5ED29BF2CF57}" name="Column1356"/>
    <tableColumn id="1376" xr3:uid="{CA8D409B-BE87-4135-86CF-7E4EC110DA07}" name="Column1357"/>
    <tableColumn id="1377" xr3:uid="{3C804A23-2319-4F9E-8A48-EF43823FCEE5}" name="Column1358"/>
    <tableColumn id="1378" xr3:uid="{94781FCF-1689-46AD-8518-8A3EE32EBCA7}" name="Column1359"/>
    <tableColumn id="1379" xr3:uid="{0AA9D963-60EB-4B3F-B495-FDBDA6A6002B}" name="Column1360"/>
    <tableColumn id="1380" xr3:uid="{807B4D2D-8E6F-4E9A-AE38-EE8FCA9CD0B8}" name="Column1361"/>
    <tableColumn id="1381" xr3:uid="{F644635E-3DE7-4B88-9FFA-BD6FB6FDA298}" name="Column1362"/>
    <tableColumn id="1382" xr3:uid="{C230E996-5392-4169-8830-FB86DCBF08E4}" name="Column1363"/>
    <tableColumn id="1383" xr3:uid="{1755FB77-2B4E-444F-8E55-EC57DF22B84C}" name="Column1364"/>
    <tableColumn id="1384" xr3:uid="{0EEFDC29-41F9-4507-9A2D-A84E391CAB69}" name="Column1365"/>
    <tableColumn id="1385" xr3:uid="{BDE98347-42A8-470F-9882-A23466255813}" name="Column1366"/>
    <tableColumn id="1386" xr3:uid="{B8BE57C0-6DFC-4DF9-80F0-A5CBBF36B134}" name="Column1367"/>
    <tableColumn id="1387" xr3:uid="{693191F5-B97B-444D-87CD-A44D4EF0B560}" name="Column1368"/>
    <tableColumn id="1388" xr3:uid="{20A0F131-58FE-4157-ACCB-9B72FBC4F1AF}" name="Column1369"/>
    <tableColumn id="1389" xr3:uid="{59A85993-0BFA-4412-A9C8-85FDDA5F98A3}" name="Column1370"/>
    <tableColumn id="1390" xr3:uid="{E068AB92-3443-45B3-894A-E7E3BEA361A3}" name="Column1371"/>
    <tableColumn id="1391" xr3:uid="{D06C868A-C8AC-40C5-9330-7040A7109062}" name="Column1372"/>
    <tableColumn id="1392" xr3:uid="{6D1C4753-A063-4C72-A6E4-27C17292A591}" name="Column1373"/>
    <tableColumn id="1393" xr3:uid="{73D4D50D-1A56-485D-ACD2-CF109AA6CF27}" name="Column1374"/>
    <tableColumn id="1394" xr3:uid="{A2D45D23-A448-4E3B-8121-6EF7DA36DDEA}" name="Column1375"/>
    <tableColumn id="1395" xr3:uid="{917C4DDE-22DB-4163-A028-78A46ED5D71E}" name="Column1376"/>
    <tableColumn id="1396" xr3:uid="{FB65B47E-AC43-487F-B3FA-DA86DC37EEF3}" name="Column1377"/>
    <tableColumn id="1397" xr3:uid="{491E3572-F3DC-4200-9D9C-A84AACF780B7}" name="Column1378"/>
    <tableColumn id="1398" xr3:uid="{E7871250-318B-4E7E-8C5B-B8BB73BA1DC6}" name="Column1379"/>
    <tableColumn id="1399" xr3:uid="{362F8167-5D4F-4D55-ADAE-3B15C074C9B1}" name="Column1380"/>
    <tableColumn id="1400" xr3:uid="{F08DCC9E-96C7-4417-BB1A-6B5EEF723F99}" name="Column1381"/>
    <tableColumn id="1401" xr3:uid="{D745FA20-C40D-4CE1-A03F-74C6DC1E813D}" name="Column1382"/>
    <tableColumn id="1402" xr3:uid="{955113FF-B678-4FC9-B2C7-6F2B4154F176}" name="Column1383"/>
    <tableColumn id="1403" xr3:uid="{EDAB2329-1120-431A-AA2E-DDFBAA1491B6}" name="Column1384"/>
    <tableColumn id="1404" xr3:uid="{4687E2EE-EAE7-4D49-89CB-EE9B8F8AD299}" name="Column1385"/>
    <tableColumn id="1405" xr3:uid="{A6B48D09-9477-445B-94B9-1AA5B9AE4D52}" name="Column1386"/>
    <tableColumn id="1406" xr3:uid="{0C0A0317-6C5B-4AB7-AB46-92A3CA4FEF9D}" name="Column1387"/>
    <tableColumn id="1407" xr3:uid="{04D755A6-8B19-4142-918E-355D3EA8B6A4}" name="Column1388"/>
    <tableColumn id="1408" xr3:uid="{05F3C74F-0530-4156-BD9C-04D74E0EE32A}" name="Column1389"/>
    <tableColumn id="1409" xr3:uid="{EF52B9B6-9CE5-4176-B92C-06FA95C30A44}" name="Column1390"/>
    <tableColumn id="1410" xr3:uid="{DB6C7880-40A0-40FB-8FA5-E851382D73E0}" name="Column1391"/>
    <tableColumn id="1411" xr3:uid="{5ADB0EFF-09DB-4A84-9B4B-4B68DD789E32}" name="Column1392"/>
    <tableColumn id="1412" xr3:uid="{5BB53EE1-A7E4-43F9-8D0B-B8030DECB987}" name="Column1393"/>
    <tableColumn id="1413" xr3:uid="{8A26337D-0B42-4E8C-8022-C52C98F73C54}" name="Column1394"/>
    <tableColumn id="1414" xr3:uid="{F1D14C3D-1D1A-42CC-8982-2F63BE0A509D}" name="Column1395"/>
    <tableColumn id="1415" xr3:uid="{94BA6D5B-85EB-4F7A-A094-A3FC51BE9912}" name="Column1396"/>
    <tableColumn id="1416" xr3:uid="{32BF6565-3D1C-4E15-9B5F-FFDF0337D929}" name="Column1397"/>
    <tableColumn id="1417" xr3:uid="{E9503183-14DB-40FE-8D67-5AC2EA85455E}" name="Column1398"/>
    <tableColumn id="1418" xr3:uid="{698ADB15-BE31-433D-A3C9-F9760AF98265}" name="Column1399"/>
    <tableColumn id="1419" xr3:uid="{BC95B289-E20E-4E09-9D8B-EE3F03671000}" name="Column1400"/>
    <tableColumn id="1420" xr3:uid="{14626C57-1E47-49A0-B216-5A8F5128735A}" name="Column1401"/>
    <tableColumn id="1421" xr3:uid="{3D66C148-C89C-4272-841E-94D5A9FBC56B}" name="Column1402"/>
    <tableColumn id="1422" xr3:uid="{65C8D13D-EFD6-471A-8ABA-97C07812119E}" name="Column1403"/>
    <tableColumn id="1423" xr3:uid="{0528A274-F09B-46A2-BC09-2D8154DC7D22}" name="Column1404"/>
    <tableColumn id="1424" xr3:uid="{3FED5489-1213-48A3-B3ED-C568E8580B42}" name="Column1405"/>
    <tableColumn id="1425" xr3:uid="{A98E854B-51C7-4827-9F3E-45AF28459704}" name="Column1406"/>
    <tableColumn id="1426" xr3:uid="{82A99DAB-AE75-4261-A411-32C2CF37971C}" name="Column1407"/>
    <tableColumn id="1427" xr3:uid="{CAF2BC50-BDD7-400A-92FE-E984A037EB4C}" name="Column1408"/>
    <tableColumn id="1428" xr3:uid="{458C7872-42CC-4315-BEE2-A81D540A24E0}" name="Column1409"/>
    <tableColumn id="1429" xr3:uid="{51C954CB-1C5D-4044-8F5E-B97884ED276C}" name="Column1410"/>
    <tableColumn id="1430" xr3:uid="{FC38B675-DFC7-4AE5-87C7-0DC7FA1E5813}" name="Column1411"/>
    <tableColumn id="1431" xr3:uid="{438CCDD4-54D2-4413-A7DD-4AC08CCC5727}" name="Column1412"/>
    <tableColumn id="1432" xr3:uid="{5EAA6D64-7358-414A-921A-541C43D9C61A}" name="Column1413"/>
    <tableColumn id="1433" xr3:uid="{6935F3FC-4B5F-455A-959C-411F0F0352E8}" name="Column1414"/>
    <tableColumn id="1434" xr3:uid="{41E46E0F-644C-4152-AD54-375D233D7840}" name="Column1415"/>
    <tableColumn id="1435" xr3:uid="{8F6934EF-20C3-4E62-B27F-84996822E25C}" name="Column1416"/>
    <tableColumn id="1436" xr3:uid="{6AA1F682-A8E1-4CAB-9D50-003442B070E2}" name="Column1417"/>
    <tableColumn id="1437" xr3:uid="{B4FB8F01-EEAB-4E90-A422-85E59C680751}" name="Column1418"/>
    <tableColumn id="1438" xr3:uid="{EEF6A6C4-738B-476B-B80E-8565B5862F77}" name="Column1419"/>
    <tableColumn id="1439" xr3:uid="{5BD0A035-9D26-4814-9CFA-18CB033AB5B1}" name="Column1420"/>
    <tableColumn id="1440" xr3:uid="{EC7189C4-43EF-46AA-AA94-2485E1B531B2}" name="Column1421"/>
    <tableColumn id="1441" xr3:uid="{1808CE60-ED62-4E47-B06F-8F41CB4E8955}" name="Column1422"/>
    <tableColumn id="1442" xr3:uid="{55EA5230-9270-43C8-B494-11D0FAD085EF}" name="Column1423"/>
    <tableColumn id="1443" xr3:uid="{ABB0FDC9-E9EE-43CD-BBFB-B3F3155FC66E}" name="Column1424"/>
    <tableColumn id="1444" xr3:uid="{432EB8EE-93DA-4BBE-AF01-18CAED21B7B5}" name="Column1425"/>
    <tableColumn id="1445" xr3:uid="{310871A5-1FC3-47AB-9C3D-1F65C133CD75}" name="Column1426"/>
    <tableColumn id="1446" xr3:uid="{94F36519-3AA1-47F8-B6C6-05CC9E0F059D}" name="Column1427"/>
    <tableColumn id="1447" xr3:uid="{7B3E0D96-7631-42B9-A630-92A1E86A2B16}" name="Column1428"/>
    <tableColumn id="1448" xr3:uid="{D7C67A62-7E74-4A30-A1E6-83A65B5B9B18}" name="Column1429"/>
    <tableColumn id="1449" xr3:uid="{BF7FAE2E-0721-424E-95DA-67A8004A52FD}" name="Column1430"/>
    <tableColumn id="1450" xr3:uid="{E0284A27-2F54-4892-92B7-C1B8B1FD9961}" name="Column1431"/>
    <tableColumn id="1451" xr3:uid="{D3654BFD-FF07-450E-A11E-F38DC1B80705}" name="Column1432"/>
    <tableColumn id="1452" xr3:uid="{D3DA9D90-C489-4726-AFC8-BD9DE30E3253}" name="Column1433"/>
    <tableColumn id="1453" xr3:uid="{AD847A5F-E00C-4B78-90C2-42C5F445050E}" name="Column1434"/>
    <tableColumn id="1454" xr3:uid="{08CE62D3-FF58-43ED-9FB0-4641A88817F5}" name="Column1435"/>
    <tableColumn id="1455" xr3:uid="{F5CFDEB0-3AC5-43C8-8342-38E8F4266C88}" name="Column1436"/>
    <tableColumn id="1456" xr3:uid="{E054B69F-0CAB-403A-9C71-A5DADC4CD667}" name="Column1437"/>
    <tableColumn id="1457" xr3:uid="{3F56FAD0-FE8C-49C5-874B-C12A21A692BE}" name="Column1438"/>
    <tableColumn id="1458" xr3:uid="{FA70B615-E570-428D-9385-4CCF6BC4702E}" name="Column1439"/>
    <tableColumn id="1459" xr3:uid="{E949AD16-EE9B-4AEF-A492-8336509864AB}" name="Column1440"/>
    <tableColumn id="1460" xr3:uid="{8AD4D0C0-55C4-41C1-BB77-E5C71D2673EB}" name="Column1441"/>
    <tableColumn id="1461" xr3:uid="{1DF4E1B8-DB4F-4AC7-ABC3-0F31D9418A5F}" name="Column1442"/>
    <tableColumn id="1462" xr3:uid="{E76EB858-B391-465F-80E6-1ECCE59F4829}" name="Column1443"/>
    <tableColumn id="1463" xr3:uid="{FC536837-D3DC-436D-B1D7-7849CEA42FBD}" name="Column1444"/>
    <tableColumn id="1464" xr3:uid="{5EC2FF4E-6548-46C9-B03F-AAE67DECD8E6}" name="Column1445"/>
    <tableColumn id="1465" xr3:uid="{4266EB16-EEF2-478C-AAD1-977650203181}" name="Column1446"/>
    <tableColumn id="1466" xr3:uid="{2906B916-CBFC-4701-B7F9-8BA2AD9563ED}" name="Column1447"/>
    <tableColumn id="1467" xr3:uid="{4C715DC3-B72A-4798-93A8-2066B5179197}" name="Column1448"/>
    <tableColumn id="1468" xr3:uid="{9DDF2BF7-DF6A-4601-A8DD-B56A1E408BE9}" name="Column1449"/>
    <tableColumn id="1469" xr3:uid="{EC8B266A-4F30-405F-8E82-1D1A3A349A42}" name="Column1450"/>
    <tableColumn id="1470" xr3:uid="{E51E2E7C-E5A7-4869-92C0-BBFB48A9964E}" name="Column1451"/>
    <tableColumn id="1471" xr3:uid="{CB950729-3CE4-40E7-A803-D324A6993DF7}" name="Column1452"/>
    <tableColumn id="1472" xr3:uid="{5E678BE6-8D7B-4A9B-8478-03F6934202B9}" name="Column1453"/>
    <tableColumn id="1473" xr3:uid="{5284C043-24B4-4CD4-AB79-79BF5BC27545}" name="Column1454"/>
    <tableColumn id="1474" xr3:uid="{ACC525C6-0924-481A-9C05-7B1E467436C0}" name="Column1455"/>
    <tableColumn id="1475" xr3:uid="{1C8A477F-5A90-4610-9548-43DD569D48D4}" name="Column1456"/>
    <tableColumn id="1476" xr3:uid="{2D9FD815-3DA5-4C05-B98E-9289D195F27F}" name="Column1457"/>
    <tableColumn id="1477" xr3:uid="{BE167A88-8DBF-4453-800A-0EC2DDB89740}" name="Column1458"/>
    <tableColumn id="1478" xr3:uid="{CB7A1A3D-88A3-4A05-A1CF-F65A9DD5E5E7}" name="Column1459"/>
    <tableColumn id="1479" xr3:uid="{AE90224E-14F8-490D-B657-1ED549718DF4}" name="Column1460"/>
    <tableColumn id="1480" xr3:uid="{CA178F85-6CF4-48A8-80BD-74A87CF32080}" name="Column1461"/>
    <tableColumn id="1481" xr3:uid="{C2F6B8FA-AD93-42D5-B7BE-F3D99CF51184}" name="Column1462"/>
    <tableColumn id="1482" xr3:uid="{7B5C5C00-A132-49D9-945B-7F42E53F1937}" name="Column1463"/>
    <tableColumn id="1483" xr3:uid="{D3F94452-2C7D-414D-89E7-EF42D57BB20C}" name="Column1464"/>
    <tableColumn id="1484" xr3:uid="{FB6664AC-5407-4C15-AD24-EB277400983D}" name="Column1465"/>
    <tableColumn id="1485" xr3:uid="{D8D62C4D-AB96-4932-ABAE-209D279C1F30}" name="Column1466"/>
    <tableColumn id="1486" xr3:uid="{67150C3B-0D46-460D-945C-BE50A853BAF6}" name="Column1467"/>
    <tableColumn id="1487" xr3:uid="{FB0B0636-6F7F-4EDE-8402-3D8725684964}" name="Column1468"/>
    <tableColumn id="1488" xr3:uid="{6D3F0903-913A-47B0-95FB-8D2B52BBE3AF}" name="Column1469"/>
    <tableColumn id="1489" xr3:uid="{F25B1A8F-84E7-4282-9467-B5C6C6B25CFC}" name="Column1470"/>
    <tableColumn id="1490" xr3:uid="{76EE4927-9A05-428D-B4FA-B17816BA9415}" name="Column1471"/>
    <tableColumn id="1491" xr3:uid="{C4BD45FB-EA98-4724-81FE-3501F3C92701}" name="Column1472"/>
    <tableColumn id="1492" xr3:uid="{3144133A-6247-4BFE-824B-04C4C766892F}" name="Column1473"/>
    <tableColumn id="1493" xr3:uid="{1A5060EE-5869-459A-9BBE-914659992F27}" name="Column1474"/>
    <tableColumn id="1494" xr3:uid="{F42B44FC-A5F0-49A2-8A8E-E607061EC89A}" name="Column1475"/>
    <tableColumn id="1495" xr3:uid="{1B082D45-054F-44E9-8E2F-1F85F16A1CEC}" name="Column1476"/>
    <tableColumn id="1496" xr3:uid="{96B91A4A-D3CE-44DD-9CF0-AF3A6CCB707A}" name="Column1477"/>
    <tableColumn id="1497" xr3:uid="{D7963469-FBBB-4C02-BF41-4EC0BBD0825D}" name="Column1478"/>
    <tableColumn id="1498" xr3:uid="{CC6F2F81-46FB-4176-9BE0-615ADD286336}" name="Column1479"/>
    <tableColumn id="1499" xr3:uid="{BFD1E8A2-4C62-4EC5-9446-9FE4D2C1BA9D}" name="Column1480"/>
    <tableColumn id="1500" xr3:uid="{7EFBC958-C8A3-4A68-8579-D6A8646C3732}" name="Column1481"/>
    <tableColumn id="1501" xr3:uid="{59DB2C55-66D7-4260-87FC-87890ADCFBFA}" name="Column1482"/>
    <tableColumn id="1502" xr3:uid="{110F40C1-4B50-4AB3-B8F8-62E45E2A6BE4}" name="Column1483"/>
    <tableColumn id="1503" xr3:uid="{A476CA77-7665-420F-9299-E89DC787FE5C}" name="Column1484"/>
    <tableColumn id="1504" xr3:uid="{8A28187B-93BB-4599-8A54-EFA4EDD3773B}" name="Column1485"/>
    <tableColumn id="1505" xr3:uid="{FA09AB83-B915-470A-8CD6-EB9BC5F11E67}" name="Column1486"/>
    <tableColumn id="1506" xr3:uid="{660FAA14-90A1-44C7-9ED7-BF264E5FFC6B}" name="Column1487"/>
    <tableColumn id="1507" xr3:uid="{C70DCC20-3FCC-483F-9CF4-AFDD098BB63C}" name="Column1488"/>
    <tableColumn id="1508" xr3:uid="{B5947111-E7F7-4FC8-8703-A38ADF0E88E2}" name="Column1489"/>
    <tableColumn id="1509" xr3:uid="{BF0D868F-FE79-435D-B007-ED61489CC02F}" name="Column1490"/>
    <tableColumn id="1510" xr3:uid="{13D0B2E3-48A2-4CF6-81E8-D7DCA0097E73}" name="Column1491"/>
    <tableColumn id="1511" xr3:uid="{85D05C1D-373A-4613-99DE-551FB9E05AEA}" name="Column1492"/>
    <tableColumn id="1512" xr3:uid="{20260CAC-79A4-4F96-A36F-59AD728B6439}" name="Column1493"/>
    <tableColumn id="1513" xr3:uid="{2DD3E42D-50F6-49B6-BC20-6015D1298AF8}" name="Column1494"/>
    <tableColumn id="1514" xr3:uid="{BCE338BF-EC64-4517-BCEB-A73F97678ABD}" name="Column1495"/>
    <tableColumn id="1515" xr3:uid="{23D158E1-1AA1-4497-8112-2B4E17BCCF1F}" name="Column1496"/>
    <tableColumn id="1516" xr3:uid="{DAAC0A6E-B1EE-41BB-A456-26EC676432AE}" name="Column1497"/>
    <tableColumn id="1517" xr3:uid="{AD368E8E-4155-4AA4-8D8A-DD85B493F674}" name="Column1498"/>
    <tableColumn id="1518" xr3:uid="{2AB76BC8-5C77-4A80-9957-C6C9D097503F}" name="Column1499"/>
    <tableColumn id="1519" xr3:uid="{61AA0B32-E8E5-49BF-A66F-41B07E90EB7D}" name="Column1500"/>
    <tableColumn id="1520" xr3:uid="{D4C71503-C0DF-43DF-99C3-9C2D502B3810}" name="Column1501"/>
    <tableColumn id="1521" xr3:uid="{7B8EAF06-11B5-4276-ADDF-46F6B543012F}" name="Column1502"/>
    <tableColumn id="1522" xr3:uid="{1B0914D6-E297-4D08-8F6B-874E0FA11226}" name="Column1503"/>
    <tableColumn id="1523" xr3:uid="{C7C12204-0C22-47DA-B7EC-3AEB704C11D3}" name="Column1504"/>
    <tableColumn id="1524" xr3:uid="{CC426193-96A4-4215-AAF4-BDBD7CAD77FE}" name="Column1505"/>
    <tableColumn id="1525" xr3:uid="{884CAF56-0283-459A-8A67-17322DC7E077}" name="Column1506"/>
    <tableColumn id="1526" xr3:uid="{9FC8AAAA-5D7E-4383-B624-4A8EA4BBB1BB}" name="Column1507"/>
    <tableColumn id="1527" xr3:uid="{EA97C0FE-5A66-425D-B348-18E382EFD5D4}" name="Column1508"/>
    <tableColumn id="1528" xr3:uid="{26E42424-D346-4913-9DFF-7A9ABE6E077C}" name="Column1509"/>
    <tableColumn id="1529" xr3:uid="{6677C23B-2300-4200-BB0E-FB29379227BC}" name="Column1510"/>
    <tableColumn id="1530" xr3:uid="{D840C03C-FE68-4963-8056-BB185B681514}" name="Column1511"/>
    <tableColumn id="1531" xr3:uid="{FD2D0645-A56B-4965-AFE7-515F5401F0BD}" name="Column1512"/>
    <tableColumn id="1532" xr3:uid="{1B37FA5C-0918-4227-861F-7A54B55B0591}" name="Column1513"/>
    <tableColumn id="1533" xr3:uid="{C56F2FDB-143E-4724-A66B-AEE5E407F452}" name="Column1514"/>
    <tableColumn id="1534" xr3:uid="{17EDFA63-9B58-4BAD-8B0D-B8452D6BB647}" name="Column1515"/>
    <tableColumn id="1535" xr3:uid="{6CEBD4EF-B08E-4198-9499-89444416EC91}" name="Column1516"/>
    <tableColumn id="1536" xr3:uid="{D746AE93-204B-4BEF-8F1B-EB05F1BB18D2}" name="Column1517"/>
    <tableColumn id="1537" xr3:uid="{C80E42F6-5F1B-4A36-9134-0935AC912699}" name="Column1518"/>
    <tableColumn id="1538" xr3:uid="{0B4441B8-B279-454B-BFBC-532E5241C072}" name="Column1519"/>
    <tableColumn id="1539" xr3:uid="{DCF62D68-B640-40FE-A645-74F14C88D93E}" name="Column1520"/>
    <tableColumn id="1540" xr3:uid="{359F259B-2657-4AC3-8406-F21583C0ACFF}" name="Column1521"/>
    <tableColumn id="1541" xr3:uid="{64BAD7C3-6EE5-483D-8794-B2B68547CA58}" name="Column1522"/>
    <tableColumn id="1542" xr3:uid="{E8428984-6EE0-4EA6-A4CF-770DA0133870}" name="Column1523"/>
    <tableColumn id="1543" xr3:uid="{9B51B585-3524-4128-85DD-DB3D3BF7FC4F}" name="Column1524"/>
    <tableColumn id="1544" xr3:uid="{C3B3EDE7-F5F8-465B-8C49-020A39E465E4}" name="Column1525"/>
    <tableColumn id="1545" xr3:uid="{B268A9AC-583E-47F3-BF2A-8EBA1650112B}" name="Column1526"/>
    <tableColumn id="1546" xr3:uid="{8F21EFDC-218A-44E4-B70C-BC9B0B447AA3}" name="Column1527"/>
    <tableColumn id="1547" xr3:uid="{F93A178D-0ACB-4FCA-B52B-A2E645D11FDE}" name="Column1528"/>
    <tableColumn id="1548" xr3:uid="{0E3FBAC0-AA40-4F23-B0CF-977C559CB0EB}" name="Column1529"/>
    <tableColumn id="1549" xr3:uid="{7DBE1999-1258-468E-866F-0881E82EEE43}" name="Column1530"/>
    <tableColumn id="1550" xr3:uid="{962CE3F1-BD64-4EA9-96F0-8D38A2A6931D}" name="Column1531"/>
    <tableColumn id="1551" xr3:uid="{A8B1B71D-F738-489B-8DF2-158F37B19991}" name="Column1532"/>
    <tableColumn id="1552" xr3:uid="{21476593-347C-451D-BA73-DD3AB32F4B9E}" name="Column1533"/>
    <tableColumn id="1553" xr3:uid="{AD5D20D5-CFE6-4943-99E0-9DEEC4475B2A}" name="Column1534"/>
    <tableColumn id="1554" xr3:uid="{7ACC9691-2559-465F-8C4A-F948E164DAE2}" name="Column1535"/>
    <tableColumn id="1555" xr3:uid="{278690E0-774E-422A-BD59-095603F6AA06}" name="Column1536"/>
    <tableColumn id="1556" xr3:uid="{CDBF8E33-34C1-4363-87B3-78C6B14B5B5B}" name="Column1537"/>
    <tableColumn id="1557" xr3:uid="{C6759C33-F888-42E1-8F6C-E36983915B33}" name="Column1538"/>
    <tableColumn id="1558" xr3:uid="{4DB34F8E-D714-484D-91F1-CA56079DC0E2}" name="Column1539"/>
    <tableColumn id="1559" xr3:uid="{13DF5372-8874-4939-8C51-64D274479CEB}" name="Column1540"/>
    <tableColumn id="1560" xr3:uid="{00F2B158-B937-4288-B59C-5E895CCC464A}" name="Column1541"/>
    <tableColumn id="1561" xr3:uid="{FF4DF554-C4C6-4FDB-9543-83B7EC9112EE}" name="Column1542"/>
    <tableColumn id="1562" xr3:uid="{BB110389-68AE-4D21-A0F0-2F02F1B5583E}" name="Column1543"/>
    <tableColumn id="1563" xr3:uid="{94B44B5E-DD00-4E40-A1DB-396AC765D461}" name="Column1544"/>
    <tableColumn id="1564" xr3:uid="{8CDC4ADF-B12A-4244-8C57-6F7935214427}" name="Column1545"/>
    <tableColumn id="1565" xr3:uid="{C8D764A2-487C-4846-ACD7-766EF16BD002}" name="Column1546"/>
    <tableColumn id="1566" xr3:uid="{894F7D2D-C0AE-4B57-B79E-C4C34DEEAE1C}" name="Column1547"/>
    <tableColumn id="1567" xr3:uid="{2141E6AD-107E-4335-ABFF-161941432012}" name="Column1548"/>
    <tableColumn id="1568" xr3:uid="{8D88EFCE-BE8C-4387-A4DC-AEDBC18A3222}" name="Column1549"/>
    <tableColumn id="1569" xr3:uid="{F20391B7-8230-454E-9048-9083B5FD7784}" name="Column1550"/>
    <tableColumn id="1570" xr3:uid="{16DA0B7E-346E-4EB4-B0BC-8E4C3798BC21}" name="Column1551"/>
    <tableColumn id="1571" xr3:uid="{1B3BFDE9-9D59-4BD1-8CF5-380A798A6006}" name="Column1552"/>
    <tableColumn id="1572" xr3:uid="{9DBE593A-46DF-481B-B4F4-5203C60F493C}" name="Column1553"/>
    <tableColumn id="1573" xr3:uid="{4BCD3DA5-7540-4348-8F82-1670834AE318}" name="Column1554"/>
    <tableColumn id="1574" xr3:uid="{0187686C-71AE-48C6-A3F8-2A35A6EEA676}" name="Column1555"/>
    <tableColumn id="1575" xr3:uid="{3ECD07B5-4456-4419-B4A0-6B533712D180}" name="Column1556"/>
    <tableColumn id="1576" xr3:uid="{41804E05-DF1E-4091-A68D-91962A665E53}" name="Column1557"/>
    <tableColumn id="1577" xr3:uid="{226B179F-FEF9-4A71-971C-260D248F8833}" name="Column1558"/>
    <tableColumn id="1578" xr3:uid="{EB24B193-D30A-42EF-B4A7-67FD1A84FA41}" name="Column1559"/>
    <tableColumn id="1579" xr3:uid="{958F1C03-A787-4F0C-BF0B-F30BD0A8B682}" name="Column1560"/>
    <tableColumn id="1580" xr3:uid="{93902626-A757-47E6-8A0B-74C731136CEC}" name="Column1561"/>
    <tableColumn id="1581" xr3:uid="{AB7EFBF9-16D7-4D41-98A0-EFD920E7EA10}" name="Column1562"/>
    <tableColumn id="1582" xr3:uid="{690CBA8A-5086-4967-B941-2D2E1C2B0150}" name="Column1563"/>
    <tableColumn id="1583" xr3:uid="{5283E909-1916-4DEF-BB4B-AE75796A9254}" name="Column1564"/>
    <tableColumn id="1584" xr3:uid="{CECD690C-A653-4EFE-A808-10DAF6A6C9DB}" name="Column1565"/>
    <tableColumn id="1585" xr3:uid="{534C0DDB-2A50-4D3B-B8D5-6B8F3AA151C3}" name="Column1566"/>
    <tableColumn id="1586" xr3:uid="{B5970B2B-BA22-4FED-94FC-BB17D6C5D048}" name="Column1567"/>
    <tableColumn id="1587" xr3:uid="{E00B2108-F248-485B-8B8A-2AD3839594FA}" name="Column1568"/>
    <tableColumn id="1588" xr3:uid="{C6875C90-0929-4C6C-99EA-1F6AC9378873}" name="Column1569"/>
    <tableColumn id="1589" xr3:uid="{A2D0197F-5D4E-4417-83DF-0BF66043F9C1}" name="Column1570"/>
    <tableColumn id="1590" xr3:uid="{26F56D42-1BFD-459A-81F8-20D94CDCCBD4}" name="Column1571"/>
    <tableColumn id="1591" xr3:uid="{98F544E3-7270-4880-ABCB-7DB597B5AE6E}" name="Column1572"/>
    <tableColumn id="1592" xr3:uid="{0A3BBE23-B81A-4BF3-B554-94774B89E1C9}" name="Column1573"/>
    <tableColumn id="1593" xr3:uid="{FB138CEA-B2E3-41C0-B6C1-CD04DC07FF47}" name="Column1574"/>
    <tableColumn id="1594" xr3:uid="{B009E89F-5CB5-4416-B420-3DA03CCB20C3}" name="Column1575"/>
    <tableColumn id="1595" xr3:uid="{E345DC90-EE6C-4C1A-840B-F364394F39D2}" name="Column1576"/>
    <tableColumn id="1596" xr3:uid="{82EDAB66-18B0-4A79-BA27-647E8A789E98}" name="Column1577"/>
    <tableColumn id="1597" xr3:uid="{A17AC1F9-4047-46F0-BA11-F83E068A356D}" name="Column1578"/>
    <tableColumn id="1598" xr3:uid="{42F1D214-C668-4EAC-9194-C7F169A336D1}" name="Column1579"/>
    <tableColumn id="1599" xr3:uid="{A7EA05FD-0F37-4099-9DC2-9CE6848DECE9}" name="Column1580"/>
    <tableColumn id="1600" xr3:uid="{AB80482B-EE1D-420D-B2D0-3D17773EB83B}" name="Column1581"/>
    <tableColumn id="1601" xr3:uid="{77E90D31-91BB-46F9-8117-818F390A7481}" name="Column1582"/>
    <tableColumn id="1602" xr3:uid="{D415C4C4-0E1F-403F-A06D-D00D95E73A26}" name="Column1583"/>
    <tableColumn id="1603" xr3:uid="{E465862F-CAE2-4D79-99A8-0E1ECDA676BF}" name="Column1584"/>
    <tableColumn id="1604" xr3:uid="{09DFC152-62DF-4A0B-ACD5-DE43687F5C2E}" name="Column1585"/>
    <tableColumn id="1605" xr3:uid="{43344242-7CDE-438E-A65D-6C9D6B3EF2BF}" name="Column1586"/>
    <tableColumn id="1606" xr3:uid="{948084CC-9FD6-4207-B24B-6E22FF8878D8}" name="Column1587"/>
    <tableColumn id="1607" xr3:uid="{BA9DAB41-633F-484A-88EA-8B0633031B6F}" name="Column1588"/>
    <tableColumn id="1608" xr3:uid="{0B3DC411-744E-4A5B-9F35-1CD0B2295A01}" name="Column1589"/>
    <tableColumn id="1609" xr3:uid="{39BDDFE1-9F4E-4657-9CA5-F79DC5A623E2}" name="Column1590"/>
    <tableColumn id="1610" xr3:uid="{A9797929-5C97-4AD5-814A-ADFA3374358A}" name="Column1591"/>
    <tableColumn id="1611" xr3:uid="{035D0392-BB5F-450D-9D5C-4C330256E6D3}" name="Column1592"/>
    <tableColumn id="1612" xr3:uid="{B4567149-D0B6-4744-9850-31A2E57AFBFF}" name="Column1593"/>
    <tableColumn id="1613" xr3:uid="{2BD34429-5698-4D7C-8323-DB1628BE6D55}" name="Column1594"/>
    <tableColumn id="1614" xr3:uid="{5AA9D5A8-052E-4320-9B57-FBC1C1EFF85D}" name="Column1595"/>
    <tableColumn id="1615" xr3:uid="{D473FAFB-42EC-4286-B58B-C341C8F47CE4}" name="Column1596"/>
    <tableColumn id="1616" xr3:uid="{E40311CE-2720-48A5-814C-B4CB06C49277}" name="Column1597"/>
    <tableColumn id="1617" xr3:uid="{A0E06321-16F5-416A-98E5-D512D1EFF14B}" name="Column1598"/>
    <tableColumn id="1618" xr3:uid="{ED788D14-20A4-44A2-8C23-6028CDEF5B06}" name="Column1599"/>
    <tableColumn id="1619" xr3:uid="{E57DADC2-7A84-4B34-87D6-59349A71D0DB}" name="Column1600"/>
    <tableColumn id="1620" xr3:uid="{25369091-2FE2-4C0D-B681-3BAD430C26D1}" name="Column1601"/>
    <tableColumn id="1621" xr3:uid="{E3730B85-52B2-4316-A0D9-94A16E7861B3}" name="Column1602"/>
    <tableColumn id="1622" xr3:uid="{75E46A70-CAE6-47D0-965A-EFCFD111A32C}" name="Column1603"/>
    <tableColumn id="1623" xr3:uid="{1BCBF2D4-B289-4C32-B20F-47B6D6A78015}" name="Column1604"/>
    <tableColumn id="1624" xr3:uid="{0BB3FB9D-CF90-462B-87DF-C8348480219B}" name="Column1605"/>
    <tableColumn id="1625" xr3:uid="{274C07F2-DBB7-4081-B172-EB081F75C98F}" name="Column1606"/>
    <tableColumn id="1626" xr3:uid="{10594BA6-C9EB-4BAD-9866-E3B4052CFFDB}" name="Column1607"/>
    <tableColumn id="1627" xr3:uid="{1B6869E1-E42C-4742-9757-726F150643F7}" name="Column1608"/>
    <tableColumn id="1628" xr3:uid="{7E313696-A037-4666-92FF-9CF4866E8901}" name="Column1609"/>
    <tableColumn id="1629" xr3:uid="{528D0319-7747-4A95-8616-DC8E8A3765A4}" name="Column1610"/>
    <tableColumn id="1630" xr3:uid="{B57B54EF-A6B8-4DDC-9084-BFED8A49C307}" name="Column1611"/>
    <tableColumn id="1631" xr3:uid="{3C64CA5D-40B2-47AD-A88F-9DDF655E97B6}" name="Column1612"/>
    <tableColumn id="1632" xr3:uid="{F44B3073-EFBD-4C98-B14C-6ACE7C897F0D}" name="Column1613"/>
    <tableColumn id="1633" xr3:uid="{7B0E45A5-162C-4597-AAAA-4D0277FA8C1B}" name="Column1614"/>
    <tableColumn id="1634" xr3:uid="{216D5745-B903-41E5-9AC3-42C7BAF4FCB8}" name="Column1615"/>
    <tableColumn id="1635" xr3:uid="{4638D6D2-F890-4832-B51E-F302D4B847AB}" name="Column1616"/>
    <tableColumn id="1636" xr3:uid="{52D37008-243E-477F-9048-73157A4E9CDC}" name="Column1617"/>
    <tableColumn id="1637" xr3:uid="{C307C746-2761-41A7-B43F-F993DFBD8172}" name="Column1618"/>
    <tableColumn id="1638" xr3:uid="{3C356261-313D-4AD3-8F73-BF63ECD65EAD}" name="Column1619"/>
    <tableColumn id="1639" xr3:uid="{1B754332-1A68-4044-848C-5FA728D4C118}" name="Column1620"/>
    <tableColumn id="1640" xr3:uid="{6FC70B4A-511F-4980-B268-1F6BA9E2B5BE}" name="Column1621"/>
    <tableColumn id="1641" xr3:uid="{048AC017-B0FC-4E58-8E60-367CDF703411}" name="Column1622"/>
    <tableColumn id="1642" xr3:uid="{C53EB11A-2EB4-4FE2-8427-800394ED234B}" name="Column1623"/>
    <tableColumn id="1643" xr3:uid="{20334A54-431D-478F-A7F6-BE82ACF0DEE0}" name="Column1624"/>
    <tableColumn id="1644" xr3:uid="{65607F69-0A0B-494E-A1DD-FE3E3A5B26BA}" name="Column1625"/>
    <tableColumn id="1645" xr3:uid="{D77478EB-36F1-4138-9B44-0A9A0710268D}" name="Column1626"/>
    <tableColumn id="1646" xr3:uid="{85C3B4A4-0BCA-467B-9379-AD7917AA5497}" name="Column1627"/>
    <tableColumn id="1647" xr3:uid="{ACCB18C5-6E64-44C9-8697-11D93EAFCB02}" name="Column1628"/>
    <tableColumn id="1648" xr3:uid="{EDB87C97-9C1E-44AF-A8B1-69E1C967BACA}" name="Column1629"/>
    <tableColumn id="1649" xr3:uid="{82EAADE1-2242-474C-8267-7A9EDB969592}" name="Column1630"/>
    <tableColumn id="1650" xr3:uid="{4DE45FD9-9C10-4203-999E-EF469CCBFB99}" name="Column1631"/>
    <tableColumn id="1651" xr3:uid="{8DD5E97E-2C56-4D1A-A1BD-21C824786E03}" name="Column1632"/>
    <tableColumn id="1652" xr3:uid="{AEF9E0B5-6268-4E8B-9FF6-B6B3D586CE6F}" name="Column1633"/>
    <tableColumn id="1653" xr3:uid="{D8DCAF25-83BF-493A-9E00-02A138FB600A}" name="Column1634"/>
    <tableColumn id="1654" xr3:uid="{401FF1C1-AC20-4B52-80D1-35CCC6281292}" name="Column1635"/>
    <tableColumn id="1655" xr3:uid="{882F8DDD-C17B-42E4-83E8-3931ED190E32}" name="Column1636"/>
    <tableColumn id="1656" xr3:uid="{74433F22-74E2-41B6-9E3C-E235E9EEC39F}" name="Column1637"/>
    <tableColumn id="1657" xr3:uid="{EC1096DD-173A-45B4-9082-FB959B1894FF}" name="Column1638"/>
    <tableColumn id="1658" xr3:uid="{A17E96C0-6F3D-44EF-B9AF-2C34012C2605}" name="Column1639"/>
    <tableColumn id="1659" xr3:uid="{E6F03D46-0506-4100-BF35-2C76060E9F4D}" name="Column1640"/>
    <tableColumn id="1660" xr3:uid="{B0CEF8FA-F1E3-41E2-9B51-D67975DADF50}" name="Column1641"/>
    <tableColumn id="1661" xr3:uid="{398BAA8A-7F06-44F6-83C4-EEA71C84635D}" name="Column1642"/>
    <tableColumn id="1662" xr3:uid="{1A51CA61-AA1B-4926-881D-90E36BFC9332}" name="Column1643"/>
    <tableColumn id="1663" xr3:uid="{111B6E01-FEA2-47D6-BD9C-CD1A4EB1D7B5}" name="Column1644"/>
    <tableColumn id="1664" xr3:uid="{29EE0033-7DFC-4B6F-B1FB-6ECE1C55059D}" name="Column1645"/>
    <tableColumn id="1665" xr3:uid="{A5AC3989-551D-4908-9A61-01391D6E9C61}" name="Column1646"/>
    <tableColumn id="1666" xr3:uid="{4AAA545C-7E91-4650-8E04-B7DBDF0A091D}" name="Column1647"/>
    <tableColumn id="1667" xr3:uid="{AB045B57-EA20-4EAA-AE97-0A080AD90575}" name="Column1648"/>
    <tableColumn id="1668" xr3:uid="{C2E1376F-A3F5-4472-B1CD-E985B8DEE92E}" name="Column1649"/>
    <tableColumn id="1669" xr3:uid="{0321D4A6-E554-48A1-AB71-2B7E4D04EDD8}" name="Column1650"/>
    <tableColumn id="1670" xr3:uid="{74688B49-6CE7-4E2C-BBE9-2DC7188AB973}" name="Column1651"/>
    <tableColumn id="1671" xr3:uid="{3EF8C344-60D7-4C02-AF51-D89EC9D6A871}" name="Column1652"/>
    <tableColumn id="1672" xr3:uid="{0AEE01F7-2A04-4679-929E-218E74B2727A}" name="Column1653"/>
    <tableColumn id="1673" xr3:uid="{72AD6FBE-938C-416B-8846-398F696C8CAF}" name="Column1654"/>
    <tableColumn id="1674" xr3:uid="{24564D77-2720-418E-922C-986723F08BD1}" name="Column1655"/>
    <tableColumn id="1675" xr3:uid="{6A63E217-6F37-4A3F-9B65-B58FEEF34CF0}" name="Column1656"/>
    <tableColumn id="1676" xr3:uid="{563F4AB6-AF37-4773-A447-105B0CA955AB}" name="Column1657"/>
    <tableColumn id="1677" xr3:uid="{FCBF6E61-5541-4700-A74B-D07604A98528}" name="Column1658"/>
    <tableColumn id="1678" xr3:uid="{C0A8269B-714D-4C36-A979-FDDC47DFD48A}" name="Column1659"/>
    <tableColumn id="1679" xr3:uid="{1A9EC042-01C2-405D-B11C-732ABF67717A}" name="Column1660"/>
    <tableColumn id="1680" xr3:uid="{FC608F37-5A35-4AFE-94CF-60DEDC05D2F5}" name="Column1661"/>
    <tableColumn id="1681" xr3:uid="{4F8FAE99-D514-432D-B336-B61DC227AC06}" name="Column1662"/>
    <tableColumn id="1682" xr3:uid="{DB4961B0-DCC5-4AB0-A19D-9B08ED989143}" name="Column1663"/>
    <tableColumn id="1683" xr3:uid="{CE80CB0A-12F1-4A7E-B216-F0F870E184DB}" name="Column1664"/>
    <tableColumn id="1684" xr3:uid="{0A1AB6B2-7FE4-4793-9305-0BBBE1B3DFC1}" name="Column1665"/>
    <tableColumn id="1685" xr3:uid="{E9E1AE84-BC22-46C5-94D6-C98D316E5FC1}" name="Column1666"/>
    <tableColumn id="1686" xr3:uid="{3065099E-46B6-4AE3-981E-ADD1BC8E99C1}" name="Column1667"/>
    <tableColumn id="1687" xr3:uid="{C9BD17CF-D9FB-43BE-B7BD-77AE69CCC4AD}" name="Column1668"/>
    <tableColumn id="1688" xr3:uid="{9B25C92B-6FB0-4F61-AD8D-F2C4AF977F24}" name="Column1669"/>
    <tableColumn id="1689" xr3:uid="{DA05BB15-3B89-4136-A191-AEEE76CB829C}" name="Column1670"/>
    <tableColumn id="1690" xr3:uid="{B25E2033-FABE-4A5B-8ED0-2A1A35649513}" name="Column1671"/>
    <tableColumn id="1691" xr3:uid="{F94EE090-61A5-416C-8720-81A33D6A0F38}" name="Column1672"/>
    <tableColumn id="1692" xr3:uid="{022BC17E-7E76-4AB8-B6E2-4BDF6F5A750C}" name="Column1673"/>
    <tableColumn id="1693" xr3:uid="{6FB06E06-9C80-4773-A4DF-B9991D5DE8D8}" name="Column1674"/>
    <tableColumn id="1694" xr3:uid="{620D7CF9-5E08-46B2-BE1F-1F0CAD7C9861}" name="Column1675"/>
    <tableColumn id="1695" xr3:uid="{1550F4D9-6974-47AA-BC72-6AE6E747C846}" name="Column1676"/>
    <tableColumn id="1696" xr3:uid="{1E408ED6-613A-4E08-AB04-ED75471CF495}" name="Column1677"/>
    <tableColumn id="1697" xr3:uid="{3AC89C02-01F2-4D04-B3FA-315BEEE17BD7}" name="Column1678"/>
    <tableColumn id="1698" xr3:uid="{84C45030-1D4C-4283-BD25-C0FC4DA5533A}" name="Column1679"/>
    <tableColumn id="1699" xr3:uid="{C0C7B6E3-B92A-4F85-B37F-C62726B347A9}" name="Column1680"/>
    <tableColumn id="1700" xr3:uid="{5E5F23D5-5A31-4C88-A7FD-AFC810F09F64}" name="Column1681"/>
    <tableColumn id="1701" xr3:uid="{5BCE2AAC-DBB0-4327-96A6-FA820ECC945E}" name="Column1682"/>
    <tableColumn id="1702" xr3:uid="{E60838A0-24C2-4988-83B9-91D73CD49F30}" name="Column1683"/>
    <tableColumn id="1703" xr3:uid="{069B29A0-0714-4DA6-B015-AA6392920C2B}" name="Column1684"/>
    <tableColumn id="1704" xr3:uid="{19389804-40F8-4898-99D2-1C4C93E9A57E}" name="Column1685"/>
    <tableColumn id="1705" xr3:uid="{C4D909F0-3503-4147-8C00-FD3618538192}" name="Column1686"/>
    <tableColumn id="1706" xr3:uid="{603A1CC8-1E7E-4CFA-9326-607D7052277C}" name="Column1687"/>
    <tableColumn id="1707" xr3:uid="{36F383F1-8682-4E1A-AE92-1698E431F5DD}" name="Column1688"/>
    <tableColumn id="1708" xr3:uid="{E207BFDC-C220-4294-8106-BAAEF93BC826}" name="Column1689"/>
    <tableColumn id="1709" xr3:uid="{DAA25E6A-1A87-442B-8845-5750EAD1DFF6}" name="Column1690"/>
    <tableColumn id="1710" xr3:uid="{544BB253-313B-42D7-8573-53499DCC80A5}" name="Column1691"/>
    <tableColumn id="1711" xr3:uid="{546BEFBE-6B70-4FC5-AE9B-8F70DDEEB897}" name="Column1692"/>
    <tableColumn id="1712" xr3:uid="{7AF403F5-A459-486A-80E0-6206A4F83056}" name="Column1693"/>
    <tableColumn id="1713" xr3:uid="{912DE431-F9F8-4F63-BEAF-9D161CE76213}" name="Column1694"/>
    <tableColumn id="1714" xr3:uid="{24105509-E96D-42C0-BC36-1EDD2F7638C6}" name="Column1695"/>
    <tableColumn id="1715" xr3:uid="{0B95F953-6777-4E24-842A-37E2E39126E1}" name="Column1696"/>
    <tableColumn id="1716" xr3:uid="{1D50DCCD-BD5A-48DE-87EC-D943D1A87D60}" name="Column1697"/>
    <tableColumn id="1717" xr3:uid="{A6F7F14E-6EBD-41F6-8594-E5752124D9A2}" name="Column1698"/>
    <tableColumn id="1718" xr3:uid="{DB09E9D4-96C7-4C0B-8F80-282CE7D41304}" name="Column1699"/>
    <tableColumn id="1719" xr3:uid="{DA3BAC2D-B558-4C96-AE3E-5CFCA63D0449}" name="Column1700"/>
    <tableColumn id="1720" xr3:uid="{94A9ED66-BF68-4315-98C5-E4044D71710A}" name="Column1701"/>
    <tableColumn id="1721" xr3:uid="{F5462197-2CD5-42C0-AD77-DFCA3F2BDA50}" name="Column1702"/>
    <tableColumn id="1722" xr3:uid="{B5111130-65DF-406C-ABFA-E3B7A71373C0}" name="Column1703"/>
    <tableColumn id="1723" xr3:uid="{8DC7FAB4-7B33-4B2E-A51D-72D27E8F275C}" name="Column1704"/>
    <tableColumn id="1724" xr3:uid="{5313B0DF-0C04-4243-B853-1C524E335BBF}" name="Column1705"/>
    <tableColumn id="1725" xr3:uid="{B54876EA-6390-4C63-901E-09668F99EDD5}" name="Column1706"/>
    <tableColumn id="1726" xr3:uid="{0CA55882-2156-488A-B008-98877B71B4AD}" name="Column1707"/>
    <tableColumn id="1727" xr3:uid="{83679666-2ECF-473A-A948-DABC5C587BBC}" name="Column1708"/>
    <tableColumn id="1728" xr3:uid="{83A9C9DF-BAB6-40F0-A60B-7E234F1AFF06}" name="Column1709"/>
    <tableColumn id="1729" xr3:uid="{B2896569-1E11-411E-8D68-0CF0EB04171E}" name="Column1710"/>
    <tableColumn id="1730" xr3:uid="{80CAA682-F573-4239-B231-55CF5C406F67}" name="Column1711"/>
    <tableColumn id="1731" xr3:uid="{AE596CF2-0DF5-457A-B895-2EFA56EE6AAC}" name="Column1712"/>
    <tableColumn id="1732" xr3:uid="{B415ECD0-A7C8-4679-AF16-D7FD21EC2CA2}" name="Column1713"/>
    <tableColumn id="1733" xr3:uid="{241864DD-5C39-46B4-BDAB-BA808FE6BD2B}" name="Column1714"/>
    <tableColumn id="1734" xr3:uid="{2FCEF265-8AC9-4A1B-B345-D813967CB56A}" name="Column1715"/>
    <tableColumn id="1735" xr3:uid="{1D101186-2E02-43B8-BFCB-9BF61E3CC6A3}" name="Column1716"/>
    <tableColumn id="1736" xr3:uid="{63B11905-76C9-462A-916F-D74244F646F9}" name="Column1717"/>
    <tableColumn id="1737" xr3:uid="{CFA2A84B-4292-4315-97A8-03DF4330178F}" name="Column1718"/>
    <tableColumn id="1738" xr3:uid="{E5E82DDE-0117-4A53-99B2-AE43DD7DB43D}" name="Column1719"/>
    <tableColumn id="1739" xr3:uid="{BF3B057A-E414-49D5-9322-D2AD5E5C5ACB}" name="Column1720"/>
    <tableColumn id="1740" xr3:uid="{A0EFADB4-8FE2-4185-81D1-7150A69490FC}" name="Column1721"/>
    <tableColumn id="1741" xr3:uid="{BDA8A91B-9936-429A-97AB-E33618303092}" name="Column1722"/>
    <tableColumn id="1742" xr3:uid="{DB30BC6C-28C0-48CD-BFB6-C168BA3B2075}" name="Column1723"/>
    <tableColumn id="1743" xr3:uid="{EF0DBB32-A1D4-40EE-97DE-BC81D6ED2B7A}" name="Column1724"/>
    <tableColumn id="1744" xr3:uid="{ED124CC1-FCA3-417F-9633-82B8536259B2}" name="Column1725"/>
    <tableColumn id="1745" xr3:uid="{6E52E314-6FCE-4731-BEE9-6F3EEEB103A0}" name="Column1726"/>
    <tableColumn id="1746" xr3:uid="{39536DEE-EEE9-4E69-B9F4-DBC5C176FD3F}" name="Column1727"/>
    <tableColumn id="1747" xr3:uid="{898814DF-C397-4131-87D7-6723C9547733}" name="Column1728"/>
    <tableColumn id="1748" xr3:uid="{F6F44CF9-871A-43B0-AF38-D9B594638F42}" name="Column1729"/>
    <tableColumn id="1749" xr3:uid="{D53E1D7D-1EFA-4463-86BB-17FDF8678AE0}" name="Column1730"/>
    <tableColumn id="1750" xr3:uid="{1A510267-66E8-4BFD-BD6A-EE48AB6CBC74}" name="Column1731"/>
    <tableColumn id="1751" xr3:uid="{1AAE8AFA-5AC1-43A9-A221-8D78472F5CCF}" name="Column1732"/>
    <tableColumn id="1752" xr3:uid="{DDEB21A4-8CB0-49F2-B1A3-24D50BDB98D2}" name="Column1733"/>
    <tableColumn id="1753" xr3:uid="{48C4383E-C742-4E95-98CE-3E34A026C365}" name="Column1734"/>
    <tableColumn id="1754" xr3:uid="{A2D56529-B731-4BCF-9639-0B0051C165B1}" name="Column1735"/>
    <tableColumn id="1755" xr3:uid="{6D0EAAF4-5F3F-40C4-B096-21DCCD83885A}" name="Column1736"/>
    <tableColumn id="1756" xr3:uid="{5CBEDE13-2CC3-4BC7-97CC-9E4EB0E31674}" name="Column1737"/>
    <tableColumn id="1757" xr3:uid="{C27C2F08-E8C8-45D9-AB13-9DDB70E350DE}" name="Column1738"/>
    <tableColumn id="1758" xr3:uid="{4E38B751-209B-4279-8E53-0A3BDE8B5DD4}" name="Column1739"/>
    <tableColumn id="1759" xr3:uid="{9A030EE2-DC63-456D-9068-6585E8623338}" name="Column1740"/>
    <tableColumn id="1760" xr3:uid="{7000955F-E3E3-45B8-91C8-65CC1785879E}" name="Column1741"/>
    <tableColumn id="1761" xr3:uid="{FC83110D-E1C5-4FD6-9FF2-C0E2F22AEC23}" name="Column1742"/>
    <tableColumn id="1762" xr3:uid="{559DDDAD-877D-4E70-88CA-AD29F126413F}" name="Column1743"/>
    <tableColumn id="1763" xr3:uid="{CEED5D36-2070-46F6-B6B4-DD5E8A70F596}" name="Column1744"/>
    <tableColumn id="1764" xr3:uid="{C00D1BE7-CC96-4CBF-9CE4-7D71413DE272}" name="Column1745"/>
    <tableColumn id="1765" xr3:uid="{29D6696B-514E-418A-9940-01BEE563BD5F}" name="Column1746"/>
    <tableColumn id="1766" xr3:uid="{97A04469-A0BA-42ED-9BEB-B3A15974474A}" name="Column1747"/>
    <tableColumn id="1767" xr3:uid="{2EB2D4C4-28DC-47AA-A699-C2816A58F75F}" name="Column1748"/>
    <tableColumn id="1768" xr3:uid="{B1505879-DD4B-4282-B424-A7F9C7B16DDC}" name="Column1749"/>
    <tableColumn id="1769" xr3:uid="{3DC89B08-5DE4-4A2B-B1D3-96793FE15138}" name="Column1750"/>
    <tableColumn id="1770" xr3:uid="{831DAC85-A8CA-4C2B-BEAE-EC44B95C5747}" name="Column1751"/>
    <tableColumn id="1771" xr3:uid="{878D96F7-6ECD-47D8-B348-7925FD069701}" name="Column1752"/>
    <tableColumn id="1772" xr3:uid="{842387AE-94C8-4EB8-95AE-6EA9EE4A1FA6}" name="Column1753"/>
    <tableColumn id="1773" xr3:uid="{7C898D0C-FB10-44AC-B80D-55DAD945142D}" name="Column1754"/>
    <tableColumn id="1774" xr3:uid="{B9D091C2-9FF3-414C-81B0-25A99E67EF9B}" name="Column1755"/>
    <tableColumn id="1775" xr3:uid="{FA60FABE-544E-4304-A865-D7B58EAE2A1E}" name="Column1756"/>
    <tableColumn id="1776" xr3:uid="{B7EA12B6-60DC-4639-B0FA-078ED9657D3F}" name="Column1757"/>
    <tableColumn id="1777" xr3:uid="{51812291-2FAD-4240-8FB9-E1268A1B274B}" name="Column1758"/>
    <tableColumn id="1778" xr3:uid="{4DD31863-DB3F-4B91-B3D5-7D601CA0E506}" name="Column1759"/>
    <tableColumn id="1779" xr3:uid="{CD4FD6DD-E6FE-49C4-B308-F9B17B65EDA4}" name="Column1760"/>
    <tableColumn id="1780" xr3:uid="{6E3147FF-13D1-4260-B229-B37A24096C82}" name="Column1761"/>
    <tableColumn id="1781" xr3:uid="{5973DBD8-935C-434E-BACE-224F20C17AC2}" name="Column1762"/>
    <tableColumn id="1782" xr3:uid="{D3F2BBE5-1732-4C2C-B501-BCCBC57ABA06}" name="Column1763"/>
    <tableColumn id="1783" xr3:uid="{33B240CB-9BD1-4C8F-91EC-94AA0072AE58}" name="Column1764"/>
    <tableColumn id="1784" xr3:uid="{658F5194-E9AF-43D1-AA3A-71AAADCCD99F}" name="Column1765"/>
    <tableColumn id="1785" xr3:uid="{FC766B5E-0386-40CB-AD59-F001CEA75B80}" name="Column1766"/>
    <tableColumn id="1786" xr3:uid="{AA67E60C-D96E-4AA5-839E-8A5AA4D9DFD3}" name="Column1767"/>
    <tableColumn id="1787" xr3:uid="{9766496D-F3FA-4D5F-86EC-AACA7DDA3268}" name="Column1768"/>
    <tableColumn id="1788" xr3:uid="{D735246B-41FB-4E0F-B37E-302E2C3330F4}" name="Column1769"/>
    <tableColumn id="1789" xr3:uid="{57852B67-4C9F-4F54-84A1-47F0278E621F}" name="Column1770"/>
    <tableColumn id="1790" xr3:uid="{E701B6B1-8914-45B4-9C05-3C509F30AEE6}" name="Column1771"/>
    <tableColumn id="1791" xr3:uid="{30954EBB-E0B2-409D-8F9D-3691D12D18DD}" name="Column1772"/>
    <tableColumn id="1792" xr3:uid="{9EB5B439-5DF0-4117-AFC7-07190081EE48}" name="Column1773"/>
    <tableColumn id="1793" xr3:uid="{75AE35DD-6A66-437C-B548-CDAFFCDF2E9A}" name="Column1774"/>
    <tableColumn id="1794" xr3:uid="{F40729F0-C03E-4942-B6A2-EAA61634AF1E}" name="Column1775"/>
    <tableColumn id="1795" xr3:uid="{337A635D-1846-4CA4-BFA6-D74C8BBA800F}" name="Column1776"/>
    <tableColumn id="1796" xr3:uid="{4019752E-0AE8-4005-A25F-5A67728372DE}" name="Column1777"/>
    <tableColumn id="1797" xr3:uid="{F2ACE4B6-97AD-4A14-A993-A2A59435C6E1}" name="Column1778"/>
    <tableColumn id="1798" xr3:uid="{0994D20B-ADE0-4B48-868D-CAD8B606EFC2}" name="Column1779"/>
    <tableColumn id="1799" xr3:uid="{D49C1F94-AD52-451E-A1C4-0CD2F421AEDE}" name="Column1780"/>
    <tableColumn id="1800" xr3:uid="{C9064EE8-9009-4EEE-8DC2-5FC108EEDFC8}" name="Column1781"/>
    <tableColumn id="1801" xr3:uid="{E75254B8-901A-46C8-8C8B-29AE7341E84C}" name="Column1782"/>
    <tableColumn id="1802" xr3:uid="{EC945EE9-034C-49E8-BC2C-7B651F80DD66}" name="Column1783"/>
    <tableColumn id="1803" xr3:uid="{527FE35A-E938-473F-9FEF-D7E40D30C4AB}" name="Column1784"/>
    <tableColumn id="1804" xr3:uid="{9624C620-2E83-4196-B36B-6CF6D5C222CD}" name="Column1785"/>
    <tableColumn id="1805" xr3:uid="{F53EA25C-8699-4AD4-B2B8-A2F8389694F2}" name="Column1786"/>
    <tableColumn id="1806" xr3:uid="{F576BCEF-D6D6-4F0F-8FA5-91A8F69348D6}" name="Column1787"/>
    <tableColumn id="1807" xr3:uid="{02DD08C8-9ECB-44B0-B21E-0C6738B760B4}" name="Column1788"/>
    <tableColumn id="1808" xr3:uid="{2FEBD1D1-F4D6-4BD5-81B5-9E439BAD11D5}" name="Column1789"/>
    <tableColumn id="1809" xr3:uid="{9A63AA25-67CF-4710-BF18-03DDA207BBA1}" name="Column1790"/>
    <tableColumn id="1810" xr3:uid="{E3779F2C-95DC-40D2-B177-D0D378DFA0D4}" name="Column1791"/>
    <tableColumn id="1811" xr3:uid="{869AA982-4A4F-4D71-B39C-68ED1E64193D}" name="Column1792"/>
    <tableColumn id="1812" xr3:uid="{C8C6CE52-CA49-4D52-8D90-1129E55E0E0B}" name="Column1793"/>
    <tableColumn id="1813" xr3:uid="{BFF5F1CA-9468-4AD2-BF76-782670CFF0E6}" name="Column1794"/>
    <tableColumn id="1814" xr3:uid="{636C459A-50F1-41C2-B352-B5E75F960E75}" name="Column1795"/>
    <tableColumn id="1815" xr3:uid="{8BB5CDBD-969C-4904-BECE-DB9EFA764BF0}" name="Column1796"/>
    <tableColumn id="1816" xr3:uid="{ACBFAAA4-857C-4981-8BB6-AFDD6D4531F8}" name="Column1797"/>
    <tableColumn id="1817" xr3:uid="{156B824B-B4C1-46AD-9BFB-0D4AC2507527}" name="Column1798"/>
    <tableColumn id="1818" xr3:uid="{4D709F3B-8555-427D-9E57-677FAD97E8B0}" name="Column1799"/>
    <tableColumn id="1819" xr3:uid="{346BA986-ECE4-432A-8DD8-B5CED30D8E01}" name="Column1800"/>
    <tableColumn id="1820" xr3:uid="{739D851E-628A-4445-B80A-24CB174C8D3F}" name="Column1801"/>
    <tableColumn id="1821" xr3:uid="{B4FA2A28-1B29-45B4-AAB1-AFEF4697CB6C}" name="Column1802"/>
    <tableColumn id="1822" xr3:uid="{4BD3D73A-9FAB-4EA0-96DB-7A0E812A93E3}" name="Column1803"/>
    <tableColumn id="1823" xr3:uid="{5026C7F5-A455-4629-8786-2715C91649CD}" name="Column1804"/>
    <tableColumn id="1824" xr3:uid="{BEFA759B-7BDB-4CB0-86C0-F7336D4AFAB1}" name="Column1805"/>
    <tableColumn id="1825" xr3:uid="{4A469232-A27B-48E1-BB80-FE419232EDDD}" name="Column1806"/>
    <tableColumn id="1826" xr3:uid="{18E90670-6257-4652-9AE2-D50496052E0E}" name="Column1807"/>
    <tableColumn id="1827" xr3:uid="{DE79D9CB-7C21-46A4-ADED-AC0973FDEDB0}" name="Column1808"/>
    <tableColumn id="1828" xr3:uid="{1743FC53-D8CC-48DB-A6E3-BA26CB23F8E6}" name="Column1809"/>
    <tableColumn id="1829" xr3:uid="{06D3FE6C-F3C2-42D7-AC62-F5A739215234}" name="Column1810"/>
    <tableColumn id="1830" xr3:uid="{C076EF8E-6F32-4076-877B-ED1ABE441170}" name="Column1811"/>
    <tableColumn id="1831" xr3:uid="{EEA33FA3-00B3-4E7B-88D9-385F717ADB32}" name="Column1812"/>
    <tableColumn id="1832" xr3:uid="{C8402392-63C0-4D1B-982E-E8B2E43363A3}" name="Column1813"/>
    <tableColumn id="1833" xr3:uid="{40159506-721C-47AA-AAEA-04512D63A95E}" name="Column1814"/>
    <tableColumn id="1834" xr3:uid="{14793168-EEAC-4A40-BE88-F72F8D560F7F}" name="Column1815"/>
    <tableColumn id="1835" xr3:uid="{7A04C5AC-6CDE-42FE-9500-D73ACBE5EF33}" name="Column1816"/>
    <tableColumn id="1836" xr3:uid="{7D2C91A8-955B-486A-BEF9-250308E4824B}" name="Column1817"/>
    <tableColumn id="1837" xr3:uid="{08CFFE30-6408-401F-A810-1CAF63A20749}" name="Column1818"/>
    <tableColumn id="1838" xr3:uid="{6DC45D82-730A-4BDA-B954-919CA5DD689A}" name="Column1819"/>
    <tableColumn id="1839" xr3:uid="{58DFBCBC-A776-424E-AF37-9091E26C3FD9}" name="Column1820"/>
    <tableColumn id="1840" xr3:uid="{64384156-08DB-46B4-BDFA-F33F2F888C21}" name="Column1821"/>
    <tableColumn id="1841" xr3:uid="{3293E22F-BB72-4DC7-8C02-B503BD9836CD}" name="Column1822"/>
    <tableColumn id="1842" xr3:uid="{184910F1-9BAB-430C-B821-FCD5A8A15E0E}" name="Column1823"/>
    <tableColumn id="1843" xr3:uid="{AB2F097E-4A7C-4986-B3A7-12B054EB1FAE}" name="Column1824"/>
    <tableColumn id="1844" xr3:uid="{A4455D98-7649-4941-BB07-CDD53FAE0751}" name="Column1825"/>
    <tableColumn id="1845" xr3:uid="{C7551C83-5ACF-4A40-A760-CD6E43D2E9FD}" name="Column1826"/>
    <tableColumn id="1846" xr3:uid="{657A523C-937C-43E6-9FA6-E687B44E5944}" name="Column1827"/>
    <tableColumn id="1847" xr3:uid="{707DEE0A-6A58-420D-A94E-3743954292E4}" name="Column1828"/>
    <tableColumn id="1848" xr3:uid="{8F934181-F5FA-4F33-A2FB-D4801911F004}" name="Column1829"/>
    <tableColumn id="1849" xr3:uid="{2F63DEED-07C3-4703-BB5E-D34F9E872F88}" name="Column1830"/>
    <tableColumn id="1850" xr3:uid="{D9E0CF61-6F41-427C-8506-5969A60549B3}" name="Column1831"/>
    <tableColumn id="1851" xr3:uid="{8FECAEDD-26D6-4BEB-8A8A-94B02E5053BC}" name="Column1832"/>
    <tableColumn id="1852" xr3:uid="{2B91FF7E-B626-4DB8-AEBD-D86D83C7AB90}" name="Column1833"/>
    <tableColumn id="1853" xr3:uid="{93307878-00D7-42E1-A042-61307E4D846C}" name="Column1834"/>
    <tableColumn id="1854" xr3:uid="{BE7F34A3-E28B-417F-943A-0D5740DE6FD8}" name="Column1835"/>
    <tableColumn id="1855" xr3:uid="{AC95D09C-FAAE-4C7D-BE2A-BF8AEEA801DB}" name="Column1836"/>
    <tableColumn id="1856" xr3:uid="{B294FCD6-4960-498E-80DE-BFDA5238CDCD}" name="Column1837"/>
    <tableColumn id="1857" xr3:uid="{25274535-B86A-423D-80D7-C3C4026F93EC}" name="Column1838"/>
    <tableColumn id="1858" xr3:uid="{CABC2AF4-4DEC-4039-9A45-1FA3421A8867}" name="Column1839"/>
    <tableColumn id="1859" xr3:uid="{40040C07-2D61-424A-B52B-AE508F609E90}" name="Column1840"/>
    <tableColumn id="1860" xr3:uid="{92C2FF96-E169-4F5F-AD2C-7E1828C8530A}" name="Column1841"/>
    <tableColumn id="1861" xr3:uid="{AF1CB062-42C7-4125-9A70-5A95FC65090F}" name="Column1842"/>
    <tableColumn id="1862" xr3:uid="{AB2FEC01-BC46-4331-BB12-3846CCA4DCB6}" name="Column1843"/>
    <tableColumn id="1863" xr3:uid="{4BB8AEF7-4CFB-40DE-9A99-8D7E94140444}" name="Column1844"/>
    <tableColumn id="1864" xr3:uid="{D1E43A8B-C009-44C7-8BCB-FB13CD8E134C}" name="Column1845"/>
    <tableColumn id="1865" xr3:uid="{B22419D2-5831-4A7A-BCE9-B357F2458C0E}" name="Column1846"/>
    <tableColumn id="1866" xr3:uid="{DD7AE17F-6A54-4593-960B-3EF550567CF5}" name="Column1847"/>
    <tableColumn id="1867" xr3:uid="{846E1022-2FFC-4CBC-B1EB-A01983F4B77B}" name="Column1848"/>
    <tableColumn id="1868" xr3:uid="{B6CB9E2D-A194-43D0-9B3C-15962B0426CF}" name="Column1849"/>
    <tableColumn id="1869" xr3:uid="{AAC182CB-F111-4F9F-A3D1-1A053386765F}" name="Column1850"/>
    <tableColumn id="1870" xr3:uid="{B6B1548B-9F09-4021-AE21-D0FBB76B5CE2}" name="Column1851"/>
    <tableColumn id="1871" xr3:uid="{76B724C3-1649-40E5-8827-B62A503A3D90}" name="Column1852"/>
    <tableColumn id="1872" xr3:uid="{EB562098-AF02-456F-AB70-E25B84DEEB9C}" name="Column1853"/>
    <tableColumn id="1873" xr3:uid="{04270F37-1050-4268-892C-3F728657D1F4}" name="Column1854"/>
    <tableColumn id="1874" xr3:uid="{D54288CC-BEFB-419B-A4EC-095ECC9368E0}" name="Column1855"/>
    <tableColumn id="1875" xr3:uid="{71354F57-907E-411B-8564-1592962B5964}" name="Column1856"/>
    <tableColumn id="1876" xr3:uid="{EACA24FC-47CA-4CF2-9292-1E7F2CE80E19}" name="Column1857"/>
    <tableColumn id="1877" xr3:uid="{D597F115-EC3C-440D-A25A-5EF57869C5AB}" name="Column1858"/>
    <tableColumn id="1878" xr3:uid="{8AF2E16B-ADFC-4776-86EF-84D452AFF526}" name="Column1859"/>
    <tableColumn id="1879" xr3:uid="{13DDB3AC-C5F0-4465-A5F2-4B80A6751376}" name="Column1860"/>
    <tableColumn id="1880" xr3:uid="{3C27FCC4-7F5F-4439-B5A4-65CF5E5F79E3}" name="Column1861"/>
    <tableColumn id="1881" xr3:uid="{31D2468C-6B25-41D0-ADB2-2EF978669D0E}" name="Column1862"/>
    <tableColumn id="1882" xr3:uid="{6A7AD13F-5CBB-44B7-98AC-60C94BBA053A}" name="Column1863"/>
    <tableColumn id="1883" xr3:uid="{04DC3380-319F-43BA-9175-974547EB1787}" name="Column1864"/>
    <tableColumn id="1884" xr3:uid="{8CB46F5D-F625-40B8-8C38-CCC3D4D4C91C}" name="Column1865"/>
    <tableColumn id="1885" xr3:uid="{469C937F-9E99-4AEC-A0DB-92880249E207}" name="Column1866"/>
    <tableColumn id="1886" xr3:uid="{F279E04F-A4BF-45C6-B1D9-A357F8C0564F}" name="Column1867"/>
    <tableColumn id="1887" xr3:uid="{D0691849-A09D-4000-B2E0-C531CBB8CB64}" name="Column1868"/>
    <tableColumn id="1888" xr3:uid="{7807659F-36A9-41D3-8D9F-061EA08A4083}" name="Column1869"/>
    <tableColumn id="1889" xr3:uid="{EA2A0E4F-BC2A-4B8F-A64E-D62469EE5DEF}" name="Column1870"/>
    <tableColumn id="1890" xr3:uid="{E51841B9-E013-493D-A7CC-12B3D5EB1D5F}" name="Column1871"/>
    <tableColumn id="1891" xr3:uid="{AD8E497D-1E08-4359-B980-5CEDC86C780F}" name="Column1872"/>
    <tableColumn id="1892" xr3:uid="{E1A9CE6B-E3AC-4864-AAEB-DEADF2EBEEF5}" name="Column1873"/>
    <tableColumn id="1893" xr3:uid="{0366A7BD-F102-48FD-898A-AA0AAE198DD9}" name="Column1874"/>
    <tableColumn id="1894" xr3:uid="{2143F983-66F3-43FF-A712-4683A4060B5E}" name="Column1875"/>
    <tableColumn id="1895" xr3:uid="{DAE60A8A-683E-44BF-B91A-D5335B80BFEA}" name="Column1876"/>
    <tableColumn id="1896" xr3:uid="{478C6C9F-F31F-4A7B-84DF-800224B3C012}" name="Column1877"/>
    <tableColumn id="1897" xr3:uid="{61473375-26D8-4278-9E06-309782C498BA}" name="Column1878"/>
    <tableColumn id="1898" xr3:uid="{34B03DBA-E393-49EA-9ED2-F984636E904A}" name="Column1879"/>
    <tableColumn id="1899" xr3:uid="{E88B2076-EF7B-4DEC-916D-BE1D610AFC42}" name="Column1880"/>
    <tableColumn id="1900" xr3:uid="{EAEAA729-77C4-4B9C-965B-25F6DD47EEC7}" name="Column1881"/>
    <tableColumn id="1901" xr3:uid="{362DE6F3-3A45-43B1-BD14-781C230A2065}" name="Column1882"/>
    <tableColumn id="1902" xr3:uid="{1122A65F-103A-44C4-AC74-88AF91BC1B54}" name="Column1883"/>
    <tableColumn id="1903" xr3:uid="{A37D7D89-2B64-441B-B4EB-FC44475746AB}" name="Column1884"/>
    <tableColumn id="1904" xr3:uid="{022529F2-3698-454C-9F7A-D4341FA56355}" name="Column1885"/>
    <tableColumn id="1905" xr3:uid="{FB5625B3-0ED0-4C93-A9AA-B30652DA8154}" name="Column1886"/>
    <tableColumn id="1906" xr3:uid="{A7CFC0D3-0176-4C81-B055-7B7BF1A8BC12}" name="Column1887"/>
    <tableColumn id="1907" xr3:uid="{DDDDF0CA-220B-44B3-A2CC-BB3455485A9F}" name="Column1888"/>
    <tableColumn id="1908" xr3:uid="{F5B9294A-FA71-40EE-93FC-05539AC6A550}" name="Column1889"/>
    <tableColumn id="1909" xr3:uid="{DE95AE1B-6AA0-4866-8296-04B4B2E32EF8}" name="Column1890"/>
    <tableColumn id="1910" xr3:uid="{D5980425-C7E3-4DC7-AA88-3FCC21E12AD0}" name="Column1891"/>
    <tableColumn id="1911" xr3:uid="{A95065DF-8E76-4273-9E77-B0A2D858513F}" name="Column1892"/>
    <tableColumn id="1912" xr3:uid="{4B68B2CC-C187-4358-8D32-D7833FA180BE}" name="Column1893"/>
    <tableColumn id="1913" xr3:uid="{E4483144-EDEE-4546-B716-04A7611659B7}" name="Column1894"/>
    <tableColumn id="1914" xr3:uid="{D111037A-EC2B-4F95-946B-065C130C431F}" name="Column1895"/>
    <tableColumn id="1915" xr3:uid="{E0281AB1-647B-48E3-A733-7207BB598221}" name="Column1896"/>
    <tableColumn id="1916" xr3:uid="{42694F6E-6697-484A-9E88-470D31406346}" name="Column1897"/>
    <tableColumn id="1917" xr3:uid="{9F32DD72-2BF3-4464-AE12-FCADB0FB5DAB}" name="Column1898"/>
    <tableColumn id="1918" xr3:uid="{22ACAB2A-8D35-46D8-9EA9-CA592949B397}" name="Column1899"/>
    <tableColumn id="1919" xr3:uid="{95E1DDB6-B5D5-40C9-9A27-E504E6C661F3}" name="Column1900"/>
    <tableColumn id="1920" xr3:uid="{2BE6B9A8-88E6-4F68-9AA4-EC95AB97F8A8}" name="Column1901"/>
    <tableColumn id="1921" xr3:uid="{422A6234-8963-481E-9553-C480B974E237}" name="Column1902"/>
    <tableColumn id="1922" xr3:uid="{37890CE5-1DC3-4211-B7DD-5D789A989942}" name="Column1903"/>
    <tableColumn id="1923" xr3:uid="{8C7AA807-74B0-4A1A-AE92-FFBD580E95F8}" name="Column1904"/>
    <tableColumn id="1924" xr3:uid="{179DD911-4ECD-413A-8E02-A7EEFDFC9976}" name="Column1905"/>
    <tableColumn id="1925" xr3:uid="{3813E814-DD3A-4549-BD13-B6B310B2EFDE}" name="Column1906"/>
    <tableColumn id="1926" xr3:uid="{E851F838-F54C-4D07-956A-4835085B7778}" name="Column1907"/>
    <tableColumn id="1927" xr3:uid="{8FDC2A57-19E6-463D-AF4F-465EE77EEF5C}" name="Column1908"/>
    <tableColumn id="1928" xr3:uid="{5E630B02-FA57-4FD3-A416-B466C65E8844}" name="Column1909"/>
    <tableColumn id="1929" xr3:uid="{5B9354FF-BBE8-409B-83D4-CADD9AAE7B3D}" name="Column1910"/>
    <tableColumn id="1930" xr3:uid="{953EA99E-9F5A-431F-8AE4-2D927E775833}" name="Column1911"/>
    <tableColumn id="1931" xr3:uid="{6EEB073E-54AF-43BF-A6CA-A4D8CB38A2C7}" name="Column1912"/>
    <tableColumn id="1932" xr3:uid="{56C6FA9F-8709-40EB-8310-39C1BBFB573A}" name="Column1913"/>
    <tableColumn id="1933" xr3:uid="{E2BF748F-13A6-4FC9-80C6-222A3DADA100}" name="Column1914"/>
    <tableColumn id="1934" xr3:uid="{87980FAC-2520-4979-9FD7-10037F8C8F63}" name="Column1915"/>
    <tableColumn id="1935" xr3:uid="{B9AE5693-BE93-4ED9-BACF-CA1C4DB39257}" name="Column1916"/>
    <tableColumn id="1936" xr3:uid="{0BBB18C5-A54E-4C66-A2E8-4C21F4F05949}" name="Column1917"/>
    <tableColumn id="1937" xr3:uid="{E0BF2FCA-51B8-4893-8379-DA1FC107A31B}" name="Column1918"/>
    <tableColumn id="1938" xr3:uid="{9FE57073-52FA-4D71-8D51-A9EF9F677F2B}" name="Column1919"/>
    <tableColumn id="1939" xr3:uid="{7A64BCF4-F45B-4FE7-AB48-F784C2E5F12A}" name="Column1920"/>
    <tableColumn id="1940" xr3:uid="{B4234492-76AD-4542-AE7C-4BF238FAB058}" name="Column1921"/>
    <tableColumn id="1941" xr3:uid="{B89E732D-1D45-43E9-8CC7-C30CD45EAF30}" name="Column1922"/>
    <tableColumn id="1942" xr3:uid="{9D1B00D6-DEF5-44BB-9B85-A213AC995BAE}" name="Column1923"/>
    <tableColumn id="1943" xr3:uid="{39A9535B-C9EF-416D-8AAD-D2D6F2855077}" name="Column1924"/>
    <tableColumn id="1944" xr3:uid="{83BEF4E1-5056-46A2-AD93-33D21FFB51BC}" name="Column1925"/>
    <tableColumn id="1945" xr3:uid="{7AD122A9-2134-44E3-9945-23165FBB859F}" name="Column1926"/>
    <tableColumn id="1946" xr3:uid="{A2AEA4BF-EC81-45D2-B715-193DA58655B0}" name="Column1927"/>
    <tableColumn id="1947" xr3:uid="{4FD9CFF5-A6D9-4693-AF5D-9F4503D60F70}" name="Column1928"/>
    <tableColumn id="1948" xr3:uid="{944E2D58-F1F8-40BF-A21C-80ACDEB6F745}" name="Column1929"/>
    <tableColumn id="1949" xr3:uid="{F88A3EA8-ACEE-4C87-9E8C-1C46D480857C}" name="Column1930"/>
    <tableColumn id="1950" xr3:uid="{B8E287FC-CF58-444B-9B7C-D0D3CC8C337C}" name="Column1931"/>
    <tableColumn id="1951" xr3:uid="{408FEAB8-1DE0-4423-98C9-E779A869D2FC}" name="Column1932"/>
    <tableColumn id="1952" xr3:uid="{7C62FB0A-8620-40BE-9306-DD92402D4A27}" name="Column1933"/>
    <tableColumn id="1953" xr3:uid="{3B1491EA-CE55-430B-9B96-8DF275AD62D4}" name="Column1934"/>
    <tableColumn id="1954" xr3:uid="{783F8B7F-0F63-47E7-8149-EE2C80164E8A}" name="Column1935"/>
    <tableColumn id="1955" xr3:uid="{C2D9901F-F7DC-40D7-B292-3B08BE8CF6C5}" name="Column1936"/>
    <tableColumn id="1956" xr3:uid="{37AF6F2B-230F-4380-898B-2B9E92D93193}" name="Column1937"/>
    <tableColumn id="1957" xr3:uid="{99EFA32B-74D8-4182-9EE1-3220EF3434B3}" name="Column1938"/>
    <tableColumn id="1958" xr3:uid="{A6FF72F1-C4C5-4634-9C02-5F9613D30149}" name="Column1939"/>
    <tableColumn id="1959" xr3:uid="{641D7561-8A6B-446C-9327-DD5FBD4A64EF}" name="Column1940"/>
    <tableColumn id="1960" xr3:uid="{EE3B6A6D-9B14-4C78-A8E2-D9C2E3A91F98}" name="Column1941"/>
    <tableColumn id="1961" xr3:uid="{50080A89-4796-4E7E-81C0-6BADD0B5D75C}" name="Column1942"/>
    <tableColumn id="1962" xr3:uid="{CC8120F7-2B8F-4D9A-862F-F85BE59B1A1F}" name="Column1943"/>
    <tableColumn id="1963" xr3:uid="{EB495FB5-7626-4EC1-B2FF-9F9DBFB14CFD}" name="Column1944"/>
    <tableColumn id="1964" xr3:uid="{D519DB0B-E655-43E7-B45B-4FA6B154A656}" name="Column1945"/>
    <tableColumn id="1965" xr3:uid="{0F8CE06A-94D6-4C6C-B163-1A0E35254385}" name="Column1946"/>
    <tableColumn id="1966" xr3:uid="{369EC082-AE5D-42AB-B9D0-033FA439A79E}" name="Column1947"/>
    <tableColumn id="1967" xr3:uid="{1465C8D4-0795-436D-B1FB-9ED94CA4B1A3}" name="Column1948"/>
    <tableColumn id="1968" xr3:uid="{448C70D1-4827-4497-BE9A-D8F796FEB666}" name="Column1949"/>
    <tableColumn id="1969" xr3:uid="{D262E536-C23E-40C3-8884-E39EF588EF0A}" name="Column1950"/>
    <tableColumn id="1970" xr3:uid="{0531128F-BE15-437D-B434-F45B861BB164}" name="Column1951"/>
    <tableColumn id="1971" xr3:uid="{C7D5EF6D-1F77-4D68-B4A8-70CA1197C4F6}" name="Column1952"/>
    <tableColumn id="1972" xr3:uid="{F0062344-73CA-43D3-8F3E-07195C8C93D3}" name="Column1953"/>
    <tableColumn id="1973" xr3:uid="{55E0D9A2-7073-4ABF-A953-748611925920}" name="Column1954"/>
    <tableColumn id="1974" xr3:uid="{20CFE8BC-C83B-45C7-B82D-8612E48C2089}" name="Column1955"/>
    <tableColumn id="1975" xr3:uid="{3DE60A7B-4E68-4B94-8900-EC213E7DE0DB}" name="Column1956"/>
    <tableColumn id="1976" xr3:uid="{D8CE91FC-34E3-4C93-AE76-1CC4160213DA}" name="Column1957"/>
    <tableColumn id="1977" xr3:uid="{1E50F077-74A6-4089-AE9B-DAB3A7AC506B}" name="Column1958"/>
    <tableColumn id="1978" xr3:uid="{C01DBC41-A73B-419F-8946-EB75BF398FAD}" name="Column1959"/>
    <tableColumn id="1979" xr3:uid="{F658D913-CCA8-4606-8930-F9A20536BDF6}" name="Column1960"/>
    <tableColumn id="1980" xr3:uid="{AB697BB8-D3AF-46C9-9472-3D9187BA44A7}" name="Column1961"/>
    <tableColumn id="1981" xr3:uid="{66F2A7BE-7263-4433-88C7-140C0A858C8C}" name="Column1962"/>
    <tableColumn id="1982" xr3:uid="{C8B05887-FD37-4A32-B30F-974D9C30AF1F}" name="Column1963"/>
    <tableColumn id="1983" xr3:uid="{96C19516-2AE6-40FA-BEF1-FDF78F617412}" name="Column1964"/>
    <tableColumn id="1984" xr3:uid="{7D89696A-9770-4C04-BE00-3A4B716D6EDC}" name="Column1965"/>
    <tableColumn id="1985" xr3:uid="{C7E68922-AC0D-44EE-BCBB-1978ACB1C09A}" name="Column1966"/>
    <tableColumn id="1986" xr3:uid="{58804B06-97FE-4EA2-9932-50ED8D8DA4A6}" name="Column1967"/>
    <tableColumn id="1987" xr3:uid="{6C4A77EB-A9A9-4257-AF99-F3FD79993B78}" name="Column1968"/>
    <tableColumn id="1988" xr3:uid="{6AF1EB6A-6D0A-4B94-AF7E-5B0B88F65DBB}" name="Column1969"/>
    <tableColumn id="1989" xr3:uid="{B1B1E682-670F-4E49-9A65-AC3540C751AC}" name="Column1970"/>
    <tableColumn id="1990" xr3:uid="{630E4FEF-7086-468D-92FB-5F1501901AB3}" name="Column1971"/>
    <tableColumn id="1991" xr3:uid="{33469669-D488-453F-BB77-0F17D4429496}" name="Column1972"/>
    <tableColumn id="1992" xr3:uid="{588AA0A1-EDE1-4C31-A0B0-83ADC31BD5E3}" name="Column1973"/>
    <tableColumn id="1993" xr3:uid="{55B076DB-F91F-4FE1-8F29-BD7316569B21}" name="Column1974"/>
    <tableColumn id="1994" xr3:uid="{1381323A-D1C5-4A3A-8980-17F295853484}" name="Column1975"/>
    <tableColumn id="1995" xr3:uid="{C24A5DBF-73A4-4F35-A557-92A85BB627EC}" name="Column1976"/>
    <tableColumn id="1996" xr3:uid="{E787E575-44B5-439E-B27C-9DC8A109A441}" name="Column1977"/>
    <tableColumn id="1997" xr3:uid="{01A39A14-7180-4473-B9B7-672047D07FDD}" name="Column1978"/>
    <tableColumn id="1998" xr3:uid="{C6832B3E-328B-4EC4-8EC1-AD34DC40019A}" name="Column1979"/>
    <tableColumn id="1999" xr3:uid="{98AF2F9F-28A7-49EF-9A3A-F930689A92B4}" name="Column1980"/>
    <tableColumn id="2000" xr3:uid="{6E880842-57D0-46CA-A6C1-C59232A0F62A}" name="Column1981"/>
    <tableColumn id="2001" xr3:uid="{7F422916-1E2F-47A5-B6AA-CE494D8602E6}" name="Column1982"/>
    <tableColumn id="2002" xr3:uid="{B90E040D-CD41-411B-871E-62214D8ACBAD}" name="Column1983"/>
    <tableColumn id="2003" xr3:uid="{F49F4EA9-19FF-441E-AD63-878B0F994446}" name="Column1984"/>
    <tableColumn id="2004" xr3:uid="{53FDE990-D39E-4F7B-A27F-07B1056CBC29}" name="Column1985"/>
    <tableColumn id="2005" xr3:uid="{5DD6C75C-6538-47F7-BC1F-E0CA259E37E2}" name="Column1986"/>
    <tableColumn id="2006" xr3:uid="{16065AD9-FF70-4C84-8F82-EAEFA606811E}" name="Column1987"/>
    <tableColumn id="2007" xr3:uid="{38CB0A21-6CFD-4A8B-A598-1D58AD2E64D2}" name="Column1988"/>
    <tableColumn id="2008" xr3:uid="{1BF5476A-6758-418D-B392-C7F3702FB1F3}" name="Column1989"/>
    <tableColumn id="2009" xr3:uid="{79664832-2254-42DA-BD1B-D6749F30488D}" name="Column1990"/>
    <tableColumn id="2010" xr3:uid="{A0D4B5FB-E5EC-4838-B797-F8CFE8621662}" name="Column1991"/>
    <tableColumn id="2011" xr3:uid="{0EC111C0-F8CA-4223-ADF2-429E0979A981}" name="Column1992"/>
    <tableColumn id="2012" xr3:uid="{2CEDF05B-E3D0-4647-B3BF-2315AD110807}" name="Column1993"/>
    <tableColumn id="2013" xr3:uid="{D24EDD40-B784-43BF-BC48-E9CFBC2CA234}" name="Column1994"/>
    <tableColumn id="2014" xr3:uid="{179F532D-D131-4472-A710-17C7AA580E51}" name="Column1995"/>
    <tableColumn id="2015" xr3:uid="{6AEE75DA-E39F-40D4-B854-4240158D53F2}" name="Column1996"/>
    <tableColumn id="2016" xr3:uid="{38E9F567-CBD3-4DC9-ADD1-55F199523FCB}" name="Column1997"/>
    <tableColumn id="2017" xr3:uid="{A32232D4-47BF-4BD8-A1BE-FAB579E129DD}" name="Column1998"/>
    <tableColumn id="2018" xr3:uid="{98B66E17-1342-48AD-B0D9-4EBB5EC1C388}" name="Column1999"/>
    <tableColumn id="2019" xr3:uid="{2B864EBD-9C34-445E-B84F-B72E877D29C0}" name="Column2000"/>
    <tableColumn id="2020" xr3:uid="{2C2F2B2C-1917-40B7-8ACC-54123F285935}" name="Column2001"/>
    <tableColumn id="2021" xr3:uid="{B401DBB2-AE39-46B4-B06A-C93A77B77E25}" name="Column2002"/>
    <tableColumn id="2022" xr3:uid="{B4455215-D181-47DC-A615-7F35A0B2A3B2}" name="Column2003"/>
    <tableColumn id="2023" xr3:uid="{20FDC9F0-38BD-4353-8DBD-451EBA199F03}" name="Column2004"/>
    <tableColumn id="2024" xr3:uid="{46DEE019-0FDF-4033-89D5-BB2B91340093}" name="Column2005"/>
    <tableColumn id="2025" xr3:uid="{4ABF6418-923B-407A-9873-506E07253BF3}" name="Column2006"/>
    <tableColumn id="2026" xr3:uid="{CF007220-D331-4517-AFC5-7E0758347272}" name="Column2007"/>
    <tableColumn id="2027" xr3:uid="{E3FA8C3C-1A1B-4897-B032-DD143F05695D}" name="Column2008"/>
    <tableColumn id="2028" xr3:uid="{1429F8CF-1629-4B9F-865E-FED521242AE1}" name="Column2009"/>
    <tableColumn id="2029" xr3:uid="{68B56CE2-7CBD-4727-938C-0BE497A4CB00}" name="Column2010"/>
    <tableColumn id="2030" xr3:uid="{893FA282-F2D8-4C17-89BD-27C0DF5E81B4}" name="Column2011"/>
    <tableColumn id="2031" xr3:uid="{ABFB6967-8855-4306-B34B-D4D1148EA1B2}" name="Column2012"/>
    <tableColumn id="2032" xr3:uid="{7150B35F-2AD3-4C41-9160-2C258A2A2A87}" name="Column2013"/>
    <tableColumn id="2033" xr3:uid="{C2D11B12-40B9-4718-A46F-451A7007AC77}" name="Column2014"/>
    <tableColumn id="2034" xr3:uid="{D6C08C0A-080D-49D2-A705-1513B55EFB10}" name="Column2015"/>
    <tableColumn id="2035" xr3:uid="{20ADC7CE-4FE2-4ED7-9CA9-944E4230B944}" name="Column2016"/>
    <tableColumn id="2036" xr3:uid="{33A5B72A-4BE4-4429-8863-B551FB2DD8C8}" name="Column2017"/>
    <tableColumn id="2037" xr3:uid="{F8581DC0-3BA8-4E3F-9969-BADC4C59F605}" name="Column2018"/>
    <tableColumn id="2038" xr3:uid="{1D916E48-313D-49F9-BF19-8BD3D869E1DB}" name="Column2019"/>
    <tableColumn id="2039" xr3:uid="{9931615A-786B-48F2-902C-7451E66824C4}" name="Column2020"/>
    <tableColumn id="2040" xr3:uid="{220191E1-B6AA-4FF6-B3C8-411DB4E158F3}" name="Column2021"/>
    <tableColumn id="2041" xr3:uid="{E8B3696A-A7E8-4F0E-B4B5-714C6B658B8B}" name="Column2022"/>
    <tableColumn id="2042" xr3:uid="{6CE39FB2-28B5-43D5-A02D-0C8F3BC62C58}" name="Column2023"/>
    <tableColumn id="2043" xr3:uid="{A16FFA51-BDB4-4239-B243-B5D957D8BA4C}" name="Column2024"/>
    <tableColumn id="2044" xr3:uid="{1C9FE89D-783A-4E5E-8590-4B26B0D247AA}" name="Column2025"/>
    <tableColumn id="2045" xr3:uid="{5420C768-6917-4123-8F8E-DB27D7A946C8}" name="Column2026"/>
    <tableColumn id="2046" xr3:uid="{7923A60F-323D-4FC1-93FE-EB2ADC7E6DA1}" name="Column2027"/>
    <tableColumn id="2047" xr3:uid="{BF9D6213-BDDA-485B-B151-43E57E9EDA29}" name="Column2028"/>
    <tableColumn id="2048" xr3:uid="{AB6F84DE-E605-4AB4-BC7B-6A5C68946954}" name="Column2029"/>
    <tableColumn id="2049" xr3:uid="{3E7638D0-FEDC-4507-8AB2-DEE7B6701D23}" name="Column2030"/>
    <tableColumn id="2050" xr3:uid="{8A7977F8-E062-464A-B1D6-250D9B9F9990}" name="Column2031"/>
    <tableColumn id="2051" xr3:uid="{5760B326-7AD8-44E5-BAF2-A0FA1D35E033}" name="Column2032"/>
    <tableColumn id="2052" xr3:uid="{09C182A2-0A10-457F-B40A-6282F0AC675D}" name="Column2033"/>
    <tableColumn id="2053" xr3:uid="{6FC179F8-E717-4074-B5EF-EC591B9C574B}" name="Column2034"/>
    <tableColumn id="2054" xr3:uid="{80F2FAF9-3C29-41C2-A792-666C6E304115}" name="Column2035"/>
    <tableColumn id="2055" xr3:uid="{871D7AA7-7B1C-43C3-AA48-77781E8AAEA7}" name="Column2036"/>
    <tableColumn id="2056" xr3:uid="{EB445D38-42EF-4846-9D06-50C80DD3A76C}" name="Column2037"/>
    <tableColumn id="2057" xr3:uid="{5EC1095A-0743-4CE7-BBC7-2066065CAEB4}" name="Column2038"/>
    <tableColumn id="2058" xr3:uid="{860445BC-8C6D-46A6-8F0E-3DD48D665811}" name="Column2039"/>
    <tableColumn id="2059" xr3:uid="{2E690566-BA5C-4B70-BA00-514B91D074AC}" name="Column2040"/>
    <tableColumn id="2060" xr3:uid="{95541A3C-6E64-41E9-9B11-5E2D27F55C9F}" name="Column2041"/>
    <tableColumn id="2061" xr3:uid="{C33B5AFF-019C-4E53-BBEE-E6F77BE9CF15}" name="Column2042"/>
    <tableColumn id="2062" xr3:uid="{0A364C9F-96C9-4D11-A725-8417E410A1EC}" name="Column2043"/>
    <tableColumn id="2063" xr3:uid="{81DA3E84-CAB0-4273-A6AE-F6856E7F2FDE}" name="Column2044"/>
    <tableColumn id="2064" xr3:uid="{D4940414-5D16-42FD-8F56-DE8D7A1473C5}" name="Column2045"/>
    <tableColumn id="2065" xr3:uid="{2BBA9232-31B6-477C-85C5-84490EC575E8}" name="Column2046"/>
    <tableColumn id="2066" xr3:uid="{FCF1AEFD-9D4D-44B7-8544-3278B715BC64}" name="Column2047"/>
    <tableColumn id="2067" xr3:uid="{23B3451D-3CC1-4E88-87A6-76838BEB35C0}" name="Column2048"/>
    <tableColumn id="2068" xr3:uid="{C3ABABD5-206F-4651-ACAA-D9C802CEDF6B}" name="Column2049"/>
    <tableColumn id="2069" xr3:uid="{A2C0A6FF-658D-4AAD-AABA-94EB37D33971}" name="Column2050"/>
    <tableColumn id="2070" xr3:uid="{A0C3DB0A-1B58-4415-8274-720CD09E425A}" name="Column2051"/>
    <tableColumn id="2071" xr3:uid="{828D9B0B-3328-49C3-B761-716D0EE5C090}" name="Column2052"/>
    <tableColumn id="2072" xr3:uid="{8D35FCFA-CA5E-424C-BDEA-6A7CCC5D30E5}" name="Column2053"/>
    <tableColumn id="2073" xr3:uid="{9FCC52D7-1A9C-41F5-9DD5-7D8827FB6B93}" name="Column2054"/>
    <tableColumn id="2074" xr3:uid="{EDBB35D9-1CD5-4D08-9412-AA4DFCB4A9B2}" name="Column2055"/>
    <tableColumn id="2075" xr3:uid="{E0B084D5-767D-4105-9AB9-D3AEC9196D9D}" name="Column2056"/>
    <tableColumn id="2076" xr3:uid="{9ED39AAD-2091-4409-855D-C5D4D4332FCC}" name="Column2057"/>
    <tableColumn id="2077" xr3:uid="{5B2B14FF-E066-4637-A81C-34155D8A4FA6}" name="Column2058"/>
    <tableColumn id="2078" xr3:uid="{C532A3FA-E0A4-477F-9371-1F7D590E1D9A}" name="Column2059"/>
    <tableColumn id="2079" xr3:uid="{E3567978-3B03-40F6-9075-7A18BA3921A2}" name="Column2060"/>
    <tableColumn id="2080" xr3:uid="{E212B2DE-1269-433C-B445-AB429CA7D4DF}" name="Column2061"/>
    <tableColumn id="2081" xr3:uid="{29F97C93-30B7-4E75-B0ED-8452EA45047A}" name="Column2062"/>
    <tableColumn id="2082" xr3:uid="{238CA62F-B3A4-432A-8171-AD01DB67B135}" name="Column2063"/>
    <tableColumn id="2083" xr3:uid="{861163A7-0FAA-4980-9AE3-D744353B418C}" name="Column2064"/>
    <tableColumn id="2084" xr3:uid="{DCF54F20-4949-49EC-8382-3ECF208E09F0}" name="Column2065"/>
    <tableColumn id="2085" xr3:uid="{6D903CFD-F412-4D8A-BC75-6C1CD914C93C}" name="Column2066"/>
    <tableColumn id="2086" xr3:uid="{D383C475-F03F-411B-846C-AA4EF2A57372}" name="Column2067"/>
    <tableColumn id="2087" xr3:uid="{122AFB0C-2B22-45E1-BF1E-5E387230F244}" name="Column2068"/>
    <tableColumn id="2088" xr3:uid="{66284C61-340A-4E5F-95BB-65C1979E96AA}" name="Column2069"/>
    <tableColumn id="2089" xr3:uid="{F814828A-D9B9-440B-A72E-286B84FD9EC5}" name="Column2070"/>
    <tableColumn id="2090" xr3:uid="{CE9FD101-D901-48CE-8128-366E42B13E64}" name="Column2071"/>
    <tableColumn id="2091" xr3:uid="{3234E2AB-7A4E-4A51-8042-2E2A28EA7D44}" name="Column2072"/>
    <tableColumn id="2092" xr3:uid="{4F0C87BD-70FF-48A7-B302-446AED08E5CC}" name="Column2073"/>
    <tableColumn id="2093" xr3:uid="{E39BCF8A-F470-4EAD-B73C-A335AE8CC912}" name="Column2074"/>
    <tableColumn id="2094" xr3:uid="{BB66867F-9A2F-4172-ACC1-E395B33DA2A8}" name="Column2075"/>
    <tableColumn id="2095" xr3:uid="{F855264A-A16E-4FED-890E-222705EF7E95}" name="Column2076"/>
    <tableColumn id="2096" xr3:uid="{A8E856E1-AD02-4E1A-9348-EB4E7BBEE5FC}" name="Column2077"/>
    <tableColumn id="2097" xr3:uid="{CB7D96A2-DB06-4C4E-84E2-1A1B87C9EAE4}" name="Column2078"/>
    <tableColumn id="2098" xr3:uid="{986D7A52-FFA0-461A-B919-1739C7C92A2B}" name="Column2079"/>
    <tableColumn id="2099" xr3:uid="{3FA6BEE6-6D31-4741-85DF-29C0F1F53D46}" name="Column2080"/>
    <tableColumn id="2100" xr3:uid="{172530DE-AACB-43BE-9D30-DAF7E729AD9E}" name="Column2081"/>
    <tableColumn id="2101" xr3:uid="{7FAB208B-C8CE-4D6D-B6B6-109D9F9346E6}" name="Column2082"/>
    <tableColumn id="2102" xr3:uid="{414DFA62-A9C0-46FB-9155-1C694DAAB7AD}" name="Column2083"/>
    <tableColumn id="2103" xr3:uid="{F0C9A249-8D19-40DA-9A49-9AF6AB5D4B95}" name="Column2084"/>
    <tableColumn id="2104" xr3:uid="{D490E171-DA85-4EE9-B6F4-EA0A5C70945B}" name="Column2085"/>
    <tableColumn id="2105" xr3:uid="{A18D7C65-2B42-4BA3-AC02-C53A764F6085}" name="Column2086"/>
    <tableColumn id="2106" xr3:uid="{BB16215C-AB7B-41A8-A3F4-F36BD94C8412}" name="Column2087"/>
    <tableColumn id="2107" xr3:uid="{3932B6B8-1565-45FD-98FC-18AFDEF96358}" name="Column2088"/>
    <tableColumn id="2108" xr3:uid="{8C3E0737-9860-4802-A818-ADC18290A090}" name="Column2089"/>
    <tableColumn id="2109" xr3:uid="{94CEDE71-ADCD-4DF8-9C38-700A27DE117B}" name="Column2090"/>
    <tableColumn id="2110" xr3:uid="{D3BC0F86-CC1D-467D-8F11-35D1D7876EAF}" name="Column2091"/>
    <tableColumn id="2111" xr3:uid="{A2F639BC-BAD3-4807-8DFE-3D670E368861}" name="Column2092"/>
    <tableColumn id="2112" xr3:uid="{B3FC7275-1BAE-4DB0-A1EC-6675817ACFA3}" name="Column2093"/>
    <tableColumn id="2113" xr3:uid="{3883D4C0-F6DB-4028-B329-3C4F30371460}" name="Column2094"/>
    <tableColumn id="2114" xr3:uid="{D6D6F64E-1BD7-45C4-BB82-DFB742135389}" name="Column2095"/>
    <tableColumn id="2115" xr3:uid="{6772C9D2-35AF-4BEA-AFC8-2680785D43AA}" name="Column2096"/>
    <tableColumn id="2116" xr3:uid="{C0B97552-D4A3-4097-8754-01EB266AA119}" name="Column2097"/>
    <tableColumn id="2117" xr3:uid="{965B18A8-31B4-4B9E-9DF7-CC47ECF24858}" name="Column2098"/>
    <tableColumn id="2118" xr3:uid="{7C227B34-86DA-4682-90F0-DCFDB646E83E}" name="Column2099"/>
    <tableColumn id="2119" xr3:uid="{D03F206A-B583-49D0-8B35-8088FB725866}" name="Column2100"/>
    <tableColumn id="2120" xr3:uid="{9F06C6BB-7C32-4A1C-8738-E6EAE7311AC8}" name="Column2101"/>
    <tableColumn id="2121" xr3:uid="{9CF97C97-E00A-459C-A821-1A9E2612543B}" name="Column2102"/>
    <tableColumn id="2122" xr3:uid="{CDEF1F9F-A13F-4D69-9D7B-28B229CDFB65}" name="Column2103"/>
    <tableColumn id="2123" xr3:uid="{86B469A4-D5A2-4D61-A8DD-2E72BCF7C91E}" name="Column2104"/>
    <tableColumn id="2124" xr3:uid="{B6F533C2-9E05-43D8-8CE2-83AAD7905C8A}" name="Column2105"/>
    <tableColumn id="2125" xr3:uid="{94A3B503-9A22-4A96-B501-653735278D6B}" name="Column2106"/>
    <tableColumn id="2126" xr3:uid="{9B87D1D4-9888-428C-814F-D656281F0305}" name="Column2107"/>
    <tableColumn id="2127" xr3:uid="{0DFB22DA-0045-4DF4-9628-4EF503A1F65B}" name="Column2108"/>
    <tableColumn id="2128" xr3:uid="{66EC8478-4CF6-4D93-89C9-CBB6C162A8D1}" name="Column2109"/>
    <tableColumn id="2129" xr3:uid="{5C356A45-6010-4615-8C93-1478FC6F221B}" name="Column2110"/>
    <tableColumn id="2130" xr3:uid="{2F3DCF2B-6687-4578-9600-F87187D2570E}" name="Column2111"/>
    <tableColumn id="2131" xr3:uid="{ADEA62D3-C02A-4662-9EC4-15C5C974B549}" name="Column2112"/>
    <tableColumn id="2132" xr3:uid="{44E83A14-C9F4-471C-AA0E-4D18A577FC40}" name="Column2113"/>
    <tableColumn id="2133" xr3:uid="{D4000301-68CB-4B48-A0B6-86A73A5E7D6A}" name="Column2114"/>
    <tableColumn id="2134" xr3:uid="{232A2AA7-371B-4C6F-9B27-52899CD89DD4}" name="Column2115"/>
    <tableColumn id="2135" xr3:uid="{E3B66469-DF53-4742-B165-CB6AEFF509F7}" name="Column2116"/>
    <tableColumn id="2136" xr3:uid="{A2CE1D06-A024-47B8-B210-6E1C07019426}" name="Column2117"/>
    <tableColumn id="2137" xr3:uid="{94BC9B9B-30D6-4E82-B548-F5C6BE682DDA}" name="Column2118"/>
    <tableColumn id="2138" xr3:uid="{657F835D-39D3-41F0-AA44-27B819F4FE18}" name="Column2119"/>
    <tableColumn id="2139" xr3:uid="{7A32562C-A007-49B0-A782-EC73BED72C5F}" name="Column2120"/>
    <tableColumn id="2140" xr3:uid="{9968CEC9-2CAD-48A8-889F-12E58323CC46}" name="Column2121"/>
    <tableColumn id="2141" xr3:uid="{D5C8581E-0A96-4884-89FE-59A2299E87A5}" name="Column2122"/>
    <tableColumn id="2142" xr3:uid="{80C87CA1-ECF9-414B-AF2D-2EC530168E0A}" name="Column2123"/>
    <tableColumn id="2143" xr3:uid="{1A6DFB3F-0C6E-492F-BE3A-FFC16DAC2CDF}" name="Column2124"/>
    <tableColumn id="2144" xr3:uid="{4609AECD-832C-40BF-A8B6-59AEA0FED654}" name="Column2125"/>
    <tableColumn id="2145" xr3:uid="{8084A4FC-D73C-45D2-A510-F3CDE914B477}" name="Column2126"/>
    <tableColumn id="2146" xr3:uid="{AB665130-67BE-4A21-B39D-22AE0D8282AC}" name="Column2127"/>
    <tableColumn id="2147" xr3:uid="{E79023D5-B6AA-44A2-A004-E02F06358858}" name="Column2128"/>
    <tableColumn id="2148" xr3:uid="{B33129AB-9B4E-4241-9B6A-744965E47EB9}" name="Column2129"/>
    <tableColumn id="2149" xr3:uid="{1BC1BEC5-B478-49F9-BFD2-E74D898CE7FE}" name="Column2130"/>
    <tableColumn id="2150" xr3:uid="{A23D301C-F3A2-4324-9282-21DFC204E90B}" name="Column2131"/>
    <tableColumn id="2151" xr3:uid="{70996CD2-18C0-4684-8F31-783B7D0D7E56}" name="Column2132"/>
    <tableColumn id="2152" xr3:uid="{CBA261A4-9365-4B08-B9B9-2A76AFBAB50C}" name="Column2133"/>
    <tableColumn id="2153" xr3:uid="{6ECDEAF6-B648-488F-80C7-232259DC601F}" name="Column2134"/>
    <tableColumn id="2154" xr3:uid="{5727738A-CE6A-4A2D-8105-082EE0BC92E5}" name="Column2135"/>
    <tableColumn id="2155" xr3:uid="{C7EC6598-E8F1-4FAF-B17D-903719EFA2DA}" name="Column2136"/>
    <tableColumn id="2156" xr3:uid="{E75DE522-A604-45B9-91D8-9B2C9C9408F6}" name="Column2137"/>
    <tableColumn id="2157" xr3:uid="{AC98F9BB-D66B-4271-9E84-B6593EFF7D63}" name="Column2138"/>
    <tableColumn id="2158" xr3:uid="{FC6CD4CB-0D7E-4836-B68A-E7F25118AF20}" name="Column2139"/>
    <tableColumn id="2159" xr3:uid="{998E4CAB-C4B8-43F0-84F9-53E0064720C7}" name="Column2140"/>
    <tableColumn id="2160" xr3:uid="{1D0708F3-CB30-4D8D-8732-584AFF3F4AB4}" name="Column2141"/>
    <tableColumn id="2161" xr3:uid="{955857C0-7EC1-4E60-8E8D-1DF4142A392F}" name="Column2142"/>
    <tableColumn id="2162" xr3:uid="{3060893E-667F-4CB9-9A51-B3EBBA558AA8}" name="Column2143"/>
    <tableColumn id="2163" xr3:uid="{B331E8A6-3A65-4FD6-A1B1-A84A47005389}" name="Column2144"/>
    <tableColumn id="2164" xr3:uid="{CE4E0B2B-3FAD-4281-860F-7038AE19CCDB}" name="Column2145"/>
    <tableColumn id="2165" xr3:uid="{32405A19-3B9D-41A2-B3C0-C52F48DFF702}" name="Column2146"/>
    <tableColumn id="2166" xr3:uid="{7D8B607D-9CC4-4CED-9536-14EB3B7BB1F6}" name="Column2147"/>
    <tableColumn id="2167" xr3:uid="{D7768911-849F-4B6B-9829-8617F4DDD85A}" name="Column2148"/>
    <tableColumn id="2168" xr3:uid="{EF5CD169-9B97-4586-A131-0F59257AF251}" name="Column2149"/>
    <tableColumn id="2169" xr3:uid="{54B7A802-9C72-46C2-9C94-1D4D23CEB896}" name="Column2150"/>
    <tableColumn id="2170" xr3:uid="{F2974F12-2A3E-42E4-9CB2-45CB1065C528}" name="Column2151"/>
    <tableColumn id="2171" xr3:uid="{6A1CD312-CEF9-4FBE-97CF-BB9477C63ED7}" name="Column2152"/>
    <tableColumn id="2172" xr3:uid="{B39F5002-E875-425B-8DFB-166D4E3095E6}" name="Column2153"/>
    <tableColumn id="2173" xr3:uid="{84B28616-D62B-47B0-995D-73B7F86AE073}" name="Column2154"/>
    <tableColumn id="2174" xr3:uid="{EE4FCA9D-4CCD-4CD2-97ED-F8C5EC1D4DB5}" name="Column2155"/>
    <tableColumn id="2175" xr3:uid="{6C86A81F-546C-4F17-BC64-357D71F81009}" name="Column2156"/>
    <tableColumn id="2176" xr3:uid="{DF3FC2CA-E864-414D-A685-AF2620F13E6C}" name="Column2157"/>
    <tableColumn id="2177" xr3:uid="{5A8AFC74-5EF6-40C6-A0EA-563234FBE4F8}" name="Column2158"/>
    <tableColumn id="2178" xr3:uid="{C295FD6E-3B78-4906-9F64-940C709B9469}" name="Column2159"/>
    <tableColumn id="2179" xr3:uid="{3F241C8B-C09E-4BA9-828C-CF676C0CAF18}" name="Column2160"/>
    <tableColumn id="2180" xr3:uid="{26471918-5C15-4050-BFE4-A0D4D3D8A059}" name="Column2161"/>
    <tableColumn id="2181" xr3:uid="{40F7424D-3C7C-4C31-BC28-2C19D2824FB8}" name="Column2162"/>
    <tableColumn id="2182" xr3:uid="{4E340B75-D7AD-41A3-913F-DC7A3FC0DD17}" name="Column2163"/>
    <tableColumn id="2183" xr3:uid="{96E85413-816F-4B36-80A2-0424C02CF440}" name="Column2164"/>
    <tableColumn id="2184" xr3:uid="{D6E85D7D-973E-4FF1-BD8F-18814CE439D0}" name="Column2165"/>
    <tableColumn id="2185" xr3:uid="{F0A8F32D-0E63-4079-A7FA-B2BB8EE3E5AE}" name="Column2166"/>
    <tableColumn id="2186" xr3:uid="{E83D01A0-7D04-4FA1-8F1C-FF152C806E0E}" name="Column2167"/>
    <tableColumn id="2187" xr3:uid="{72648FD0-820B-4C9C-AFE3-1E09366DBD8E}" name="Column2168"/>
    <tableColumn id="2188" xr3:uid="{73E58009-FBB9-4382-AB61-4132975B4D86}" name="Column2169"/>
    <tableColumn id="2189" xr3:uid="{70770ACF-D6E6-4C48-953A-8B9C43C9587F}" name="Column2170"/>
    <tableColumn id="2190" xr3:uid="{A6B5BC4A-B45F-4D30-9B4B-FA2DD942D5E1}" name="Column2171"/>
    <tableColumn id="2191" xr3:uid="{EDF496FE-0913-49B2-8FCE-C62BE1E861AB}" name="Column2172"/>
    <tableColumn id="2192" xr3:uid="{3AA02177-C5BD-4BC9-B40A-E041C3D77C77}" name="Column2173"/>
    <tableColumn id="2193" xr3:uid="{A4B4864A-93B7-428E-9250-6F1F5DBDCB9E}" name="Column2174"/>
    <tableColumn id="2194" xr3:uid="{4CA62E4C-3062-45CE-A381-D6C7AF1C8A6E}" name="Column2175"/>
    <tableColumn id="2195" xr3:uid="{D18FE615-6395-4CB2-8F8E-0E3537983FEE}" name="Column2176"/>
    <tableColumn id="2196" xr3:uid="{F73B489A-CF33-480E-A262-1F2AF2A33D9B}" name="Column2177"/>
    <tableColumn id="2197" xr3:uid="{75AE599F-AFFC-405F-88B5-69205091C35B}" name="Column2178"/>
    <tableColumn id="2198" xr3:uid="{564CE492-2DF5-40B3-8E0B-F6165C924A69}" name="Column2179"/>
    <tableColumn id="2199" xr3:uid="{7A36B076-870A-4FE8-9225-66B97144529F}" name="Column2180"/>
    <tableColumn id="2200" xr3:uid="{4CFC4C97-276F-4A6C-800A-305E5E020508}" name="Column2181"/>
    <tableColumn id="2201" xr3:uid="{E26B2EEB-DBFE-4C0F-B85E-9482D8132345}" name="Column2182"/>
    <tableColumn id="2202" xr3:uid="{E28DDD11-AEB4-4AED-8EF2-E8FB523F0B24}" name="Column2183"/>
    <tableColumn id="2203" xr3:uid="{CF83FCCF-F035-424B-8A4D-5E1CFE33F0C3}" name="Column2184"/>
    <tableColumn id="2204" xr3:uid="{9EE0DAEB-2017-4ADA-9DF7-1DAED7022616}" name="Column2185"/>
    <tableColumn id="2205" xr3:uid="{F99D7E41-885E-40C2-9ED4-82E18AA26E17}" name="Column2186"/>
    <tableColumn id="2206" xr3:uid="{EC08BC85-F643-430E-9285-598CA92FD82A}" name="Column2187"/>
    <tableColumn id="2207" xr3:uid="{58BA5432-EB49-47A8-8F83-83C4AE118EF4}" name="Column2188"/>
    <tableColumn id="2208" xr3:uid="{0D65500B-78FB-4CC7-BBE0-BC36EC9D72C4}" name="Column2189"/>
    <tableColumn id="2209" xr3:uid="{22E6C4A9-130F-4949-9A03-F1C9763001B9}" name="Column2190"/>
    <tableColumn id="2210" xr3:uid="{E86B7D56-7859-4BFF-99D7-BD0D740451DC}" name="Column2191"/>
    <tableColumn id="2211" xr3:uid="{3E84E250-9412-45AC-8BC7-2DA79BBBA85B}" name="Column2192"/>
    <tableColumn id="2212" xr3:uid="{85612B06-4949-482D-A7C4-E6811B1740C6}" name="Column2193"/>
    <tableColumn id="2213" xr3:uid="{92D59CB3-74A7-49CF-BDFB-2FFA00641278}" name="Column2194"/>
    <tableColumn id="2214" xr3:uid="{3264C343-6172-417D-82EB-02868473FA07}" name="Column2195"/>
    <tableColumn id="2215" xr3:uid="{560282DF-14F3-402B-BF2A-2FC2119DB96F}" name="Column2196"/>
    <tableColumn id="2216" xr3:uid="{53D50335-39F4-4643-A260-FC4A84CD165B}" name="Column2197"/>
    <tableColumn id="2217" xr3:uid="{ECDCAB66-AE34-402C-8F83-130D20D10ED8}" name="Column2198"/>
    <tableColumn id="2218" xr3:uid="{A1B8196C-32A4-41C1-8FEB-B151DA597E93}" name="Column2199"/>
    <tableColumn id="2219" xr3:uid="{90A1E199-C91F-46DE-8ACE-19888003210C}" name="Column2200"/>
    <tableColumn id="2220" xr3:uid="{D1B17908-E03F-40B8-A30B-D8FAF8940E56}" name="Column2201"/>
    <tableColumn id="2221" xr3:uid="{C3241823-84FD-4B88-9BCD-5EA0F60A53C8}" name="Column2202"/>
    <tableColumn id="2222" xr3:uid="{87CEBCC0-C44B-48D3-808B-6C40A7B31C83}" name="Column2203"/>
    <tableColumn id="2223" xr3:uid="{23A85D19-0AE9-4BB1-97E1-A5B203FFFA97}" name="Column2204"/>
    <tableColumn id="2224" xr3:uid="{06931C35-E59B-4C19-BC56-09593A1FE078}" name="Column2205"/>
    <tableColumn id="2225" xr3:uid="{283A3596-513C-444D-9ECD-2A2A9A22D62C}" name="Column2206"/>
    <tableColumn id="2226" xr3:uid="{0C0715C3-5D50-4CCB-86F0-A6E4903D7201}" name="Column2207"/>
    <tableColumn id="2227" xr3:uid="{994C1460-6FE7-4685-A05D-EC8C38CF313C}" name="Column2208"/>
    <tableColumn id="2228" xr3:uid="{E96D4B39-AD45-49B3-BE75-612FC0696EB3}" name="Column2209"/>
    <tableColumn id="2229" xr3:uid="{7780079A-AF12-4DC1-83FD-6AD48ECF5CA5}" name="Column2210"/>
    <tableColumn id="2230" xr3:uid="{EC82AFAD-6A8B-495E-8F6E-6BA3F2FB0408}" name="Column2211"/>
    <tableColumn id="2231" xr3:uid="{7C79D335-A2F5-4035-BB83-8E0CAB79252E}" name="Column2212"/>
    <tableColumn id="2232" xr3:uid="{18823B11-B27E-4EE4-ADF1-6B999AD4B0D3}" name="Column2213"/>
    <tableColumn id="2233" xr3:uid="{2B498CB1-7637-4B9F-B074-2AAA00A9D7C1}" name="Column2214"/>
    <tableColumn id="2234" xr3:uid="{E48411C7-306B-4347-9898-62B4F86265E0}" name="Column2215"/>
    <tableColumn id="2235" xr3:uid="{0C15B2EE-A15E-4858-A2CE-3A6396AEAF84}" name="Column2216"/>
    <tableColumn id="2236" xr3:uid="{2FA4BFB5-F6AE-4E55-A9F0-270E7B0B17FF}" name="Column2217"/>
    <tableColumn id="2237" xr3:uid="{E482972A-E53A-4CE9-A5DB-6B98E7FD5316}" name="Column2218"/>
    <tableColumn id="2238" xr3:uid="{73020726-51AF-47AB-9A08-31A22C453E1A}" name="Column2219"/>
    <tableColumn id="2239" xr3:uid="{42731FA6-1C9C-46E2-AE3F-78A5E8F74123}" name="Column2220"/>
    <tableColumn id="2240" xr3:uid="{F7ADF74A-FEB7-40D0-BA36-CF0C50D0A5C5}" name="Column2221"/>
    <tableColumn id="2241" xr3:uid="{C92DB3E3-6318-4633-8774-5DED9247DD8B}" name="Column2222"/>
    <tableColumn id="2242" xr3:uid="{DAF1F887-ED2D-408A-B00B-DA2E00A71C95}" name="Column2223"/>
    <tableColumn id="2243" xr3:uid="{3D7F3608-266F-4904-9B11-BD856E860F75}" name="Column2224"/>
    <tableColumn id="2244" xr3:uid="{968E1655-1E70-48E9-9A1E-A0C2A6E59611}" name="Column2225"/>
    <tableColumn id="2245" xr3:uid="{63F778D9-206E-4135-B535-64E9325F9EB0}" name="Column2226"/>
    <tableColumn id="2246" xr3:uid="{85102C5E-26E8-454B-AA47-92AA073962DA}" name="Column2227"/>
    <tableColumn id="2247" xr3:uid="{C6718311-D51E-4762-9047-C330BFE4EFEE}" name="Column2228"/>
    <tableColumn id="2248" xr3:uid="{77BF47F8-6DD7-42EF-BFF8-F25FC217B1C1}" name="Column2229"/>
    <tableColumn id="2249" xr3:uid="{F5A7C0C1-2C19-400A-AEDE-E8DE00AC7BFE}" name="Column2230"/>
    <tableColumn id="2250" xr3:uid="{9E79040B-565D-4F7E-B4AB-416371439A64}" name="Column2231"/>
    <tableColumn id="2251" xr3:uid="{1B284084-2A74-4DF5-80BA-C1F554F5002E}" name="Column2232"/>
    <tableColumn id="2252" xr3:uid="{926AEF97-D7D1-4AB7-BB4E-03CD841081F6}" name="Column2233"/>
    <tableColumn id="2253" xr3:uid="{15FA1E21-5A21-4464-B421-81E1F75950D7}" name="Column2234"/>
    <tableColumn id="2254" xr3:uid="{107C26A2-8A17-49F5-9916-8D2E473089B3}" name="Column2235"/>
    <tableColumn id="2255" xr3:uid="{D1FC53FB-A01E-407B-BA5D-1337801E5188}" name="Column2236"/>
    <tableColumn id="2256" xr3:uid="{FE491C97-FC0B-430A-8353-70D77C3758B9}" name="Column2237"/>
    <tableColumn id="2257" xr3:uid="{A61DC24F-393B-41F7-AA5A-52FF11B4EEA1}" name="Column2238"/>
    <tableColumn id="2258" xr3:uid="{4BEFFC6F-C14F-4000-B06B-2A82F76C5767}" name="Column2239"/>
    <tableColumn id="2259" xr3:uid="{C1654F73-2F21-48DF-8100-83E4A43462E9}" name="Column2240"/>
    <tableColumn id="2260" xr3:uid="{027C8D7E-3398-4584-8DAD-A3AEA90E85C1}" name="Column2241"/>
    <tableColumn id="2261" xr3:uid="{93408BD0-D80F-4A14-8CB9-EBC3F5493D69}" name="Column2242"/>
    <tableColumn id="2262" xr3:uid="{F045DC50-7415-49FC-A7A2-BC36FC36CB96}" name="Column2243"/>
    <tableColumn id="2263" xr3:uid="{1E763E07-6FBB-44F5-9752-5AD5FE48882A}" name="Column2244"/>
    <tableColumn id="2264" xr3:uid="{58ED0CF6-E653-4869-A815-19C6E7347BFE}" name="Column2245"/>
    <tableColumn id="2265" xr3:uid="{BBBF4524-80C3-49B1-B69F-5943D0A2D739}" name="Column2246"/>
    <tableColumn id="2266" xr3:uid="{39495C36-91D4-408F-9FCD-B9AF000FF099}" name="Column2247"/>
    <tableColumn id="2267" xr3:uid="{E1564591-0831-49E8-A130-376FF13BFE61}" name="Column2248"/>
    <tableColumn id="2268" xr3:uid="{DBB82B4E-32D7-4B3A-A23A-125A7BDBC239}" name="Column2249"/>
    <tableColumn id="2269" xr3:uid="{56F5926C-20A7-4958-BFE4-1C58C7C84E66}" name="Column2250"/>
    <tableColumn id="2270" xr3:uid="{CE15DAA4-ED7D-4CD0-9EA8-7646173A3286}" name="Column2251"/>
    <tableColumn id="2271" xr3:uid="{CDC2A712-AE2C-4861-8ABC-436300DC0C22}" name="Column2252"/>
    <tableColumn id="2272" xr3:uid="{BC7A8036-F649-4811-B250-E7D867982DE2}" name="Column2253"/>
    <tableColumn id="2273" xr3:uid="{D134253F-798A-4356-8490-5E6628B96729}" name="Column2254"/>
    <tableColumn id="2274" xr3:uid="{B1F7F448-512B-4F03-91E5-2F253435D355}" name="Column2255"/>
    <tableColumn id="2275" xr3:uid="{BCBE40B2-DCD9-45D9-BD16-1BB6A8D62EBD}" name="Column2256"/>
    <tableColumn id="2276" xr3:uid="{31D00DB9-5B19-4906-8B8D-4A7922AF4E7B}" name="Column2257"/>
    <tableColumn id="2277" xr3:uid="{947C2F80-F57E-4B04-A4E7-F200BD40FD8B}" name="Column2258"/>
    <tableColumn id="2278" xr3:uid="{46C719AD-A36B-4FD5-81E7-11457980125A}" name="Column2259"/>
    <tableColumn id="2279" xr3:uid="{E8760811-BD7E-4592-9C83-76A292D33085}" name="Column2260"/>
    <tableColumn id="2280" xr3:uid="{19155CAB-D1AE-4746-9ABA-E18B9754CDF3}" name="Column2261"/>
    <tableColumn id="2281" xr3:uid="{73926E24-A0B1-4E4F-96A8-C60BFDD2408C}" name="Column2262"/>
    <tableColumn id="2282" xr3:uid="{6E165247-F5A8-4D15-9DE2-9244A02C8DE2}" name="Column2263"/>
    <tableColumn id="2283" xr3:uid="{518F9B58-4DC6-41C7-BC43-715F6251E49B}" name="Column2264"/>
    <tableColumn id="2284" xr3:uid="{311980A3-3035-4FFE-8746-789A96BDB368}" name="Column2265"/>
    <tableColumn id="2285" xr3:uid="{1497691A-D8F2-44CA-A61E-060531D3857A}" name="Column2266"/>
    <tableColumn id="2286" xr3:uid="{5F0CA736-8E23-45AB-93D0-186811BA1732}" name="Column2267"/>
    <tableColumn id="2287" xr3:uid="{FBFE9B0D-D285-417B-BAC2-10C02BE78D49}" name="Column2268"/>
    <tableColumn id="2288" xr3:uid="{E187C1AD-9F46-4ABC-8C66-5B48A318F52F}" name="Column2269"/>
    <tableColumn id="2289" xr3:uid="{26E65257-7DA7-4AFB-87B7-22984BDB7347}" name="Column2270"/>
    <tableColumn id="2290" xr3:uid="{4F0488D7-C3F9-47B0-956F-FB6D369F6C42}" name="Column2271"/>
    <tableColumn id="2291" xr3:uid="{C86EDE45-A860-4C58-AE2C-05D10B37CE9B}" name="Column2272"/>
    <tableColumn id="2292" xr3:uid="{44D47886-A6D0-43FF-B243-50F2FCF57450}" name="Column2273"/>
    <tableColumn id="2293" xr3:uid="{DCD3A429-2FA3-4014-A3A3-05CE59ACCC11}" name="Column2274"/>
    <tableColumn id="2294" xr3:uid="{571A9C03-592F-497B-9A60-7A00E4BDCDFE}" name="Column2275"/>
    <tableColumn id="2295" xr3:uid="{F276229D-C475-414B-8180-FB984929DFCD}" name="Column2276"/>
    <tableColumn id="2296" xr3:uid="{098827A3-01DA-4FF5-BA11-CE12B1618F8E}" name="Column2277"/>
    <tableColumn id="2297" xr3:uid="{224D893C-869E-4BC0-9170-7280EE4A6ED5}" name="Column2278"/>
    <tableColumn id="2298" xr3:uid="{38698E8D-4580-4F96-B104-1B09CDF38C40}" name="Column2279"/>
    <tableColumn id="2299" xr3:uid="{A866D2F2-60D2-4EFE-B6D3-998AC64EB810}" name="Column2280"/>
    <tableColumn id="2300" xr3:uid="{F13303EF-33B9-4AF8-A3BF-774B5EB07881}" name="Column2281"/>
    <tableColumn id="2301" xr3:uid="{E10F4569-9420-41C8-A6D6-566595DF6462}" name="Column2282"/>
    <tableColumn id="2302" xr3:uid="{49BBFAD2-909F-4A32-836E-862DDA77E553}" name="Column2283"/>
    <tableColumn id="2303" xr3:uid="{C46146C8-E16C-4979-8F0B-51B0004E6C39}" name="Column2284"/>
    <tableColumn id="2304" xr3:uid="{835C4E79-0E2F-417E-98F7-6FF36444F177}" name="Column2285"/>
    <tableColumn id="2305" xr3:uid="{91960483-87B1-4661-B6D8-AAA590F0474C}" name="Column2286"/>
    <tableColumn id="2306" xr3:uid="{93220C5C-7001-4783-9632-D9F2EFC4D715}" name="Column2287"/>
    <tableColumn id="2307" xr3:uid="{84DB0FB8-5D7B-4831-8338-9B87161F7329}" name="Column2288"/>
    <tableColumn id="2308" xr3:uid="{3076B7B9-279A-4198-AC8F-AA74672D6A11}" name="Column2289"/>
    <tableColumn id="2309" xr3:uid="{547329D0-4F28-4CAF-AD8B-B3CDC03B174F}" name="Column2290"/>
    <tableColumn id="2310" xr3:uid="{EAE20593-11DB-4B91-831E-CF3D060A8DE1}" name="Column2291"/>
    <tableColumn id="2311" xr3:uid="{418F4CF6-6E1B-4233-ADA6-268902C8C449}" name="Column2292"/>
    <tableColumn id="2312" xr3:uid="{53496D02-55E8-4186-B5CB-C002F59F7DC9}" name="Column2293"/>
    <tableColumn id="2313" xr3:uid="{2807EFF1-D27E-4822-8845-B8EF17D8F4BF}" name="Column2294"/>
    <tableColumn id="2314" xr3:uid="{233919EB-8247-40EB-B7CD-3242A436327B}" name="Column2295"/>
    <tableColumn id="2315" xr3:uid="{D08EDF72-1C72-4057-B3B3-174BE6AB5263}" name="Column2296"/>
    <tableColumn id="2316" xr3:uid="{40B7E950-C38E-41BA-BB56-141F39ADEF58}" name="Column2297"/>
    <tableColumn id="2317" xr3:uid="{062D06B7-6436-4146-89FA-3A20B7DC6C49}" name="Column2298"/>
    <tableColumn id="2318" xr3:uid="{D3ED4E73-298C-449B-B61A-6FB4BCABCDFC}" name="Column2299"/>
    <tableColumn id="2319" xr3:uid="{9AE21794-66A0-40DD-91DA-DAF58402A048}" name="Column2300"/>
    <tableColumn id="2320" xr3:uid="{99952AA3-96D7-4DB6-8C57-8E87D8704DDD}" name="Column2301"/>
    <tableColumn id="2321" xr3:uid="{85BC11D6-D2DC-432A-BCD0-89C065321F5C}" name="Column2302"/>
    <tableColumn id="2322" xr3:uid="{A87A6DBE-EE59-417E-AB2B-BDD4E6B302B0}" name="Column2303"/>
    <tableColumn id="2323" xr3:uid="{74B2B1C0-1039-44FE-903F-6419ADAB3147}" name="Column2304"/>
    <tableColumn id="2324" xr3:uid="{1E1CA8B0-3748-4FC2-9C71-9BBF6F17B007}" name="Column2305"/>
    <tableColumn id="2325" xr3:uid="{89E88AE9-2AFC-4B61-9FBD-51909FA6E83B}" name="Column2306"/>
    <tableColumn id="2326" xr3:uid="{824DDC96-8F30-4C60-A7D8-2E6D9EFD73C4}" name="Column2307"/>
    <tableColumn id="2327" xr3:uid="{DB7B3AA3-8528-4DAA-B6CB-A2D27F27264A}" name="Column2308"/>
    <tableColumn id="2328" xr3:uid="{B9D77EC1-347D-425F-9F2E-A8C49DA660DD}" name="Column2309"/>
    <tableColumn id="2329" xr3:uid="{E7D0F663-004F-4246-AF29-CA18AC071442}" name="Column2310"/>
    <tableColumn id="2330" xr3:uid="{44EEAC1A-AED7-4266-B52F-FA607C72D07A}" name="Column2311"/>
    <tableColumn id="2331" xr3:uid="{1E484C1B-31E3-4682-A6AE-1AFA9F967F90}" name="Column2312"/>
    <tableColumn id="2332" xr3:uid="{8D317576-2464-4160-AEAB-8246C8FC4D7A}" name="Column2313"/>
    <tableColumn id="2333" xr3:uid="{087C70D9-99A9-4CC7-8731-C77DFBCB8BC8}" name="Column2314"/>
    <tableColumn id="2334" xr3:uid="{93E5106D-ADB4-48A2-90C8-6F83EEE24439}" name="Column2315"/>
    <tableColumn id="2335" xr3:uid="{1C80A13B-5278-4D7C-AB4E-58B5327FC7E1}" name="Column2316"/>
    <tableColumn id="2336" xr3:uid="{80F02CAE-307C-4315-AA54-F4A2841C76CD}" name="Column2317"/>
    <tableColumn id="2337" xr3:uid="{5649E8B8-1468-4DB8-AF9E-CD506405E0F9}" name="Column2318"/>
    <tableColumn id="2338" xr3:uid="{13DB4A55-850A-4340-ABA8-DD2D572C38FD}" name="Column2319"/>
    <tableColumn id="2339" xr3:uid="{5BE33E12-FBA8-4080-B1CE-25B29B8EF2F3}" name="Column2320"/>
    <tableColumn id="2340" xr3:uid="{060A4E9D-2548-4E42-86D5-43052C2E0630}" name="Column2321"/>
    <tableColumn id="2341" xr3:uid="{EC68B170-8FE4-45E3-ADB4-9C91B0432F2C}" name="Column2322"/>
    <tableColumn id="2342" xr3:uid="{F33313A0-8702-4472-B6C2-81A276A9B37E}" name="Column2323"/>
    <tableColumn id="2343" xr3:uid="{C61339CE-C311-4AFD-BC54-6B7585A31921}" name="Column2324"/>
    <tableColumn id="2344" xr3:uid="{24AE4F3A-D2A7-42DB-99BA-A9CBBE136A37}" name="Column2325"/>
    <tableColumn id="2345" xr3:uid="{C07CEF67-FD14-4D0C-B480-A47CD31EDBE6}" name="Column2326"/>
    <tableColumn id="2346" xr3:uid="{E60C0708-DC35-41E1-9A80-5D17577F68C7}" name="Column2327"/>
    <tableColumn id="2347" xr3:uid="{69147181-BF5F-403C-9EF2-69E26F226810}" name="Column2328"/>
    <tableColumn id="2348" xr3:uid="{BFA9B70A-E8CC-4603-A4C2-FE45E6B8A782}" name="Column2329"/>
    <tableColumn id="2349" xr3:uid="{E5B1F969-59B1-4001-AFB6-5F3E896EB401}" name="Column2330"/>
    <tableColumn id="2350" xr3:uid="{94522FC2-CE0B-4870-8D6F-C109BAF20757}" name="Column2331"/>
    <tableColumn id="2351" xr3:uid="{20ECDE8F-3B21-45D9-A6D0-1D1187D11707}" name="Column2332"/>
    <tableColumn id="2352" xr3:uid="{4C29E9DC-9358-41E5-9B18-3B73D541F02E}" name="Column2333"/>
    <tableColumn id="2353" xr3:uid="{32B4A539-0056-4C39-8048-BF096D26BA77}" name="Column2334"/>
    <tableColumn id="2354" xr3:uid="{039F1242-EE4F-45BA-A93E-1BDF971CD82D}" name="Column2335"/>
    <tableColumn id="2355" xr3:uid="{7566E392-9784-45AE-AE8D-D66BB637F47B}" name="Column2336"/>
    <tableColumn id="2356" xr3:uid="{F9599C56-1296-4410-8CD4-B9CEEBDF3EC1}" name="Column2337"/>
    <tableColumn id="2357" xr3:uid="{CD40FF3E-B00D-4F98-92A5-B4A97A9B6889}" name="Column2338"/>
    <tableColumn id="2358" xr3:uid="{8B12703C-94A3-43A3-BA16-7E8A4113ABCC}" name="Column2339"/>
    <tableColumn id="2359" xr3:uid="{90261D74-8757-404A-9483-E69A1F8D61A9}" name="Column2340"/>
    <tableColumn id="2360" xr3:uid="{B7BBF730-79B5-44FF-A63D-114FFD606820}" name="Column2341"/>
    <tableColumn id="2361" xr3:uid="{DFDEA78E-1EFF-471F-BD91-60F861D55093}" name="Column2342"/>
    <tableColumn id="2362" xr3:uid="{2E68AB82-8A2F-402F-B1D1-C82CD75EEA36}" name="Column2343"/>
    <tableColumn id="2363" xr3:uid="{B560CB1C-7C7B-49A4-B1A9-013A80027D13}" name="Column2344"/>
    <tableColumn id="2364" xr3:uid="{B4D014EB-D2A8-4E82-807D-A5A02E783F78}" name="Column2345"/>
    <tableColumn id="2365" xr3:uid="{307829A4-03B4-4426-B892-4363FF1AE448}" name="Column2346"/>
    <tableColumn id="2366" xr3:uid="{9578BDE2-E36D-42A4-A73B-584041FF19A0}" name="Column2347"/>
    <tableColumn id="2367" xr3:uid="{7164CC7D-64AF-411F-8517-44BDD2298C99}" name="Column2348"/>
    <tableColumn id="2368" xr3:uid="{87299FC3-5DDE-475E-A01F-DCED369A9C3B}" name="Column2349"/>
    <tableColumn id="2369" xr3:uid="{A97913AC-22B0-43CE-A5E4-CD9E1E48C0BD}" name="Column2350"/>
    <tableColumn id="2370" xr3:uid="{C8EB67B0-C5E6-46AF-AA33-9F78DFB6F20B}" name="Column2351"/>
    <tableColumn id="2371" xr3:uid="{A20183EA-248F-46C1-88C9-9DA087DED70A}" name="Column2352"/>
    <tableColumn id="2372" xr3:uid="{EB7075FA-E5D0-441E-A913-A09620BFC56C}" name="Column2353"/>
    <tableColumn id="2373" xr3:uid="{12A24842-2EFC-49FC-B0D1-15B8C8F1F33D}" name="Column2354"/>
    <tableColumn id="2374" xr3:uid="{48B16B59-A69C-44A9-9CE4-194B0D936558}" name="Column2355"/>
    <tableColumn id="2375" xr3:uid="{5A6B15E2-295F-4A3A-9023-DBF8555ABD9E}" name="Column2356"/>
    <tableColumn id="2376" xr3:uid="{8C65EAD5-378A-44A9-8BD5-115354598E44}" name="Column2357"/>
    <tableColumn id="2377" xr3:uid="{78544B23-89FD-42E1-882C-488EF6DE2F7B}" name="Column2358"/>
    <tableColumn id="2378" xr3:uid="{5CEA2980-D84A-4CD2-AC7B-253A1EBB667F}" name="Column2359"/>
    <tableColumn id="2379" xr3:uid="{B04F3CD2-402F-47F5-8735-F6967DA2E3A0}" name="Column2360"/>
    <tableColumn id="2380" xr3:uid="{629D14A9-2F2A-4949-98CA-8E7596C3438E}" name="Column2361"/>
    <tableColumn id="2381" xr3:uid="{14BE5A3B-9D8B-4267-8B82-DDC63770F0E6}" name="Column2362"/>
    <tableColumn id="2382" xr3:uid="{433FE013-0B53-4D60-A1B9-BB997C0D47FD}" name="Column2363"/>
    <tableColumn id="2383" xr3:uid="{2D05AAA3-2F27-42F7-9705-EF8B9174E357}" name="Column2364"/>
    <tableColumn id="2384" xr3:uid="{8B042C34-5C25-452F-9E8A-B32338B7FD94}" name="Column2365"/>
    <tableColumn id="2385" xr3:uid="{9199BDC0-1B89-470F-9184-CCF896AE1F5F}" name="Column2366"/>
    <tableColumn id="2386" xr3:uid="{F4226355-8220-42BA-8B34-C09F2C695C43}" name="Column2367"/>
    <tableColumn id="2387" xr3:uid="{5E2DE630-BCFB-4D7A-A47B-917B1E39B211}" name="Column2368"/>
    <tableColumn id="2388" xr3:uid="{2BA428A6-5D63-4340-B0B5-51E769E566C5}" name="Column2369"/>
    <tableColumn id="2389" xr3:uid="{BC7A9915-18B0-40D1-AB78-DD341231CC72}" name="Column2370"/>
    <tableColumn id="2390" xr3:uid="{EFBF4BBE-89F0-41AD-A283-B0C5F9A03987}" name="Column2371"/>
    <tableColumn id="2391" xr3:uid="{1299E8FF-E953-4C15-826B-5E7BD7EE27A6}" name="Column2372"/>
    <tableColumn id="2392" xr3:uid="{F56D3B82-3E28-4FA2-8FC0-F4EC18AD0446}" name="Column2373"/>
    <tableColumn id="2393" xr3:uid="{788A3E94-BBB1-4935-B482-6F57F43640CD}" name="Column2374"/>
    <tableColumn id="2394" xr3:uid="{0573FC25-4C82-4D07-B4C1-C1570EF03721}" name="Column2375"/>
    <tableColumn id="2395" xr3:uid="{017540A1-E676-4C06-B499-E6BDEB02312D}" name="Column2376"/>
    <tableColumn id="2396" xr3:uid="{64533F67-8F3D-463A-9B98-1CEEDA9DD385}" name="Column2377"/>
    <tableColumn id="2397" xr3:uid="{8ACBDD65-3694-4943-BD96-695D55A6982C}" name="Column2378"/>
    <tableColumn id="2398" xr3:uid="{C4435BF3-E3D1-44D6-B998-8E98C857BACF}" name="Column2379"/>
    <tableColumn id="2399" xr3:uid="{4256C53C-DCBE-4475-A307-FF21DC9AA65F}" name="Column2380"/>
    <tableColumn id="2400" xr3:uid="{AB7182DE-3358-4F6B-BBAF-9804EE6181F2}" name="Column2381"/>
    <tableColumn id="2401" xr3:uid="{6E647933-40DB-4740-A9B8-37206C062478}" name="Column2382"/>
    <tableColumn id="2402" xr3:uid="{82F33704-F370-4F79-A359-2D27FE48D992}" name="Column2383"/>
    <tableColumn id="2403" xr3:uid="{63989D7E-71DF-4F57-A94B-B0B4FA5C12F9}" name="Column2384"/>
    <tableColumn id="2404" xr3:uid="{D6ADA2E2-E7C9-40F5-95B0-2F2B110F0025}" name="Column2385"/>
    <tableColumn id="2405" xr3:uid="{99DDAEFF-C80B-4B2C-8155-E8A6DC060218}" name="Column2386"/>
    <tableColumn id="2406" xr3:uid="{F04430EE-27FD-4DB7-B6D4-4EAF1BD9A425}" name="Column2387"/>
    <tableColumn id="2407" xr3:uid="{DF66E3CE-92C6-4919-BA4F-6367112AE128}" name="Column2388"/>
    <tableColumn id="2408" xr3:uid="{498AA402-A45B-4C96-B6ED-452B770B6C3B}" name="Column2389"/>
    <tableColumn id="2409" xr3:uid="{998BC3D0-7052-4E38-AA62-68D7CE1CAB2E}" name="Column2390"/>
    <tableColumn id="2410" xr3:uid="{340B1BA3-DF48-4F07-87E7-9E6CEE152C13}" name="Column2391"/>
    <tableColumn id="2411" xr3:uid="{BD3F2F4C-445E-4EAC-8F03-79183A85E6AD}" name="Column2392"/>
    <tableColumn id="2412" xr3:uid="{B8FF3373-D8F8-4B7D-A0CF-8CA3A667C631}" name="Column2393"/>
    <tableColumn id="2413" xr3:uid="{CEF89632-53ED-47A4-898E-96DF904B57A6}" name="Column2394"/>
    <tableColumn id="2414" xr3:uid="{D5B1A8A0-7E73-4B60-932D-955971CAB72B}" name="Column2395"/>
    <tableColumn id="2415" xr3:uid="{718642C3-D142-4335-BFF3-F18159AECF5D}" name="Column2396"/>
    <tableColumn id="2416" xr3:uid="{0010EEF2-1D8C-4A75-98F3-6FB25A10B09A}" name="Column2397"/>
    <tableColumn id="2417" xr3:uid="{4326121A-7EDE-47B0-B658-B3D0BE60D75C}" name="Column2398"/>
    <tableColumn id="2418" xr3:uid="{92F1698C-4C7E-4E19-9C15-7C2E18F8C4ED}" name="Column2399"/>
    <tableColumn id="2419" xr3:uid="{346A8595-40A5-4FEF-81D1-92150051D2E0}" name="Column2400"/>
    <tableColumn id="2420" xr3:uid="{02DDFC94-CF69-4B51-B116-BD12F9EA8D93}" name="Column2401"/>
    <tableColumn id="2421" xr3:uid="{3B284DE2-D2AB-4477-A898-3D5608EE451B}" name="Column2402"/>
    <tableColumn id="2422" xr3:uid="{28B113D2-B867-4A5F-90C2-05725A4EC73B}" name="Column2403"/>
    <tableColumn id="2423" xr3:uid="{7869F339-DFA3-4E2E-A15F-991CE8551243}" name="Column2404"/>
    <tableColumn id="2424" xr3:uid="{54B557DB-DC8B-47DC-A865-20D609A22685}" name="Column2405"/>
    <tableColumn id="2425" xr3:uid="{657204B6-207A-4926-88BE-8299F8A6CBB7}" name="Column2406"/>
    <tableColumn id="2426" xr3:uid="{C600E1D0-D48B-46E5-AFF5-7C53D6067E9B}" name="Column2407"/>
    <tableColumn id="2427" xr3:uid="{D2020677-113D-4F17-A47D-FFC3D5DF5340}" name="Column2408"/>
    <tableColumn id="2428" xr3:uid="{1B8A9E59-7D8E-472C-9CA0-48571EF6426E}" name="Column2409"/>
    <tableColumn id="2429" xr3:uid="{0BFD977C-ADB0-4B03-A6B9-C4059D24A93D}" name="Column2410"/>
    <tableColumn id="2430" xr3:uid="{AA0DC55C-48AD-4F25-A201-14334984CF17}" name="Column2411"/>
    <tableColumn id="2431" xr3:uid="{2B23EC85-8854-4B18-8CA7-B3DD22AF153C}" name="Column2412"/>
    <tableColumn id="2432" xr3:uid="{D67534A5-AC96-42E0-BC27-E021480902B6}" name="Column2413"/>
    <tableColumn id="2433" xr3:uid="{41B53B92-8112-4260-ABA7-05A0F2501B99}" name="Column2414"/>
    <tableColumn id="2434" xr3:uid="{8A53276C-3F9E-4EBD-B5DD-994BD9BC4A8A}" name="Column2415"/>
    <tableColumn id="2435" xr3:uid="{33D136BB-6CC1-4564-9624-65FBC739E9E8}" name="Column2416"/>
    <tableColumn id="2436" xr3:uid="{8AF8CD81-BA87-476B-A3FE-3C132A146B19}" name="Column2417"/>
    <tableColumn id="2437" xr3:uid="{D0799364-CA2B-46BE-80FB-3A44DB698887}" name="Column2418"/>
    <tableColumn id="2438" xr3:uid="{5B479644-3EDB-4C0B-8D23-6370A59ED632}" name="Column2419"/>
    <tableColumn id="2439" xr3:uid="{CF7E2E6F-280E-4D3D-B491-AA86ACA08419}" name="Column2420"/>
    <tableColumn id="2440" xr3:uid="{7C19FA89-42C2-42B9-A832-7ECCD1904367}" name="Column2421"/>
    <tableColumn id="2441" xr3:uid="{92EA7ACA-F0DD-4E61-89F7-90B203749BEA}" name="Column2422"/>
    <tableColumn id="2442" xr3:uid="{F1C9761D-61A0-4CFF-9D6E-ABB19FBEC41F}" name="Column2423"/>
    <tableColumn id="2443" xr3:uid="{16F5DB6B-B8DD-44E3-8CA4-1292754B8DF6}" name="Column2424"/>
    <tableColumn id="2444" xr3:uid="{20CDE6BA-1888-42DE-92A2-9CF5494DE216}" name="Column2425"/>
    <tableColumn id="2445" xr3:uid="{F5EE2F68-C932-493C-8C0C-37E74346525D}" name="Column2426"/>
    <tableColumn id="2446" xr3:uid="{8F48A8DA-EEB3-432B-980C-9F06961E640A}" name="Column2427"/>
    <tableColumn id="2447" xr3:uid="{FE6AD55A-DE61-4B26-9656-662719F14C89}" name="Column2428"/>
    <tableColumn id="2448" xr3:uid="{94415A41-246D-4151-AE73-A19A75F265C2}" name="Column2429"/>
    <tableColumn id="2449" xr3:uid="{6492AA7A-8053-4060-AD74-4C980F5DF95D}" name="Column2430"/>
    <tableColumn id="2450" xr3:uid="{1847E80B-E97E-4948-BA47-528481E78E41}" name="Column2431"/>
    <tableColumn id="2451" xr3:uid="{9AF10542-1B28-44A3-BA29-F31704CBC445}" name="Column2432"/>
    <tableColumn id="2452" xr3:uid="{ED870C19-E238-4396-88E6-BF90290A8E39}" name="Column2433"/>
    <tableColumn id="2453" xr3:uid="{E9AFB4EF-8A72-4222-BA0D-9C57921AD011}" name="Column2434"/>
    <tableColumn id="2454" xr3:uid="{30CFAD3A-0A37-4F55-A499-C764E63FC059}" name="Column2435"/>
    <tableColumn id="2455" xr3:uid="{2BADCB66-F7A9-440B-B04D-1E647A5DD069}" name="Column2436"/>
    <tableColumn id="2456" xr3:uid="{F578B2B2-E4F5-4AE1-B2FB-D0FB97514B60}" name="Column2437"/>
    <tableColumn id="2457" xr3:uid="{8FCF64EB-CEFD-40D6-B26D-EB91264CA4A1}" name="Column2438"/>
    <tableColumn id="2458" xr3:uid="{36318CEB-39AD-4505-8187-820213A95713}" name="Column2439"/>
    <tableColumn id="2459" xr3:uid="{98DFE115-F2B1-4C7A-8F79-A6B6F496F3FA}" name="Column2440"/>
    <tableColumn id="2460" xr3:uid="{95C8216F-331E-472B-8EDB-EA5428015387}" name="Column2441"/>
    <tableColumn id="2461" xr3:uid="{DA6B0DC1-14D9-46FF-8CBC-0EE7BF827E38}" name="Column2442"/>
    <tableColumn id="2462" xr3:uid="{04394800-B82E-4CCD-AFD1-ADA8F2D3F563}" name="Column2443"/>
    <tableColumn id="2463" xr3:uid="{6B275FA3-AA31-45FA-972F-8D566DA67FF1}" name="Column2444"/>
    <tableColumn id="2464" xr3:uid="{6C6E6DBF-174E-4ACA-9097-ED844817218A}" name="Column2445"/>
    <tableColumn id="2465" xr3:uid="{77AD886A-2C01-4480-A439-71EBB208B7CB}" name="Column2446"/>
    <tableColumn id="2466" xr3:uid="{AF596891-069A-4210-92A0-8ED1E5CE06D3}" name="Column2447"/>
    <tableColumn id="2467" xr3:uid="{CD746E3B-04F8-4D6C-B13B-8044EE80C4F3}" name="Column2448"/>
    <tableColumn id="2468" xr3:uid="{E2B7A0D3-7DFB-4AD3-8CDC-3C2AD5159C5B}" name="Column2449"/>
    <tableColumn id="2469" xr3:uid="{EFCD44BF-2091-4038-AFCE-5940B857EF46}" name="Column2450"/>
    <tableColumn id="2470" xr3:uid="{833DB334-5BC2-48A0-9A25-775D80FAE55D}" name="Column2451"/>
    <tableColumn id="2471" xr3:uid="{E48C0E19-CE8F-4D4D-BB71-09285CDC1967}" name="Column2452"/>
    <tableColumn id="2472" xr3:uid="{46E77ADD-F1DF-4FFB-A983-45099CB5EAE3}" name="Column2453"/>
    <tableColumn id="2473" xr3:uid="{2F6CE63B-3B3E-4570-8380-C936642B03FB}" name="Column2454"/>
    <tableColumn id="2474" xr3:uid="{2A713FD4-8707-4A45-A1CB-0BFFA966C43D}" name="Column2455"/>
    <tableColumn id="2475" xr3:uid="{31BC458C-42F6-4ADD-AD54-BB365CC6EBC0}" name="Column2456"/>
    <tableColumn id="2476" xr3:uid="{48456074-947A-4480-B330-E965620C9011}" name="Column2457"/>
    <tableColumn id="2477" xr3:uid="{A4EF345E-0B8F-4F9B-AB9A-E4BF6022FB15}" name="Column2458"/>
    <tableColumn id="2478" xr3:uid="{B06BE12F-3974-432F-838C-9E63C460089C}" name="Column2459"/>
    <tableColumn id="2479" xr3:uid="{682576AF-2810-489C-A628-D0938A26A25C}" name="Column2460"/>
    <tableColumn id="2480" xr3:uid="{CE2E4384-FCBB-4D78-AB11-E7A02A0552CB}" name="Column2461"/>
    <tableColumn id="2481" xr3:uid="{FDECE49F-245D-4F3A-BBEC-9D7A770D04A2}" name="Column2462"/>
    <tableColumn id="2482" xr3:uid="{803AC13C-723C-454D-B855-7B12E46D75DE}" name="Column2463"/>
    <tableColumn id="2483" xr3:uid="{F1671671-7021-43AF-B884-B68DC110CE86}" name="Column2464"/>
    <tableColumn id="2484" xr3:uid="{0BC8F5F7-D2E5-4AC6-8F04-2B26124E4B0B}" name="Column2465"/>
    <tableColumn id="2485" xr3:uid="{BA031DED-7BD7-4F7D-8C16-C821CBFD0A4C}" name="Column2466"/>
    <tableColumn id="2486" xr3:uid="{3CB3CC7A-3F35-42AA-94C3-EA1E0C798C10}" name="Column2467"/>
    <tableColumn id="2487" xr3:uid="{45C5ACA3-CB0C-42E2-A340-98BB208FEF97}" name="Column2468"/>
    <tableColumn id="2488" xr3:uid="{76492CB3-3F51-4EBF-891E-80BD394F2C1A}" name="Column2469"/>
    <tableColumn id="2489" xr3:uid="{61E0B5E0-33AA-4116-B25D-06E8DD743A09}" name="Column2470"/>
    <tableColumn id="2490" xr3:uid="{318F509B-263D-4CDC-80D5-29269CA858FB}" name="Column2471"/>
    <tableColumn id="2491" xr3:uid="{09E66DC9-E60F-4170-A883-614D97CF1F55}" name="Column2472"/>
    <tableColumn id="2492" xr3:uid="{9B943EF4-2FAC-4BC6-90AF-873DEF3982A7}" name="Column2473"/>
    <tableColumn id="2493" xr3:uid="{530927F0-45B9-435C-86B4-5DFF98687983}" name="Column2474"/>
    <tableColumn id="2494" xr3:uid="{00AB35DA-4EAE-402D-A689-14D363FC8D1F}" name="Column2475"/>
    <tableColumn id="2495" xr3:uid="{E5D4872E-DD7A-45B4-9B1B-E43ACE2DEE2F}" name="Column2476"/>
    <tableColumn id="2496" xr3:uid="{5D13A8B4-A90A-446A-8D45-AEC1C10B51D7}" name="Column2477"/>
    <tableColumn id="2497" xr3:uid="{C7670B66-5CD0-41F4-B260-DAA27E87A5B3}" name="Column2478"/>
    <tableColumn id="2498" xr3:uid="{1FB58706-5E78-47FD-8422-2334886240A0}" name="Column2479"/>
    <tableColumn id="2499" xr3:uid="{520A8C4E-A5D6-4013-B489-844B3F363435}" name="Column2480"/>
    <tableColumn id="2500" xr3:uid="{586B11D2-4ADE-412E-9D38-9A2642EC137E}" name="Column2481"/>
    <tableColumn id="2501" xr3:uid="{C6D302D8-E78F-4343-9001-7EB7F61AE2AC}" name="Column2482"/>
    <tableColumn id="2502" xr3:uid="{D73F6E54-68B4-4224-9A52-6052C21F545F}" name="Column2483"/>
    <tableColumn id="2503" xr3:uid="{49F8A98A-7160-4784-950F-9BE55E21DEED}" name="Column2484"/>
    <tableColumn id="2504" xr3:uid="{6CA05B6B-5E13-474C-B74A-CCBA8A29ABC9}" name="Column2485"/>
    <tableColumn id="2505" xr3:uid="{314A16E0-0DA2-40C7-803E-A683A7B5BB7B}" name="Column2486"/>
    <tableColumn id="2506" xr3:uid="{651B0CBF-CF3C-450C-BDA0-5B510286BE5F}" name="Column2487"/>
    <tableColumn id="2507" xr3:uid="{B1D30AD0-9BF9-4FF5-8C25-7A5D56D739C2}" name="Column2488"/>
    <tableColumn id="2508" xr3:uid="{1FDF1F71-CACB-4BF8-B488-C817DB6D71F8}" name="Column2489"/>
    <tableColumn id="2509" xr3:uid="{C7CFCD82-59CF-4430-BFBE-8761CBE754C3}" name="Column2490"/>
    <tableColumn id="2510" xr3:uid="{E7596F7C-131B-4496-9B6F-B56369F3B343}" name="Column2491"/>
    <tableColumn id="2511" xr3:uid="{401475EB-3B3F-4A8B-83DE-EF7F3D4566B9}" name="Column2492"/>
    <tableColumn id="2512" xr3:uid="{010141BE-4625-429F-BB53-FC6CF50C8947}" name="Column2493"/>
    <tableColumn id="2513" xr3:uid="{1D39A7A3-B511-41AF-85AA-1AE8E882C2D9}" name="Column2494"/>
    <tableColumn id="2514" xr3:uid="{5C05FBB5-CFB3-4E0D-AD0A-4A8C95715241}" name="Column2495"/>
    <tableColumn id="2515" xr3:uid="{67362464-228C-4E90-8717-262CBF601A44}" name="Column2496"/>
    <tableColumn id="2516" xr3:uid="{ECC3C404-6C63-4C62-A846-A7BA6977CE40}" name="Column2497"/>
    <tableColumn id="2517" xr3:uid="{66E3498A-CA9D-40A9-8258-1BA25BFDB214}" name="Column2498"/>
    <tableColumn id="2518" xr3:uid="{89612197-ADD8-4EFE-A218-2ECF2B899AE5}" name="Column2499"/>
    <tableColumn id="2519" xr3:uid="{3C571BF3-49E5-47CE-8A04-C64AFBEDD000}" name="Column2500"/>
    <tableColumn id="2520" xr3:uid="{67DE5380-F77C-44EF-BB7F-B050F5575F80}" name="Column2501"/>
    <tableColumn id="2521" xr3:uid="{D3706DCC-95B3-4D4D-873A-51DD8862DAE6}" name="Column2502"/>
    <tableColumn id="2522" xr3:uid="{C4055A9A-0AD2-4E67-BE78-2C2A463FD081}" name="Column2503"/>
    <tableColumn id="2523" xr3:uid="{DBE427C2-ADD4-4477-8952-396CF8DF99F0}" name="Column2504"/>
    <tableColumn id="2524" xr3:uid="{8C91AC9A-A908-4C4C-A145-8964B1720D3A}" name="Column2505"/>
    <tableColumn id="2525" xr3:uid="{859C5099-CE62-42C2-8DAE-5DB21B1F314A}" name="Column2506"/>
    <tableColumn id="2526" xr3:uid="{51D40167-0E64-4765-9C4D-DC5B7F51ADFC}" name="Column2507"/>
    <tableColumn id="2527" xr3:uid="{14095DE9-F778-4CF7-81D5-C51E0C087CF3}" name="Column2508"/>
    <tableColumn id="2528" xr3:uid="{92F68EA6-2810-4790-A723-62A3AC008DCD}" name="Column2509"/>
    <tableColumn id="2529" xr3:uid="{8862B958-497E-4C57-876C-81CD84299316}" name="Column2510"/>
    <tableColumn id="2530" xr3:uid="{7E3EE02F-E10F-4663-81E1-1CEC29237A96}" name="Column2511"/>
    <tableColumn id="2531" xr3:uid="{D2BB5CB1-F94C-4E20-A477-FB711E307E02}" name="Column2512"/>
    <tableColumn id="2532" xr3:uid="{A5DE3C6F-E6B1-410A-88A5-7B2751AEC9E4}" name="Column2513"/>
    <tableColumn id="2533" xr3:uid="{46B8BE4C-0AC6-4FDE-B065-16DC16726E62}" name="Column2514"/>
    <tableColumn id="2534" xr3:uid="{9AAFA2BD-A7CC-49B0-B4C0-0D22E2438893}" name="Column2515"/>
    <tableColumn id="2535" xr3:uid="{5640D23E-E36B-4980-B894-BFA49A806B72}" name="Column2516"/>
    <tableColumn id="2536" xr3:uid="{449AA0C9-6374-4AE9-AC20-D9A7A3F70C47}" name="Column2517"/>
    <tableColumn id="2537" xr3:uid="{CF219787-EF36-42B9-BA84-9BA59811EE46}" name="Column2518"/>
    <tableColumn id="2538" xr3:uid="{0A2F4D7D-753A-426D-BAA1-73CB49B224E8}" name="Column2519"/>
    <tableColumn id="2539" xr3:uid="{8C0A2CB7-09D3-4B7E-9120-42322897BA17}" name="Column2520"/>
    <tableColumn id="2540" xr3:uid="{009F6F3D-B787-48A1-AA28-A22D32B51DA4}" name="Column2521"/>
    <tableColumn id="2541" xr3:uid="{8F01E695-C641-4BC0-BF29-E069A4A97949}" name="Column2522"/>
    <tableColumn id="2542" xr3:uid="{22C4E7DA-A34E-4F8E-9C9B-371511E2E820}" name="Column2523"/>
    <tableColumn id="2543" xr3:uid="{EA88A0BF-9A0D-4DFF-A00A-826BB32FF5FA}" name="Column2524"/>
    <tableColumn id="2544" xr3:uid="{E4869AAB-D936-48A7-A153-C5CEA3FF2627}" name="Column2525"/>
    <tableColumn id="2545" xr3:uid="{1CD1B651-BCAA-4EBB-8361-F18A22ADB4CA}" name="Column2526"/>
    <tableColumn id="2546" xr3:uid="{3AC4D506-7884-4E61-9B72-03DD6EB167EB}" name="Column2527"/>
    <tableColumn id="2547" xr3:uid="{E4BBEFAD-7ED2-435B-A896-376FBCE12F28}" name="Column2528"/>
    <tableColumn id="2548" xr3:uid="{D71528C6-3A63-4CBB-A997-40760E738C54}" name="Column2529"/>
    <tableColumn id="2549" xr3:uid="{019C917A-F5B9-49EC-A369-E7C4CEE1CF63}" name="Column2530"/>
    <tableColumn id="2550" xr3:uid="{3E07C4E3-8453-4328-8E3D-BB48C3209B78}" name="Column2531"/>
    <tableColumn id="2551" xr3:uid="{090854AB-B2F4-410F-8EBF-A951C1601466}" name="Column2532"/>
    <tableColumn id="2552" xr3:uid="{11DADBE0-0BCC-4DBD-BF59-1F37A7AF744F}" name="Column2533"/>
    <tableColumn id="2553" xr3:uid="{93AB3664-ECF6-4B1D-B883-E2C1DF432A0C}" name="Column2534"/>
    <tableColumn id="2554" xr3:uid="{313859CC-4C22-4AE9-A580-2C2FE008D77A}" name="Column2535"/>
    <tableColumn id="2555" xr3:uid="{8296A1AC-9590-4211-A4FB-94BA23F463CE}" name="Column2536"/>
    <tableColumn id="2556" xr3:uid="{CC725FB3-AFCD-4094-A57D-E4CC4E75CD6D}" name="Column2537"/>
    <tableColumn id="2557" xr3:uid="{D5713BA6-C0CF-4359-ADB5-CEA70D475228}" name="Column2538"/>
    <tableColumn id="2558" xr3:uid="{10C13A1A-C24B-4346-BE62-5BE945212BFD}" name="Column2539"/>
    <tableColumn id="2559" xr3:uid="{19B30390-3833-425C-9D40-CAD048A5B053}" name="Column2540"/>
    <tableColumn id="2560" xr3:uid="{CC80F2AE-807B-425B-8FB0-1FABFAD355B9}" name="Column2541"/>
    <tableColumn id="2561" xr3:uid="{1EE36682-304C-420F-8D2C-54961210ECFF}" name="Column2542"/>
    <tableColumn id="2562" xr3:uid="{8EE7DB81-AE71-49A3-820E-9A1C8FF63904}" name="Column2543"/>
    <tableColumn id="2563" xr3:uid="{62A5FF39-179F-478D-8451-FF15E224BC07}" name="Column2544"/>
    <tableColumn id="2564" xr3:uid="{E917CFDF-2C81-4E2F-8308-A3BE93413D87}" name="Column2545"/>
    <tableColumn id="2565" xr3:uid="{5A850695-F1A8-4EDC-8222-2A6CF61C54B5}" name="Column2546"/>
    <tableColumn id="2566" xr3:uid="{529A55D3-BF56-44C7-B50F-DC177984B9FE}" name="Column2547"/>
    <tableColumn id="2567" xr3:uid="{030A6871-0A00-4284-9B94-6AB7EA6D5EBC}" name="Column2548"/>
    <tableColumn id="2568" xr3:uid="{7309EFA0-D188-48D0-8E15-BAC5DC4213D4}" name="Column2549"/>
    <tableColumn id="2569" xr3:uid="{40BE40C4-3258-475F-B8DB-230F56CA78BA}" name="Column2550"/>
    <tableColumn id="2570" xr3:uid="{8E49C82F-A9DF-4641-BA7A-AF503787F4E8}" name="Column2551"/>
    <tableColumn id="2571" xr3:uid="{20D6C013-718E-4C52-A336-2F8D47780790}" name="Column2552"/>
    <tableColumn id="2572" xr3:uid="{DBD6F71E-AF52-4047-A2E3-B6CAAB18FAAF}" name="Column2553"/>
    <tableColumn id="2573" xr3:uid="{45B90DA0-6D0B-42AD-9341-17F7B4AA1646}" name="Column2554"/>
    <tableColumn id="2574" xr3:uid="{EC16E5B4-CBB2-493A-9B61-F86C7DAE4FEF}" name="Column2555"/>
    <tableColumn id="2575" xr3:uid="{46F74063-60C2-42C3-9D57-4BBB7CEA7D92}" name="Column2556"/>
    <tableColumn id="2576" xr3:uid="{261F679C-431C-407D-ADD7-A4C51B209453}" name="Column2557"/>
    <tableColumn id="2577" xr3:uid="{080B21D9-5AA4-48A4-88DF-411892479921}" name="Column2558"/>
    <tableColumn id="2578" xr3:uid="{73E32A50-740D-4B3A-A82A-15592B840914}" name="Column2559"/>
    <tableColumn id="2579" xr3:uid="{3C55AB6C-A160-4E92-AD96-7A743F9F7D42}" name="Column2560"/>
    <tableColumn id="2580" xr3:uid="{C691E727-39C4-43F4-8755-E31DA6A80BC7}" name="Column2561"/>
    <tableColumn id="2581" xr3:uid="{2FBD3E30-C113-44C9-BF94-79436948D2B1}" name="Column2562"/>
    <tableColumn id="2582" xr3:uid="{CE67E434-3490-4EC4-ABF9-9C4BD9C036A0}" name="Column2563"/>
    <tableColumn id="2583" xr3:uid="{48A120DB-FA69-4C2A-B823-F1824CF20914}" name="Column2564"/>
    <tableColumn id="2584" xr3:uid="{A64A580A-78BC-4A4E-88E0-2510DEEEC9B8}" name="Column2565"/>
    <tableColumn id="2585" xr3:uid="{E27535A8-6269-4645-823E-38034B157436}" name="Column2566"/>
    <tableColumn id="2586" xr3:uid="{871E7517-666C-4D8B-9CAA-763964F1857D}" name="Column2567"/>
    <tableColumn id="2587" xr3:uid="{65886E3C-F27B-41AD-AD18-4B1A6799004A}" name="Column2568"/>
    <tableColumn id="2588" xr3:uid="{5A7258A7-0954-4924-BB66-2CE6E44F77C2}" name="Column2569"/>
    <tableColumn id="2589" xr3:uid="{900C5D6D-9152-4002-8ECC-1E878799F8A1}" name="Column2570"/>
    <tableColumn id="2590" xr3:uid="{6E5DED5E-81BC-4225-B5AB-AA48FAFE6AA7}" name="Column2571"/>
    <tableColumn id="2591" xr3:uid="{02998DF5-1883-41A0-8128-0889296AD096}" name="Column2572"/>
    <tableColumn id="2592" xr3:uid="{9003BD02-0CFE-409C-B1D2-2EE376E8CB7D}" name="Column2573"/>
    <tableColumn id="2593" xr3:uid="{3581978B-ED48-401E-8993-F635526E7C9F}" name="Column2574"/>
    <tableColumn id="2594" xr3:uid="{90060698-164F-4784-9655-8BAF289485BF}" name="Column2575"/>
    <tableColumn id="2595" xr3:uid="{26683D34-2D10-4D19-AC13-843A3B3AA198}" name="Column2576"/>
    <tableColumn id="2596" xr3:uid="{E036595F-0F6A-4217-9F04-B9CEBA8CA513}" name="Column2577"/>
    <tableColumn id="2597" xr3:uid="{AA18D642-C250-4F50-8FD2-A087A59C72EF}" name="Column2578"/>
    <tableColumn id="2598" xr3:uid="{2D17C001-E509-40ED-8AEA-696AB9DCBD65}" name="Column2579"/>
    <tableColumn id="2599" xr3:uid="{E578B0A7-ACAC-4A6F-9022-4AC21ED2D942}" name="Column2580"/>
    <tableColumn id="2600" xr3:uid="{48FDAA14-9659-4010-B709-DF124CC519E4}" name="Column2581"/>
    <tableColumn id="2601" xr3:uid="{44EBE4BA-D387-4590-8CAC-46F7BC724463}" name="Column2582"/>
    <tableColumn id="2602" xr3:uid="{B80DAFD8-2D02-450C-BB1B-73190D8CDC06}" name="Column2583"/>
    <tableColumn id="2603" xr3:uid="{F0D4A7E2-33D9-4B2C-8BC2-AF8571A0303D}" name="Column2584"/>
    <tableColumn id="2604" xr3:uid="{154BCFE0-22A7-4078-B27A-350DA93B4205}" name="Column2585"/>
    <tableColumn id="2605" xr3:uid="{80B886D0-7A34-4391-85D0-FF0AF57F4D4A}" name="Column2586"/>
    <tableColumn id="2606" xr3:uid="{5CD1AF24-32CA-4EB6-951A-8B8F189674C0}" name="Column2587"/>
    <tableColumn id="2607" xr3:uid="{9899B1F7-6DD7-4FD1-ACB6-616D9CAE40E6}" name="Column2588"/>
    <tableColumn id="2608" xr3:uid="{46AD0717-2148-4118-9C2F-39A1A9D738E7}" name="Column2589"/>
    <tableColumn id="2609" xr3:uid="{F00339A1-21D7-493A-8619-DF57F46EDE3A}" name="Column2590"/>
    <tableColumn id="2610" xr3:uid="{0F4F37E0-A314-417C-B541-5ABD06E97948}" name="Column2591"/>
    <tableColumn id="2611" xr3:uid="{3C3126B4-D2D5-4440-A52A-0BE36E547A48}" name="Column2592"/>
    <tableColumn id="2612" xr3:uid="{DC3EAAF7-F9A4-4DD5-8C94-DB13DC8F3C4B}" name="Column2593"/>
    <tableColumn id="2613" xr3:uid="{86284234-7074-49A7-B3FF-CB729C4B96D4}" name="Column2594"/>
    <tableColumn id="2614" xr3:uid="{99C0E1CC-8C0A-4D9E-94C6-F199FDB5387D}" name="Column2595"/>
    <tableColumn id="2615" xr3:uid="{A45C26A9-A9C2-485A-AC12-37516C527C10}" name="Column2596"/>
    <tableColumn id="2616" xr3:uid="{49931376-1B43-47CC-8FE3-19E1EC11FC28}" name="Column2597"/>
    <tableColumn id="2617" xr3:uid="{B8E639DF-E369-4802-A117-604EE7946B05}" name="Column2598"/>
    <tableColumn id="2618" xr3:uid="{B749C332-DC55-4737-9E65-3CE099FB0510}" name="Column2599"/>
    <tableColumn id="2619" xr3:uid="{24251C4E-8163-495D-AA9A-28749E0E157C}" name="Column2600"/>
    <tableColumn id="2620" xr3:uid="{68EA8C75-8B8D-4DE8-A139-29A9320531C1}" name="Column2601"/>
    <tableColumn id="2621" xr3:uid="{3E1D3239-E9A7-4D11-9B43-2156B890C2E9}" name="Column2602"/>
    <tableColumn id="2622" xr3:uid="{CC3058FE-A501-4BAD-AF82-8069F45CDB9C}" name="Column2603"/>
    <tableColumn id="2623" xr3:uid="{250CBACC-B604-445D-A345-9A576892CCB9}" name="Column2604"/>
    <tableColumn id="2624" xr3:uid="{5E2664FB-7457-4117-95E8-86624EA939D3}" name="Column2605"/>
    <tableColumn id="2625" xr3:uid="{3364C840-30C5-49A2-9C69-B8936961BF04}" name="Column2606"/>
    <tableColumn id="2626" xr3:uid="{0BA9A914-1FEC-4CE9-8993-D3C2572B754D}" name="Column2607"/>
    <tableColumn id="2627" xr3:uid="{75414270-6C9D-4721-AD01-EC1419D386B1}" name="Column2608"/>
    <tableColumn id="2628" xr3:uid="{B36E39B2-2CBC-4DEF-AA2D-1461AEBA1220}" name="Column2609"/>
    <tableColumn id="2629" xr3:uid="{00D89F7B-149D-4DC6-903F-20DBD778701B}" name="Column2610"/>
    <tableColumn id="2630" xr3:uid="{15B493EC-1EDC-4A4D-8590-DB8D23ABD413}" name="Column2611"/>
    <tableColumn id="2631" xr3:uid="{D491DDBF-69F0-45C9-8F3E-F4808B361615}" name="Column2612"/>
    <tableColumn id="2632" xr3:uid="{ED4BC97B-D5F4-47F1-95B1-6BC124CA6B10}" name="Column2613"/>
    <tableColumn id="2633" xr3:uid="{D44B4CD3-5ACA-4162-9F48-5998DB6D24B5}" name="Column2614"/>
    <tableColumn id="2634" xr3:uid="{4B7F50A8-C633-4E36-91AA-69E6AEEF46B0}" name="Column2615"/>
    <tableColumn id="2635" xr3:uid="{B2CEAB81-9D4F-4248-A6AE-F6E080FA8F05}" name="Column2616"/>
    <tableColumn id="2636" xr3:uid="{479F17C6-CDC1-4B40-BFBA-BEC2BE9F9BE0}" name="Column2617"/>
    <tableColumn id="2637" xr3:uid="{B78D7E3D-3A02-4E76-9097-AA0F635004D9}" name="Column2618"/>
    <tableColumn id="2638" xr3:uid="{85E19F3A-7B82-4485-A8BB-EC86983E6ADE}" name="Column2619"/>
    <tableColumn id="2639" xr3:uid="{0DB77728-1A86-468A-A527-C00FA3259303}" name="Column2620"/>
    <tableColumn id="2640" xr3:uid="{96AEBAA9-2F6D-4CB6-B667-156A9CF832B8}" name="Column2621"/>
    <tableColumn id="2641" xr3:uid="{E248DBDB-C599-4856-9E42-1D20F633A775}" name="Column2622"/>
    <tableColumn id="2642" xr3:uid="{8D970891-81D9-481D-B838-436B9704E9E1}" name="Column2623"/>
    <tableColumn id="2643" xr3:uid="{4AAF52CF-AC3B-447D-A175-0A63FE66EA36}" name="Column2624"/>
    <tableColumn id="2644" xr3:uid="{7F3B7D6D-6A8E-4B8E-BB63-CDB18C6FC63C}" name="Column2625"/>
    <tableColumn id="2645" xr3:uid="{81EA33F5-3E12-450D-B2CE-69ADD98444E7}" name="Column2626"/>
    <tableColumn id="2646" xr3:uid="{9303A040-C8A6-4E86-A808-18D721B95495}" name="Column2627"/>
    <tableColumn id="2647" xr3:uid="{A10F8615-1501-450D-BB40-C53FBEFD947B}" name="Column2628"/>
    <tableColumn id="2648" xr3:uid="{C6E59136-3DD1-4C04-BA7B-08036E2D8534}" name="Column2629"/>
    <tableColumn id="2649" xr3:uid="{7B9702FB-F7BC-4CAC-9455-4D6E3E08FBA2}" name="Column2630"/>
    <tableColumn id="2650" xr3:uid="{139EEAF1-9E3D-456C-9DDB-54196C9252F9}" name="Column2631"/>
    <tableColumn id="2651" xr3:uid="{180120EB-19E0-4DB7-8B34-9204DA706AD9}" name="Column2632"/>
    <tableColumn id="2652" xr3:uid="{44668458-B812-4C1D-84E1-EAEC279FFA0D}" name="Column2633"/>
    <tableColumn id="2653" xr3:uid="{C98725E8-CA38-4D6B-837B-F62BF4A45C14}" name="Column2634"/>
    <tableColumn id="2654" xr3:uid="{258966CC-C613-49CF-AAFB-6B4189588339}" name="Column2635"/>
    <tableColumn id="2655" xr3:uid="{BA1FD5A9-68A0-4579-B0F6-44189A40BAE1}" name="Column2636"/>
    <tableColumn id="2656" xr3:uid="{AD5A0939-8CFF-42F3-9A43-394BB3BA4582}" name="Column2637"/>
    <tableColumn id="2657" xr3:uid="{6904EBC0-3E01-4A9E-8180-5BAF6BB5D287}" name="Column2638"/>
    <tableColumn id="2658" xr3:uid="{060C5B42-B85D-43CE-A9D3-08A6981CF629}" name="Column2639"/>
    <tableColumn id="2659" xr3:uid="{145FE08F-A949-4248-BC35-A498955371DD}" name="Column2640"/>
    <tableColumn id="2660" xr3:uid="{6D7EDB1F-E4FA-4E67-8E08-D3995BDEA10D}" name="Column2641"/>
    <tableColumn id="2661" xr3:uid="{CC4ACBDB-2DCB-44AE-8492-E1838F0C1CE7}" name="Column2642"/>
    <tableColumn id="2662" xr3:uid="{DC5A13B1-082C-4112-B2CF-0DDBA215ACC2}" name="Column2643"/>
    <tableColumn id="2663" xr3:uid="{581E0B0E-17CD-4F2F-BA73-34914F757888}" name="Column2644"/>
    <tableColumn id="2664" xr3:uid="{C94E9B4C-CA82-4CB8-8D1F-7B2336DB6F64}" name="Column2645"/>
    <tableColumn id="2665" xr3:uid="{BBCC20F0-2845-4FF8-9ACE-4260342A8406}" name="Column2646"/>
    <tableColumn id="2666" xr3:uid="{4F1FBA55-1F40-498B-8974-E7F770AAB0CC}" name="Column2647"/>
    <tableColumn id="2667" xr3:uid="{9F58B28F-F202-4C64-8128-8198EBF0CB90}" name="Column2648"/>
    <tableColumn id="2668" xr3:uid="{2E487377-C847-4D85-B73F-428F0F877195}" name="Column2649"/>
    <tableColumn id="2669" xr3:uid="{FDB6E20C-49F4-4CB0-97BB-6611F2591643}" name="Column2650"/>
    <tableColumn id="2670" xr3:uid="{0BBC9629-36A3-4E07-B061-4D9F227A93B4}" name="Column2651"/>
    <tableColumn id="2671" xr3:uid="{57F22316-21C6-4249-BBDE-39CD6201A0B2}" name="Column2652"/>
    <tableColumn id="2672" xr3:uid="{D54EFA5C-8A3F-4DAA-BDA0-C364FB8A0F9F}" name="Column2653"/>
    <tableColumn id="2673" xr3:uid="{61A433E4-AA90-4E5C-977C-659CC2408870}" name="Column2654"/>
    <tableColumn id="2674" xr3:uid="{A7302B2A-AD8A-4FA3-9DD2-6217C3027C55}" name="Column2655"/>
    <tableColumn id="2675" xr3:uid="{AA5F3AFC-7EE8-4051-9BDE-D1B503E9E62B}" name="Column2656"/>
    <tableColumn id="2676" xr3:uid="{720DF03D-301F-46E4-91AC-2F98D6125780}" name="Column2657"/>
    <tableColumn id="2677" xr3:uid="{103A278D-0778-43FB-AE26-DE9518D5C77C}" name="Column2658"/>
    <tableColumn id="2678" xr3:uid="{22B56868-3715-4EC9-AAB7-74FB4E57772F}" name="Column2659"/>
    <tableColumn id="2679" xr3:uid="{0919B63B-EDAC-4A0A-89FE-FD279F302C87}" name="Column2660"/>
    <tableColumn id="2680" xr3:uid="{ACDB15E2-E672-4590-B660-BA4A09D29E35}" name="Column2661"/>
    <tableColumn id="2681" xr3:uid="{DB2BD151-9094-433C-AD52-008FEC7842C6}" name="Column2662"/>
    <tableColumn id="2682" xr3:uid="{B97BB038-EA29-49D4-96CA-FEF16DBC4206}" name="Column2663"/>
    <tableColumn id="2683" xr3:uid="{08DD0F8B-E991-4B86-8BA2-07309400C463}" name="Column2664"/>
    <tableColumn id="2684" xr3:uid="{400B4DD3-23A5-48C6-A745-73AE7ABE5A4F}" name="Column2665"/>
    <tableColumn id="2685" xr3:uid="{A2C9898C-A15A-486D-9DBD-9C2E8C2CC745}" name="Column2666"/>
    <tableColumn id="2686" xr3:uid="{931EB633-D2E9-4E25-BA64-0C4D9194BF19}" name="Column2667"/>
    <tableColumn id="2687" xr3:uid="{91A6C0A8-0796-418D-960C-649E6081DFC5}" name="Column2668"/>
    <tableColumn id="2688" xr3:uid="{EAB75EB7-1B75-4808-A582-181D67BB50E2}" name="Column2669"/>
    <tableColumn id="2689" xr3:uid="{574D8BC3-716F-474F-BBA1-66D19FCD3F2F}" name="Column2670"/>
    <tableColumn id="2690" xr3:uid="{15AEC52A-2F79-47DD-A2FC-268A432A8481}" name="Column2671"/>
    <tableColumn id="2691" xr3:uid="{9CC48E64-7440-41FA-8B77-4CF9ACAB48E4}" name="Column2672"/>
    <tableColumn id="2692" xr3:uid="{4BB51625-68ED-45EB-893E-7DFACEA32135}" name="Column2673"/>
    <tableColumn id="2693" xr3:uid="{DC122E38-B050-4D0E-989E-722672E33B08}" name="Column2674"/>
    <tableColumn id="2694" xr3:uid="{07C889F0-DF44-4A7B-B9B4-C4ED1F1A5CE6}" name="Column2675"/>
    <tableColumn id="2695" xr3:uid="{13C0FB93-7B8D-454E-9C29-E699C15DAE15}" name="Column2676"/>
    <tableColumn id="2696" xr3:uid="{2E2B9CD8-50B4-4D24-9B9A-A9EDEA7D9763}" name="Column2677"/>
    <tableColumn id="2697" xr3:uid="{5E1DD542-8CC9-42FF-B977-441089E42FB4}" name="Column2678"/>
    <tableColumn id="2698" xr3:uid="{410CADBB-F843-498D-805F-B467CEA18192}" name="Column2679"/>
    <tableColumn id="2699" xr3:uid="{44969947-540A-4445-89D3-0A47F6B33930}" name="Column2680"/>
    <tableColumn id="2700" xr3:uid="{9D456C04-BA7F-4552-B402-0046E0390FA4}" name="Column2681"/>
    <tableColumn id="2701" xr3:uid="{6467FC12-603F-4F5E-A96D-2F0D30997325}" name="Column2682"/>
    <tableColumn id="2702" xr3:uid="{B04571B9-078E-474A-8C71-EE0C1906F569}" name="Column2683"/>
    <tableColumn id="2703" xr3:uid="{1D74EFF8-0291-4E6A-AE93-0F4FAA20C664}" name="Column2684"/>
    <tableColumn id="2704" xr3:uid="{6DE96F12-7332-498A-B3B5-80B39D0E4163}" name="Column2685"/>
    <tableColumn id="2705" xr3:uid="{DE5AC21C-A377-4753-8FA9-73658F9E168D}" name="Column2686"/>
    <tableColumn id="2706" xr3:uid="{1070F221-0397-41D1-9E02-608FDB1925C1}" name="Column2687"/>
    <tableColumn id="2707" xr3:uid="{56F3CD4E-73B9-4B76-92D3-36E439D85494}" name="Column2688"/>
    <tableColumn id="2708" xr3:uid="{03E0708F-9000-4AB7-847E-55B12626ACB7}" name="Column2689"/>
    <tableColumn id="2709" xr3:uid="{2FDB9B55-DCF1-4B8A-9C7F-6F7DF583C807}" name="Column2690"/>
    <tableColumn id="2710" xr3:uid="{EB38006E-B17F-4018-8B8D-39DC3073480B}" name="Column2691"/>
    <tableColumn id="2711" xr3:uid="{67AF9633-39C3-4639-8B13-2C84570BB122}" name="Column2692"/>
    <tableColumn id="2712" xr3:uid="{CAB7C4AA-01D8-40AD-8AFC-687138991711}" name="Column2693"/>
    <tableColumn id="2713" xr3:uid="{A588FF53-FE60-4A5B-ACD4-FEE471E2BAD7}" name="Column2694"/>
    <tableColumn id="2714" xr3:uid="{7CAC4CED-F812-4AB8-B598-6D35084A755B}" name="Column2695"/>
    <tableColumn id="2715" xr3:uid="{148CE992-769F-4FE0-A400-C09768643836}" name="Column2696"/>
    <tableColumn id="2716" xr3:uid="{F16409C7-6490-4AC1-A946-52D70B3607FD}" name="Column2697"/>
    <tableColumn id="2717" xr3:uid="{9DB322A4-0BAE-49E6-AED6-D3E8F1DD666C}" name="Column2698"/>
    <tableColumn id="2718" xr3:uid="{42192D53-43CA-4A8A-93B9-D9A82421E8AB}" name="Column2699"/>
    <tableColumn id="2719" xr3:uid="{3C3BD2F8-CF9B-4B3C-AD71-6726171401C2}" name="Column2700"/>
    <tableColumn id="2720" xr3:uid="{1C2A5FBF-BE70-4B27-98A0-BF1E8C656F94}" name="Column2701"/>
    <tableColumn id="2721" xr3:uid="{DC66D05F-C171-4793-9B6F-CF166CD2B568}" name="Column2702"/>
    <tableColumn id="2722" xr3:uid="{2935140D-9411-4A5D-8DCA-F4B0667B6866}" name="Column2703"/>
    <tableColumn id="2723" xr3:uid="{61B7D1A9-1DCC-43EB-AA4E-6406BC82AC48}" name="Column2704"/>
    <tableColumn id="2724" xr3:uid="{5A2D22B8-9A68-4E55-9B02-B6CA25E04B52}" name="Column2705"/>
    <tableColumn id="2725" xr3:uid="{83C13681-CEBF-4662-B3DD-CB670F75F4BB}" name="Column2706"/>
    <tableColumn id="2726" xr3:uid="{7E8B9433-D450-47B9-BEEE-F747BEEC2476}" name="Column2707"/>
    <tableColumn id="2727" xr3:uid="{BA41E651-91DD-4ED9-B718-AAAFB6F0E610}" name="Column2708"/>
    <tableColumn id="2728" xr3:uid="{0870EF59-752C-45AC-8A4B-02624FF7DB5F}" name="Column2709"/>
    <tableColumn id="2729" xr3:uid="{FF5D501C-2C56-4440-A279-91C27967C7D4}" name="Column2710"/>
    <tableColumn id="2730" xr3:uid="{234691A6-039C-4C62-B723-94BB40690E14}" name="Column2711"/>
    <tableColumn id="2731" xr3:uid="{B450C2A6-66D1-49A5-9405-141B4652AE4D}" name="Column2712"/>
    <tableColumn id="2732" xr3:uid="{C0047A61-EAAC-47B5-801B-F7174B461D95}" name="Column2713"/>
    <tableColumn id="2733" xr3:uid="{6E76012A-52E6-477F-A2B5-1A23825366B3}" name="Column2714"/>
    <tableColumn id="2734" xr3:uid="{0B66AE0D-E19E-4A7F-98F5-D5E8017F76F4}" name="Column2715"/>
    <tableColumn id="2735" xr3:uid="{27D93298-12BB-4EE6-95CA-56FCA6533A16}" name="Column2716"/>
    <tableColumn id="2736" xr3:uid="{9E377E85-50CE-4A62-8D28-C88DE6F0B548}" name="Column2717"/>
    <tableColumn id="2737" xr3:uid="{B79E38DD-422D-4198-AEDA-D4054750DC43}" name="Column2718"/>
    <tableColumn id="2738" xr3:uid="{9910560A-B7ED-43DC-A0EC-4D0BA29CA390}" name="Column2719"/>
    <tableColumn id="2739" xr3:uid="{F6F6486D-DFFE-4875-A1C6-140D7F607B18}" name="Column2720"/>
    <tableColumn id="2740" xr3:uid="{CE9C844E-5830-4E71-8FC7-7199847D0B14}" name="Column2721"/>
    <tableColumn id="2741" xr3:uid="{AF15CF79-F72B-445E-86E8-AEA8962194BF}" name="Column2722"/>
    <tableColumn id="2742" xr3:uid="{61D53FCF-EEF6-4016-BB14-3A3014B76470}" name="Column2723"/>
    <tableColumn id="2743" xr3:uid="{A7F646AB-902B-444D-B8FD-71945F29FAC5}" name="Column2724"/>
    <tableColumn id="2744" xr3:uid="{B290200A-531F-4275-A57B-BA17DE393A5B}" name="Column2725"/>
    <tableColumn id="2745" xr3:uid="{0A9DDCD7-9379-4052-A1D6-31C7D2ED2FE8}" name="Column2726"/>
    <tableColumn id="2746" xr3:uid="{DBF1C330-E606-4B97-A512-53C6C9E34797}" name="Column2727"/>
    <tableColumn id="2747" xr3:uid="{FCAFCFA5-2355-4B93-A93D-E7FE202A3661}" name="Column2728"/>
    <tableColumn id="2748" xr3:uid="{936CA1CF-24BE-4614-A473-C9F81C01116A}" name="Column2729"/>
    <tableColumn id="2749" xr3:uid="{111C746B-6B78-4CF3-9BCE-0092025E2070}" name="Column2730"/>
    <tableColumn id="2750" xr3:uid="{66201D2C-F2E9-4F41-85FD-30D9DEE954E1}" name="Column2731"/>
    <tableColumn id="2751" xr3:uid="{85D5BC9E-0EBE-43A0-BB10-A5F65F76EFD6}" name="Column2732"/>
    <tableColumn id="2752" xr3:uid="{32BF0F30-4145-4CD7-A883-E551A919CFCC}" name="Column2733"/>
    <tableColumn id="2753" xr3:uid="{15698B31-C9CE-44E5-9D71-1B368E644E7A}" name="Column2734"/>
    <tableColumn id="2754" xr3:uid="{2B7E399B-0646-47E4-BF76-72DC23A5E27B}" name="Column2735"/>
    <tableColumn id="2755" xr3:uid="{A26EEC5D-4E71-4F8D-90CB-57B85653378C}" name="Column2736"/>
    <tableColumn id="2756" xr3:uid="{86730F4E-E952-432F-88D0-70D7B6EBEF3E}" name="Column2737"/>
    <tableColumn id="2757" xr3:uid="{610DB874-B912-4364-BD11-32D471EC686A}" name="Column2738"/>
    <tableColumn id="2758" xr3:uid="{509BBF61-0103-4DD3-B045-16EE5EFB2117}" name="Column2739"/>
    <tableColumn id="2759" xr3:uid="{044FD61A-88EA-42F2-A9F4-2BAD1249D723}" name="Column2740"/>
    <tableColumn id="2760" xr3:uid="{089C6E95-745F-4617-B214-94B275D06A98}" name="Column2741"/>
    <tableColumn id="2761" xr3:uid="{E4A40E5E-C3F8-4C6E-974A-573676D3D875}" name="Column2742"/>
    <tableColumn id="2762" xr3:uid="{645358FE-205D-4BED-994B-6D517C2BE6B5}" name="Column2743"/>
    <tableColumn id="2763" xr3:uid="{88DC9143-F389-4552-9288-E5FE0A810FA5}" name="Column2744"/>
    <tableColumn id="2764" xr3:uid="{E740892D-40FC-4C77-A788-0AEBB2050A7A}" name="Column2745"/>
    <tableColumn id="2765" xr3:uid="{ADF47721-65B8-49E1-B09D-B0F918AA50BF}" name="Column2746"/>
    <tableColumn id="2766" xr3:uid="{6C3052F7-EF43-4328-9D95-81C0F7CEA51E}" name="Column2747"/>
    <tableColumn id="2767" xr3:uid="{F76CC531-E0EA-4508-A929-C2D6FA644DD7}" name="Column2748"/>
    <tableColumn id="2768" xr3:uid="{AE533F82-2F71-4787-8423-41B518060A56}" name="Column2749"/>
    <tableColumn id="2769" xr3:uid="{1A4F59C2-2803-4FCB-B6D0-79FF1F7D8738}" name="Column2750"/>
    <tableColumn id="2770" xr3:uid="{AA7F3304-6246-41B1-934C-D05C502F5FC3}" name="Column2751"/>
    <tableColumn id="2771" xr3:uid="{2866E9AD-19B9-495F-B3A7-4C7100DB801C}" name="Column2752"/>
    <tableColumn id="2772" xr3:uid="{76205A15-59E6-4069-9C1D-B76210D89E61}" name="Column2753"/>
    <tableColumn id="2773" xr3:uid="{2A85C13E-4DF2-47BE-AFF7-4F056F15668F}" name="Column2754"/>
    <tableColumn id="2774" xr3:uid="{1F9ED0A8-769E-40F6-9A03-46B903DADA9E}" name="Column2755"/>
    <tableColumn id="2775" xr3:uid="{7147EB8B-65AB-406B-A27A-AC57F760F1B3}" name="Column2756"/>
    <tableColumn id="2776" xr3:uid="{C26C4E67-93A0-4420-82E8-FD4CEED796B7}" name="Column2757"/>
    <tableColumn id="2777" xr3:uid="{4D85DAB9-6678-416C-A054-708C024D6A6D}" name="Column2758"/>
    <tableColumn id="2778" xr3:uid="{82D6AFA5-DDA1-4F44-ACCD-D65A7DF52B56}" name="Column2759"/>
    <tableColumn id="2779" xr3:uid="{38779E23-6E39-41E1-AED9-CB256C74C86E}" name="Column2760"/>
    <tableColumn id="2780" xr3:uid="{BE80FF84-05B7-4021-8752-50E88D9CB7AA}" name="Column2761"/>
    <tableColumn id="2781" xr3:uid="{D6240C75-FC63-4C76-9C7C-1EBE325C27F6}" name="Column2762"/>
    <tableColumn id="2782" xr3:uid="{59BDCB09-8BAB-4EF3-9B23-AB3A58E2451D}" name="Column2763"/>
    <tableColumn id="2783" xr3:uid="{1DBD936B-744D-48CA-B68E-9B9CDBB3BC4A}" name="Column2764"/>
    <tableColumn id="2784" xr3:uid="{D722BBC7-56FF-4746-9AD9-6ABF67458B0A}" name="Column2765"/>
    <tableColumn id="2785" xr3:uid="{19CF23B6-2E67-4CE0-AA19-F1553B4674EF}" name="Column2766"/>
    <tableColumn id="2786" xr3:uid="{DD75D699-36A3-4671-A769-F421DC4B8FAD}" name="Column2767"/>
    <tableColumn id="2787" xr3:uid="{B1B75C0A-891F-49E0-B215-E7C527A01390}" name="Column2768"/>
    <tableColumn id="2788" xr3:uid="{422FB8EA-5338-4D15-9050-45D747AD20FF}" name="Column2769"/>
    <tableColumn id="2789" xr3:uid="{50C68087-E979-4D63-B16E-368E5DFE074A}" name="Column2770"/>
    <tableColumn id="2790" xr3:uid="{EE904E53-793E-48EB-85ED-531C3226B9B4}" name="Column2771"/>
    <tableColumn id="2791" xr3:uid="{F6B201DE-33E9-49DA-AD6B-F1B70156BFB3}" name="Column2772"/>
    <tableColumn id="2792" xr3:uid="{F03D7A74-8C79-4A08-B965-3EEA02D7E2FF}" name="Column2773"/>
    <tableColumn id="2793" xr3:uid="{5D57598B-25FD-445D-A092-A4B98E99120F}" name="Column2774"/>
    <tableColumn id="2794" xr3:uid="{0D6726D8-FF15-4D11-8320-95E125B3E517}" name="Column2775"/>
    <tableColumn id="2795" xr3:uid="{F18FC623-2426-4639-ADE4-332AE5C70CA5}" name="Column2776"/>
    <tableColumn id="2796" xr3:uid="{67AC83C1-8481-483A-87D5-D4C633366DC3}" name="Column2777"/>
    <tableColumn id="2797" xr3:uid="{A9C4EED6-A1D5-4343-BE71-A3C6FC88E7F5}" name="Column2778"/>
    <tableColumn id="2798" xr3:uid="{DB980C5B-6FBE-4121-AE8D-76B43BBFE336}" name="Column2779"/>
    <tableColumn id="2799" xr3:uid="{3C9014A4-75D3-4DA6-8C9D-99117D10EFCE}" name="Column2780"/>
    <tableColumn id="2800" xr3:uid="{5008ABE8-BC0D-4D16-8BAE-DAED01A6F5EC}" name="Column2781"/>
    <tableColumn id="2801" xr3:uid="{108CF492-0E9E-43E3-B521-5995B5603419}" name="Column2782"/>
    <tableColumn id="2802" xr3:uid="{F61C226F-CF91-46AE-AA1D-75519AD9218E}" name="Column2783"/>
    <tableColumn id="2803" xr3:uid="{9AAF8AB3-6309-49DA-87E3-F2E7354F99E2}" name="Column2784"/>
    <tableColumn id="2804" xr3:uid="{7D8AB668-FE4B-40FA-BC83-3D19A518EA9D}" name="Column2785"/>
    <tableColumn id="2805" xr3:uid="{D57EC7EA-D7F9-440B-BF71-10CC7E8E9674}" name="Column2786"/>
    <tableColumn id="2806" xr3:uid="{14FEA88A-B02E-444A-A7D6-52C91502194B}" name="Column2787"/>
    <tableColumn id="2807" xr3:uid="{36C76E61-FDAF-46BA-964B-0A9B4FD1646F}" name="Column2788"/>
    <tableColumn id="2808" xr3:uid="{09106B46-AE25-421A-BCF2-0FD89BBC4250}" name="Column2789"/>
    <tableColumn id="2809" xr3:uid="{8B1463B7-6A0D-4BFE-BE36-2B45D248B01B}" name="Column2790"/>
    <tableColumn id="2810" xr3:uid="{EB63011D-141E-448E-B1CD-B69E13269B14}" name="Column2791"/>
    <tableColumn id="2811" xr3:uid="{F1AA5384-0228-4B59-89BB-4ED719FFBDC3}" name="Column2792"/>
    <tableColumn id="2812" xr3:uid="{05D9C6D6-7599-41AF-9A3E-E7D15472EB99}" name="Column2793"/>
    <tableColumn id="2813" xr3:uid="{B535D9AA-A27B-4FF9-97A5-2C8A045C89E2}" name="Column2794"/>
    <tableColumn id="2814" xr3:uid="{57A02405-CE76-415A-9703-B970841522CC}" name="Column2795"/>
    <tableColumn id="2815" xr3:uid="{6A6D6690-86FB-4DBD-AE46-264F444B7707}" name="Column2796"/>
    <tableColumn id="2816" xr3:uid="{189A867D-2732-4367-8BEC-8A71596062A8}" name="Column2797"/>
    <tableColumn id="2817" xr3:uid="{B0B60C3B-B2CE-4210-8AC3-CD3BDA3F0AB2}" name="Column2798"/>
    <tableColumn id="2818" xr3:uid="{D9A37BEE-C2CE-4593-BB07-D4D6E97BE3D2}" name="Column2799"/>
    <tableColumn id="2819" xr3:uid="{1E01DD19-4268-4D7D-A025-E81B7D90EB54}" name="Column2800"/>
    <tableColumn id="2820" xr3:uid="{160010FE-89A1-4AAB-837B-82806C7B26EE}" name="Column2801"/>
    <tableColumn id="2821" xr3:uid="{6730A607-0F51-4F11-AFD3-868E03659399}" name="Column2802"/>
    <tableColumn id="2822" xr3:uid="{0BC5AA78-77F2-4D72-BA61-478BAE6C4243}" name="Column2803"/>
    <tableColumn id="2823" xr3:uid="{EB101DCA-599B-439E-9458-60ECDC1BD296}" name="Column2804"/>
    <tableColumn id="2824" xr3:uid="{287F43FE-C6EE-4E74-839F-16E1AAD4D2CC}" name="Column2805"/>
    <tableColumn id="2825" xr3:uid="{C65BD8E6-2836-4D81-8067-CC016F4BE663}" name="Column2806"/>
    <tableColumn id="2826" xr3:uid="{6B849376-2C8D-43C8-9966-45FA3F8C809A}" name="Column2807"/>
    <tableColumn id="2827" xr3:uid="{9DFE016F-A40F-4057-90D8-58573684C882}" name="Column2808"/>
    <tableColumn id="2828" xr3:uid="{F7278E5E-1422-4F64-8C8D-B4B42C9BA3BA}" name="Column2809"/>
    <tableColumn id="2829" xr3:uid="{C8B4CA7E-FD7B-406F-9E53-A8C6773E1490}" name="Column2810"/>
    <tableColumn id="2830" xr3:uid="{47D83B2E-94F3-45F7-A903-9F81F62F7971}" name="Column2811"/>
    <tableColumn id="2831" xr3:uid="{2DD6C7D4-90C0-4BB3-96B1-78B8CB685EBC}" name="Column2812"/>
    <tableColumn id="2832" xr3:uid="{93F6E396-A5E2-4288-89AC-DBFB2CE40255}" name="Column2813"/>
    <tableColumn id="2833" xr3:uid="{FAF8E9AB-016E-473C-BCBA-3EB4702EDC4A}" name="Column2814"/>
    <tableColumn id="2834" xr3:uid="{B6413394-4F77-493C-914D-F7D4C701005A}" name="Column2815"/>
    <tableColumn id="2835" xr3:uid="{C6E73898-B292-4F73-8A83-4A87B32B8AF1}" name="Column2816"/>
    <tableColumn id="2836" xr3:uid="{7805FFB9-4D1D-44D8-B4C8-B0325F36CCCB}" name="Column2817"/>
    <tableColumn id="2837" xr3:uid="{A4BFA7B1-AF5D-46E3-9A90-FC35F5E60E71}" name="Column2818"/>
    <tableColumn id="2838" xr3:uid="{4BD72840-4525-4468-95BE-BFB5CB0DFAA8}" name="Column2819"/>
    <tableColumn id="2839" xr3:uid="{5A1E2D95-F452-4EFA-B3EC-07333573038C}" name="Column2820"/>
    <tableColumn id="2840" xr3:uid="{34E733AC-D118-4F8A-81F9-C42EC8230376}" name="Column2821"/>
    <tableColumn id="2841" xr3:uid="{FC3326DE-5726-4017-BDB3-2CA504633C2F}" name="Column2822"/>
    <tableColumn id="2842" xr3:uid="{1F26622E-6433-469E-B67F-AD01114E2B6B}" name="Column2823"/>
    <tableColumn id="2843" xr3:uid="{CFB817BD-12DD-412A-8A8E-3D5F06581B94}" name="Column2824"/>
    <tableColumn id="2844" xr3:uid="{83C91914-4597-4009-8336-B6781C00E349}" name="Column2825"/>
    <tableColumn id="2845" xr3:uid="{BCE13969-F863-4AD8-8B0D-7A6EA3573A75}" name="Column2826"/>
    <tableColumn id="2846" xr3:uid="{E7D4C20F-57CB-4A12-BBFA-3F69A1AD3E53}" name="Column2827"/>
    <tableColumn id="2847" xr3:uid="{949890A3-6B7A-4B76-8A62-2643FEDCD580}" name="Column2828"/>
    <tableColumn id="2848" xr3:uid="{6FC0E4EC-0048-4229-8D55-FAF3A791F3CA}" name="Column2829"/>
    <tableColumn id="2849" xr3:uid="{860D2201-FA02-40AB-B942-22F676F6084E}" name="Column2830"/>
    <tableColumn id="2850" xr3:uid="{DDA5D4BE-1F88-4AB8-90BE-F8B8E7AAAEFD}" name="Column2831"/>
    <tableColumn id="2851" xr3:uid="{259E4833-E3DA-4353-8664-F9B67667DF7E}" name="Column2832"/>
    <tableColumn id="2852" xr3:uid="{B23FACEC-2025-4972-AD0C-9110891AB44B}" name="Column2833"/>
    <tableColumn id="2853" xr3:uid="{F89BA3A3-DB4B-4BFF-932B-6F276664E51B}" name="Column2834"/>
    <tableColumn id="2854" xr3:uid="{C95FB6C0-85C9-4309-988E-53F5724D2946}" name="Column2835"/>
    <tableColumn id="2855" xr3:uid="{65970455-BF4A-487E-839E-E5B2E5D88909}" name="Column2836"/>
    <tableColumn id="2856" xr3:uid="{7EB10DB3-E36E-44DE-B248-877F9B612CF7}" name="Column2837"/>
    <tableColumn id="2857" xr3:uid="{F83DCE37-ADB1-4AC7-AA31-CC92C8CB16FC}" name="Column2838"/>
    <tableColumn id="2858" xr3:uid="{91496325-7C5B-4C70-9A42-AF55A737D269}" name="Column2839"/>
    <tableColumn id="2859" xr3:uid="{370F397A-5958-4AC9-BC08-095295D2C609}" name="Column2840"/>
    <tableColumn id="2860" xr3:uid="{E3B1DB85-83F8-4EE8-A122-461A86930CF2}" name="Column2841"/>
    <tableColumn id="2861" xr3:uid="{7435C7C9-F696-4EA1-9FB2-EC8DF7175319}" name="Column2842"/>
    <tableColumn id="2862" xr3:uid="{33F609BA-0807-4362-AED6-3E639A87C3B1}" name="Column2843"/>
    <tableColumn id="2863" xr3:uid="{93A273D8-B1E6-4339-A4DD-6C051F15EF9E}" name="Column2844"/>
    <tableColumn id="2864" xr3:uid="{040DC082-F4A4-4094-ACC9-90824F73F573}" name="Column2845"/>
    <tableColumn id="2865" xr3:uid="{3766F7E2-59ED-4045-9A9F-D8D1FC99C879}" name="Column2846"/>
    <tableColumn id="2866" xr3:uid="{4D435068-4A79-4BBA-853A-991002F38C60}" name="Column2847"/>
    <tableColumn id="2867" xr3:uid="{4C117609-08F5-41E0-BC45-F3561DC85942}" name="Column2848"/>
    <tableColumn id="2868" xr3:uid="{D91F82A1-2E33-4B74-86AF-385FA290FDF2}" name="Column2849"/>
    <tableColumn id="2869" xr3:uid="{D1D5CED4-BDF7-43CA-BCF1-E7D27BDD35CC}" name="Column2850"/>
    <tableColumn id="2870" xr3:uid="{FE905566-7ACD-43A5-92E3-9EEEC2F9C00C}" name="Column2851"/>
    <tableColumn id="2871" xr3:uid="{0D755DE5-3232-49B6-99C0-DE882BD2B766}" name="Column2852"/>
    <tableColumn id="2872" xr3:uid="{DA9EE27E-5358-4686-8DB0-3B2FABAAC2EA}" name="Column2853"/>
    <tableColumn id="2873" xr3:uid="{49CECA8B-0A48-4989-A33F-68750CC2F1F9}" name="Column2854"/>
    <tableColumn id="2874" xr3:uid="{335F50DF-6BE0-4CC5-8210-E4CF48054058}" name="Column2855"/>
    <tableColumn id="2875" xr3:uid="{FF33CECD-94B8-41E5-BDF4-20B2ADABAB84}" name="Column2856"/>
    <tableColumn id="2876" xr3:uid="{302B533E-6195-48BF-B4F8-6CE5D4964AC4}" name="Column2857"/>
    <tableColumn id="2877" xr3:uid="{6ED12337-6EFF-4D32-AC95-5D7BB52E1A20}" name="Column2858"/>
    <tableColumn id="2878" xr3:uid="{465220AD-CAE1-4226-B80B-AA05797E310F}" name="Column2859"/>
    <tableColumn id="2879" xr3:uid="{6CC32C15-0B4B-43FF-9290-7ABBAC718FC1}" name="Column2860"/>
    <tableColumn id="2880" xr3:uid="{B8AC8F7A-52AE-4CA5-A862-7B73F5814CC9}" name="Column2861"/>
    <tableColumn id="2881" xr3:uid="{A209B33C-AC33-4267-942B-A8B5609D010F}" name="Column2862"/>
    <tableColumn id="2882" xr3:uid="{64382088-98CF-4D54-AB49-6B3915539908}" name="Column2863"/>
    <tableColumn id="2883" xr3:uid="{C79D60D2-2794-49E6-BED1-D7FD617AAC12}" name="Column2864"/>
    <tableColumn id="2884" xr3:uid="{D797AAA1-DED4-473E-969B-5B55CF933222}" name="Column2865"/>
    <tableColumn id="2885" xr3:uid="{92A6A2F0-9BC8-4F6F-A423-02458845039C}" name="Column2866"/>
    <tableColumn id="2886" xr3:uid="{D0A4E81D-93DD-448F-BABC-E3F18E81357D}" name="Column2867"/>
    <tableColumn id="2887" xr3:uid="{BE18B0A4-60EA-4236-90A2-0223C2D4F759}" name="Column2868"/>
    <tableColumn id="2888" xr3:uid="{1E0B8E38-0CBA-4A37-9731-9BEFD863CCA9}" name="Column2869"/>
    <tableColumn id="2889" xr3:uid="{D536F88C-5139-4C48-84D2-8452B4096329}" name="Column2870"/>
    <tableColumn id="2890" xr3:uid="{8ACD6922-7335-4C04-9693-E8795DB9E880}" name="Column2871"/>
    <tableColumn id="2891" xr3:uid="{C8EECA02-9BF6-4F07-A425-157C460A6A2D}" name="Column2872"/>
    <tableColumn id="2892" xr3:uid="{FD1E4EDD-AD46-4E22-AD25-725024A422ED}" name="Column2873"/>
    <tableColumn id="2893" xr3:uid="{61897E75-6295-483B-9AFB-AB30B28E917C}" name="Column2874"/>
    <tableColumn id="2894" xr3:uid="{CA923968-E5F2-42FF-A995-EF87D8768E6F}" name="Column2875"/>
    <tableColumn id="2895" xr3:uid="{559C16FC-E5E0-459E-8D7E-A96DAD065E04}" name="Column2876"/>
    <tableColumn id="2896" xr3:uid="{5C26BE28-9B3E-4080-BA4A-C409F55DDC98}" name="Column2877"/>
    <tableColumn id="2897" xr3:uid="{A73F847F-C41F-48BE-820F-3C8B8F221652}" name="Column2878"/>
    <tableColumn id="2898" xr3:uid="{2125086F-E80F-44D3-AF7B-4A4B65096BEE}" name="Column2879"/>
    <tableColumn id="2899" xr3:uid="{1EF61405-0518-4C6A-A064-E28D83E2AC35}" name="Column2880"/>
    <tableColumn id="2900" xr3:uid="{CFA46C3D-DA02-4535-9697-4E8DC894AD58}" name="Column2881"/>
    <tableColumn id="2901" xr3:uid="{D9BBC511-9F98-4FFE-AAD4-62F97FB80A22}" name="Column2882"/>
    <tableColumn id="2902" xr3:uid="{6784CA30-5F66-42B8-BC54-AC322D04EB16}" name="Column2883"/>
    <tableColumn id="2903" xr3:uid="{F76734F2-0499-40B9-970D-68302352E5B8}" name="Column2884"/>
    <tableColumn id="2904" xr3:uid="{B68F28C6-FBC5-4BEE-9774-7B13E7756DCA}" name="Column2885"/>
    <tableColumn id="2905" xr3:uid="{D25992A9-8438-40BE-A72F-019B855DB677}" name="Column2886"/>
    <tableColumn id="2906" xr3:uid="{1104A5BA-A7BE-4C04-8BB2-8889D14B90A8}" name="Column2887"/>
    <tableColumn id="2907" xr3:uid="{AC1CB1DE-4D58-4CE7-979E-07F10B777AE8}" name="Column2888"/>
    <tableColumn id="2908" xr3:uid="{1A5E9889-5748-4FAD-AE1C-8B09ADBD67ED}" name="Column2889"/>
    <tableColumn id="2909" xr3:uid="{9F47838D-C9B0-40E8-85E9-6FEB44EF5FEA}" name="Column2890"/>
    <tableColumn id="2910" xr3:uid="{A41A006E-72A2-473F-871B-5D688312161B}" name="Column2891"/>
    <tableColumn id="2911" xr3:uid="{385FFA58-CE21-407A-8C5C-F5D250B9A728}" name="Column2892"/>
    <tableColumn id="2912" xr3:uid="{32DB325A-65B1-4DFF-89FA-3F7307E82DF4}" name="Column2893"/>
    <tableColumn id="2913" xr3:uid="{F0890E5F-2FF8-4225-A42F-837C69FFC376}" name="Column2894"/>
    <tableColumn id="2914" xr3:uid="{CEEC16E5-AEAB-4196-AACA-80000CA66538}" name="Column2895"/>
    <tableColumn id="2915" xr3:uid="{3A98D806-EFFF-4BA1-BF88-BACE02F10B4E}" name="Column2896"/>
    <tableColumn id="2916" xr3:uid="{C99A6500-6409-403E-8C9A-B4457B75E702}" name="Column2897"/>
    <tableColumn id="2917" xr3:uid="{44078A03-BC03-4204-B00F-16CA799A21F5}" name="Column2898"/>
    <tableColumn id="2918" xr3:uid="{75EE6975-14AC-49FA-82C3-075313ED5FDA}" name="Column2899"/>
    <tableColumn id="2919" xr3:uid="{1591FC74-A76C-4FDE-BFC7-D6459306F98B}" name="Column2900"/>
    <tableColumn id="2920" xr3:uid="{E42E7A37-DE89-473D-9BEF-0FCD98BADA72}" name="Column2901"/>
    <tableColumn id="2921" xr3:uid="{47D18ECB-333A-4C58-AB7F-2AFADB433A5F}" name="Column2902"/>
    <tableColumn id="2922" xr3:uid="{D7053C04-094F-4312-AF06-A08202B963C2}" name="Column2903"/>
    <tableColumn id="2923" xr3:uid="{BBB79E9D-2840-4DE2-9201-C36017C35666}" name="Column2904"/>
    <tableColumn id="2924" xr3:uid="{7B94A977-DC8E-44BD-A6D4-763BDC9CDDF8}" name="Column2905"/>
    <tableColumn id="2925" xr3:uid="{2BCC1EB2-72E2-4BDF-8856-5E177AE67C65}" name="Column2906"/>
    <tableColumn id="2926" xr3:uid="{0790F7DB-4268-4282-8BC3-9F074B4D5279}" name="Column2907"/>
    <tableColumn id="2927" xr3:uid="{AEBDB21A-F6F3-47F0-B28D-4158463C7856}" name="Column2908"/>
    <tableColumn id="2928" xr3:uid="{46C074EF-14F4-40BE-9BBC-5FEA3CD15932}" name="Column2909"/>
    <tableColumn id="2929" xr3:uid="{5B79F641-5515-46A2-9113-789C9F12D396}" name="Column2910"/>
    <tableColumn id="2930" xr3:uid="{235D9B84-EF17-4222-B15F-20620752C01A}" name="Column2911"/>
    <tableColumn id="2931" xr3:uid="{F718DF1F-8F81-4205-AF54-E1282F14B576}" name="Column2912"/>
    <tableColumn id="2932" xr3:uid="{0C944C32-A6AC-4F32-8209-3705BCECFA8E}" name="Column2913"/>
    <tableColumn id="2933" xr3:uid="{6D22C87B-0E56-4427-ABAF-62E7E0D0F5C5}" name="Column2914"/>
    <tableColumn id="2934" xr3:uid="{FA5A11B7-2E77-4338-B7BB-BAD77EE6EBCF}" name="Column2915"/>
    <tableColumn id="2935" xr3:uid="{39EC6586-5825-41E1-9CAA-7F18347BD7B5}" name="Column2916"/>
    <tableColumn id="2936" xr3:uid="{92833D5F-9210-4D5E-81F2-741B7B3A38A1}" name="Column2917"/>
    <tableColumn id="2937" xr3:uid="{81E9B574-A912-4705-AF35-33E5047128EF}" name="Column2918"/>
    <tableColumn id="2938" xr3:uid="{589F6221-F402-4855-80C5-45DBA96B47E7}" name="Column2919"/>
    <tableColumn id="2939" xr3:uid="{4F94B736-5A1A-40EA-9481-A8AB4EB23DFF}" name="Column2920"/>
    <tableColumn id="2940" xr3:uid="{99DDDCAB-5C43-452D-8C32-9EEBBE6FA1EA}" name="Column2921"/>
    <tableColumn id="2941" xr3:uid="{788248CE-78C4-448C-8D7F-AF1021289516}" name="Column2922"/>
    <tableColumn id="2942" xr3:uid="{829B3FB6-7D8D-4647-A285-9A1743AB8F25}" name="Column2923"/>
    <tableColumn id="2943" xr3:uid="{74D0CA83-C076-484C-9D9F-6D69EB9DE844}" name="Column2924"/>
    <tableColumn id="2944" xr3:uid="{71745CAF-20AD-4AE1-A2DA-D0D6498C5560}" name="Column2925"/>
    <tableColumn id="2945" xr3:uid="{C21F203A-9AA7-4A29-AC32-435D5950821A}" name="Column2926"/>
    <tableColumn id="2946" xr3:uid="{BE0D9B71-9B05-46C6-9E12-071638DC1D83}" name="Column2927"/>
    <tableColumn id="2947" xr3:uid="{F0C9C832-0871-4BB0-B1AA-DC73DA32D870}" name="Column2928"/>
    <tableColumn id="2948" xr3:uid="{E017A77F-A3F5-48A7-B743-D5947B874A5F}" name="Column2929"/>
    <tableColumn id="2949" xr3:uid="{B4FFBC15-BFF5-471B-96E1-8BA2C4585155}" name="Column2930"/>
    <tableColumn id="2950" xr3:uid="{C34FFB1F-90BE-4DD5-9AD5-50B94FDC8BBC}" name="Column2931"/>
    <tableColumn id="2951" xr3:uid="{F6062702-70AB-46AB-BCE3-DA4954D4A68B}" name="Column2932"/>
    <tableColumn id="2952" xr3:uid="{CA945BE2-4218-472E-87F1-56B35F3216F7}" name="Column2933"/>
    <tableColumn id="2953" xr3:uid="{1F12130E-3976-46EA-95FE-33FA21F3151F}" name="Column2934"/>
    <tableColumn id="2954" xr3:uid="{73A5BDA7-8D32-49F0-8D46-082EBAB353EB}" name="Column2935"/>
    <tableColumn id="2955" xr3:uid="{892877D7-F47E-4A0B-8477-2598D2F05AEB}" name="Column2936"/>
    <tableColumn id="2956" xr3:uid="{0E9C7C2E-D65D-4763-96E4-0E50D5E0746F}" name="Column2937"/>
    <tableColumn id="2957" xr3:uid="{29CFF0F6-0F17-4292-A51E-BE8D8EF7222B}" name="Column2938"/>
    <tableColumn id="2958" xr3:uid="{72C85CD5-40AF-4B68-AFCE-9F97145D2A4A}" name="Column2939"/>
    <tableColumn id="2959" xr3:uid="{69CA31D3-3044-41CD-87E1-438A6868AD0D}" name="Column2940"/>
    <tableColumn id="2960" xr3:uid="{AAA8C5FC-288E-4211-8A88-A7F401DF60BA}" name="Column2941"/>
    <tableColumn id="2961" xr3:uid="{7C15DB66-779A-4AD3-B813-E3D8CBD1DF5A}" name="Column2942"/>
    <tableColumn id="2962" xr3:uid="{99628282-2F95-460C-A4D3-0C724FA4C521}" name="Column2943"/>
    <tableColumn id="2963" xr3:uid="{8CBA005D-B16F-4DCA-BF84-DB2894F43482}" name="Column2944"/>
    <tableColumn id="2964" xr3:uid="{F421D7E6-145B-4AD8-A646-F2EAAB9676B4}" name="Column2945"/>
    <tableColumn id="2965" xr3:uid="{B2E762C9-C28B-48E8-A588-756BC96A16B4}" name="Column2946"/>
    <tableColumn id="2966" xr3:uid="{B47CDF86-F31C-47EA-AF3F-1487EF6033D8}" name="Column2947"/>
    <tableColumn id="2967" xr3:uid="{C5D68895-F7EB-431F-A6CD-E248089DD115}" name="Column2948"/>
    <tableColumn id="2968" xr3:uid="{DF4D0FDB-D79C-44F9-B255-6C4C5CF0A7E0}" name="Column2949"/>
    <tableColumn id="2969" xr3:uid="{13C435B3-2607-4414-9FAB-6D7E576B52DB}" name="Column2950"/>
    <tableColumn id="2970" xr3:uid="{DE0F140F-A7C6-40DA-863F-73E52E81761D}" name="Column2951"/>
    <tableColumn id="2971" xr3:uid="{AE2E1F49-C8EA-4E20-A707-437737941157}" name="Column2952"/>
    <tableColumn id="2972" xr3:uid="{E0CFD6A7-3FAC-45F2-8B08-0734BF94D7B1}" name="Column2953"/>
    <tableColumn id="2973" xr3:uid="{BD68F1D7-D8B0-4829-BCA8-3BF0FD45C246}" name="Column2954"/>
    <tableColumn id="2974" xr3:uid="{F5741639-640A-4C2B-BF13-A25C124B84B5}" name="Column2955"/>
    <tableColumn id="2975" xr3:uid="{82AB0B6C-8A61-4801-AF71-5AFE2A613DFB}" name="Column2956"/>
    <tableColumn id="2976" xr3:uid="{7265DB92-E340-4330-ADAC-F2AEFE803CCF}" name="Column2957"/>
    <tableColumn id="2977" xr3:uid="{B72E910F-B01A-4ECA-B7DE-D5ACFFC1EB18}" name="Column2958"/>
    <tableColumn id="2978" xr3:uid="{73EF186C-64CA-47F8-BBDB-C56A41241C30}" name="Column2959"/>
    <tableColumn id="2979" xr3:uid="{6E8CB345-FF51-468A-A24A-3AF4329D9812}" name="Column2960"/>
    <tableColumn id="2980" xr3:uid="{E6C06623-3A3D-4DFA-86EF-15007F959B0E}" name="Column2961"/>
    <tableColumn id="2981" xr3:uid="{9EBB485D-E4EE-4A7A-A566-BD9E340CC9FE}" name="Column2962"/>
    <tableColumn id="2982" xr3:uid="{CC8A203E-4F84-4CCE-BDB8-2BD02D027C2A}" name="Column2963"/>
    <tableColumn id="2983" xr3:uid="{00F73882-5294-42FF-B1BB-99CC54329564}" name="Column2964"/>
    <tableColumn id="2984" xr3:uid="{88F2CA58-B9FC-4CF5-87BA-5BD103A1E496}" name="Column2965"/>
    <tableColumn id="2985" xr3:uid="{826D905F-B69F-4DA4-B0C5-BBBA33B79F56}" name="Column2966"/>
    <tableColumn id="2986" xr3:uid="{AF30A786-0233-4C64-AE08-2C70D35CCA9C}" name="Column2967"/>
    <tableColumn id="2987" xr3:uid="{C5356136-1A99-49FA-967F-1439F6ADF6DE}" name="Column2968"/>
    <tableColumn id="2988" xr3:uid="{F6FF146B-3993-4A35-B6A5-374A39340888}" name="Column2969"/>
    <tableColumn id="2989" xr3:uid="{8D21CDAD-494C-4B15-B1EA-C0FB5941B0E3}" name="Column2970"/>
    <tableColumn id="2990" xr3:uid="{47B4E09A-34CC-4C26-83ED-4ABBE3DE4989}" name="Column2971"/>
    <tableColumn id="2991" xr3:uid="{B9DB2D85-5B5E-4B39-AD99-F3BEBD3E6A5E}" name="Column2972"/>
    <tableColumn id="2992" xr3:uid="{EE348DFB-1F80-48AD-8F40-95D0A00725F8}" name="Column2973"/>
    <tableColumn id="2993" xr3:uid="{F5BFE210-A1D9-4550-8B0A-72D8E719646B}" name="Column2974"/>
    <tableColumn id="2994" xr3:uid="{2D79FDD8-2674-48BD-B3BC-9C0FF6851BD3}" name="Column2975"/>
    <tableColumn id="2995" xr3:uid="{FCCADC87-22D6-4D4C-BDC2-EC9B080F4007}" name="Column2976"/>
    <tableColumn id="2996" xr3:uid="{99AB59B8-DF77-4FA2-B20A-04968A1E921F}" name="Column2977"/>
    <tableColumn id="2997" xr3:uid="{B83F9AF6-1324-458B-AC04-E619DD7C9A60}" name="Column2978"/>
    <tableColumn id="2998" xr3:uid="{49CBD083-75DB-4F9A-8F27-8C789FA81553}" name="Column2979"/>
    <tableColumn id="2999" xr3:uid="{23EB2772-BFAE-4B64-A44B-E33393EC960A}" name="Column2980"/>
    <tableColumn id="3000" xr3:uid="{81BF3BB9-457D-454B-A4E1-F1295FCD973B}" name="Column2981"/>
    <tableColumn id="3001" xr3:uid="{AA3F47D2-26C7-49EA-B25B-48C20F0B833A}" name="Column2982"/>
    <tableColumn id="3002" xr3:uid="{CE76D070-1FB9-479B-A2F0-5FE0D3FBF06D}" name="Column2983"/>
    <tableColumn id="3003" xr3:uid="{496D2C60-3F18-4303-B417-F62BA06DFCAA}" name="Column2984"/>
    <tableColumn id="3004" xr3:uid="{86401570-988B-43F9-928D-69E758E75F7F}" name="Column2985"/>
    <tableColumn id="3005" xr3:uid="{9E7827D9-1A0D-4B34-98B6-E4D20F39CB01}" name="Column2986"/>
    <tableColumn id="3006" xr3:uid="{2EBF4170-44E8-4FA7-8D01-F0F326AA4105}" name="Column2987"/>
    <tableColumn id="3007" xr3:uid="{7357CB9B-D510-4D51-89F2-1B5DE08778A7}" name="Column2988"/>
    <tableColumn id="3008" xr3:uid="{93458996-E7FF-43CC-A888-0EF96AFA76F1}" name="Column2989"/>
    <tableColumn id="3009" xr3:uid="{612E32A2-4A6D-47CC-9692-B4FCEA0A4BF3}" name="Column2990"/>
    <tableColumn id="3010" xr3:uid="{AC19B429-30A1-4B9D-8149-D7004DC55E38}" name="Column2991"/>
    <tableColumn id="3011" xr3:uid="{0DC1A028-B491-4CC9-8893-976CE4C0508A}" name="Column2992"/>
    <tableColumn id="3012" xr3:uid="{715ABDF2-E66D-4202-97A2-C6EBC9EBFAE1}" name="Column2993"/>
    <tableColumn id="3013" xr3:uid="{EB9DF808-9B8E-4691-92BA-A14CA2EFC2E8}" name="Column2994"/>
    <tableColumn id="3014" xr3:uid="{CBBAD737-C24E-4DBF-BA31-CC035B7B9903}" name="Column2995"/>
    <tableColumn id="3015" xr3:uid="{177E07B0-9480-444C-8A2E-2EDEB53D9D10}" name="Column2996"/>
    <tableColumn id="3016" xr3:uid="{AA87125E-5138-4339-AA85-C0A194EAE366}" name="Column2997"/>
    <tableColumn id="3017" xr3:uid="{2C0FFE74-B56B-46D0-A42B-A8C8A566B336}" name="Column2998"/>
    <tableColumn id="3018" xr3:uid="{DCB8CCBA-C525-4588-AF74-12440A1A4585}" name="Column2999"/>
    <tableColumn id="3019" xr3:uid="{137A854F-B4F5-437B-BF37-44939DDA845A}" name="Column3000"/>
    <tableColumn id="3020" xr3:uid="{8F75CBAF-EBCD-4691-99C0-559490604A82}" name="Column3001"/>
    <tableColumn id="3021" xr3:uid="{3B1D1AB3-8413-4ECC-AA1B-E54C0EFCA61F}" name="Column3002"/>
    <tableColumn id="3022" xr3:uid="{466DA66B-CE55-4C77-A5E7-C3FFDB0AA358}" name="Column3003"/>
    <tableColumn id="3023" xr3:uid="{87256FC3-613F-4361-BFD3-DC1C85F1D5E9}" name="Column3004"/>
    <tableColumn id="3024" xr3:uid="{C0B5C298-111A-473E-98C6-852E7F234E7B}" name="Column3005"/>
    <tableColumn id="3025" xr3:uid="{44EDE749-FF67-47DA-9AE6-7AC623CA1DEB}" name="Column3006"/>
    <tableColumn id="3026" xr3:uid="{EA9A39AD-028A-40F8-8FF1-607A3D8C3CB3}" name="Column3007"/>
    <tableColumn id="3027" xr3:uid="{AE65FF3D-9D5D-48FC-A310-15D38F4371F9}" name="Column3008"/>
    <tableColumn id="3028" xr3:uid="{803FBDA3-0330-440E-8E7D-E88FFAEF4926}" name="Column3009"/>
    <tableColumn id="3029" xr3:uid="{437340E3-7CF8-4539-AD1A-A98311EEC446}" name="Column3010"/>
    <tableColumn id="3030" xr3:uid="{100E6552-2F5F-458D-801F-8CBBB6C7A6A6}" name="Column3011"/>
    <tableColumn id="3031" xr3:uid="{CCD798C2-2733-4414-A644-F19B2C2C276C}" name="Column3012"/>
    <tableColumn id="3032" xr3:uid="{7E1D1594-5F24-4A1E-964F-BFB54B278E8F}" name="Column3013"/>
    <tableColumn id="3033" xr3:uid="{229E8994-3883-4DDF-9DD2-7AA31BB72A7C}" name="Column3014"/>
    <tableColumn id="3034" xr3:uid="{D474CFFE-E79F-4F21-8F99-67443E6D6416}" name="Column3015"/>
    <tableColumn id="3035" xr3:uid="{43DB881A-58E0-4133-9E8D-20BEE576D4B4}" name="Column3016"/>
    <tableColumn id="3036" xr3:uid="{285BD7E6-E417-425A-8379-BB0FE597A430}" name="Column3017"/>
    <tableColumn id="3037" xr3:uid="{9E5F0D1A-3360-45DB-9BD8-5AF265880A32}" name="Column3018"/>
    <tableColumn id="3038" xr3:uid="{F0420A7D-A490-4818-AB15-75D9EEE538FF}" name="Column3019"/>
    <tableColumn id="3039" xr3:uid="{6B1D11BF-131E-44DD-BBBC-1D0D5A95CB08}" name="Column3020"/>
    <tableColumn id="3040" xr3:uid="{6A5C9244-702A-4D3D-99A3-A89862112325}" name="Column3021"/>
    <tableColumn id="3041" xr3:uid="{D3570205-53D8-4445-AAE5-5E721394BC30}" name="Column3022"/>
    <tableColumn id="3042" xr3:uid="{C1984DE7-19A7-42BB-9F30-556BB163D373}" name="Column3023"/>
    <tableColumn id="3043" xr3:uid="{E026188B-1558-4020-AEFA-EF6F5C36EF11}" name="Column3024"/>
    <tableColumn id="3044" xr3:uid="{38F50503-381D-4649-A6C1-9E32247F8242}" name="Column3025"/>
    <tableColumn id="3045" xr3:uid="{8BE8A3D1-0B3D-40C3-854A-7D9B3A6D6A2F}" name="Column3026"/>
    <tableColumn id="3046" xr3:uid="{994BFD0F-CA49-457C-B052-CBAB1FF297B3}" name="Column3027"/>
    <tableColumn id="3047" xr3:uid="{CE672307-9D25-4467-A9B2-5922784AE88D}" name="Column3028"/>
    <tableColumn id="3048" xr3:uid="{D6D870FE-37F4-4AB9-A226-66AE7590C0FB}" name="Column3029"/>
    <tableColumn id="3049" xr3:uid="{8FCC616C-6EE8-4328-8F16-2CB1EE4B0297}" name="Column3030"/>
    <tableColumn id="3050" xr3:uid="{A779F0DD-E1DE-4D05-ACB0-FB6E3C1CBE71}" name="Column3031"/>
    <tableColumn id="3051" xr3:uid="{291A8409-718B-413A-98DF-1344F0CBF56C}" name="Column3032"/>
    <tableColumn id="3052" xr3:uid="{24924FE3-7667-4CC4-8E50-FC2EE3A64B1B}" name="Column3033"/>
    <tableColumn id="3053" xr3:uid="{8FC19EEB-3392-4AF1-A2E4-B8068CC6CE2D}" name="Column3034"/>
    <tableColumn id="3054" xr3:uid="{32DBF706-A821-4981-9EA5-FEAEA5F809AA}" name="Column3035"/>
    <tableColumn id="3055" xr3:uid="{3D45FACC-8DBA-43AF-A378-B0F996E4CC03}" name="Column3036"/>
    <tableColumn id="3056" xr3:uid="{3AA0DA4C-C154-4A73-8DDF-2FAC5FD0C670}" name="Column3037"/>
    <tableColumn id="3057" xr3:uid="{FCB60C06-E500-4CF1-948D-E678438D2845}" name="Column3038"/>
    <tableColumn id="3058" xr3:uid="{16EF9BE9-E1B7-4392-A8FC-D480921280BB}" name="Column3039"/>
    <tableColumn id="3059" xr3:uid="{78EDC37B-4D9D-4FE2-989C-A3EE7E7DCD51}" name="Column3040"/>
    <tableColumn id="3060" xr3:uid="{837B4112-717D-4395-BC2B-4D37D4E84C80}" name="Column3041"/>
    <tableColumn id="3061" xr3:uid="{EFE2005C-BE52-4143-8D82-EE6BC1FFB910}" name="Column3042"/>
    <tableColumn id="3062" xr3:uid="{74DA5329-6ECA-4315-AD17-B3474228EC5F}" name="Column3043"/>
    <tableColumn id="3063" xr3:uid="{8DC16058-A9BB-45AE-A2DA-97776E3DE937}" name="Column3044"/>
    <tableColumn id="3064" xr3:uid="{9DC0C60F-72EF-493A-8DD5-CECAE2D0B707}" name="Column3045"/>
    <tableColumn id="3065" xr3:uid="{16FB9836-5328-48A2-ACDA-8A0B7AE3D496}" name="Column3046"/>
    <tableColumn id="3066" xr3:uid="{89D1D46B-BBA2-4E90-9023-B6640099847B}" name="Column3047"/>
    <tableColumn id="3067" xr3:uid="{281006AA-2D78-4C14-B73E-B7F7C54F5445}" name="Column3048"/>
    <tableColumn id="3068" xr3:uid="{4937EB61-F6F6-4157-9F5D-C9A4598CEBBA}" name="Column3049"/>
    <tableColumn id="3069" xr3:uid="{FA078A70-4E29-405B-B149-0647C69BC76F}" name="Column3050"/>
    <tableColumn id="3070" xr3:uid="{2DB677F4-04CF-4A08-82AE-7213A582C182}" name="Column3051"/>
    <tableColumn id="3071" xr3:uid="{0EE27D4D-1BCE-4756-9A96-F4A82840B82B}" name="Column3052"/>
    <tableColumn id="3072" xr3:uid="{A52B2199-BAA8-4D4E-A45D-FC1C8D41D8C0}" name="Column3053"/>
    <tableColumn id="3073" xr3:uid="{32E41797-220D-49A1-9785-8A855FAC690C}" name="Column3054"/>
    <tableColumn id="3074" xr3:uid="{3F6201BB-176A-4423-970B-FA380E56E67A}" name="Column3055"/>
    <tableColumn id="3075" xr3:uid="{D670ED85-825C-4826-9A97-00F6E974DEFD}" name="Column3056"/>
    <tableColumn id="3076" xr3:uid="{4C7AA819-4AB7-4AF1-BC6C-1057E0DC2AF7}" name="Column3057"/>
    <tableColumn id="3077" xr3:uid="{89347D8F-C680-4868-862A-B41F2F926119}" name="Column3058"/>
    <tableColumn id="3078" xr3:uid="{43B9E965-4EEC-46DF-A63B-AADD03305A74}" name="Column3059"/>
    <tableColumn id="3079" xr3:uid="{0F37395A-D359-474F-B4EC-48E1317E0B17}" name="Column3060"/>
    <tableColumn id="3080" xr3:uid="{BA79461E-39BE-4F29-8EAE-157BD3E3FA8C}" name="Column3061"/>
    <tableColumn id="3081" xr3:uid="{3DFDE88C-0836-4762-B7E0-5962DDF96CC9}" name="Column3062"/>
    <tableColumn id="3082" xr3:uid="{F5AF7A49-457B-4CED-B14F-2F539CCAB673}" name="Column3063"/>
    <tableColumn id="3083" xr3:uid="{55427C61-8ED0-4BC6-8809-3F64359F7487}" name="Column3064"/>
    <tableColumn id="3084" xr3:uid="{2AA4F68E-631E-495F-9E41-D0884F6A4AE6}" name="Column3065"/>
    <tableColumn id="3085" xr3:uid="{A0ED6B69-EE60-41C6-975D-48FB9EBF1D03}" name="Column3066"/>
    <tableColumn id="3086" xr3:uid="{21DB1945-7D9B-47A2-B1A5-E2E26C1D8C67}" name="Column3067"/>
    <tableColumn id="3087" xr3:uid="{1A9C40E6-0AD3-4F5A-B53E-E7CA8C680B41}" name="Column3068"/>
    <tableColumn id="3088" xr3:uid="{CD4D651A-8D0F-4E05-B817-A408D9A7EA39}" name="Column3069"/>
    <tableColumn id="3089" xr3:uid="{85BD39E0-E0D9-4599-8B1F-548C413B2D0D}" name="Column3070"/>
    <tableColumn id="3090" xr3:uid="{A2020B6B-D2D7-451A-BEA3-35DF83F469F9}" name="Column3071"/>
    <tableColumn id="3091" xr3:uid="{155BA917-3609-4A53-A809-AAFFB117876B}" name="Column3072"/>
    <tableColumn id="3092" xr3:uid="{D615DFE3-CB09-44AB-8D4B-580A712BB738}" name="Column3073"/>
    <tableColumn id="3093" xr3:uid="{E47D04B6-24F4-49C2-8798-AB1D5AE4D511}" name="Column3074"/>
    <tableColumn id="3094" xr3:uid="{85523A7F-3539-4056-9B30-A8BE94575695}" name="Column3075"/>
    <tableColumn id="3095" xr3:uid="{3D871FCA-A9E2-4DCB-9B1D-3E38A36D3D1F}" name="Column3076"/>
    <tableColumn id="3096" xr3:uid="{05784E0D-5488-484C-A4CC-41816BDB8583}" name="Column3077"/>
    <tableColumn id="3097" xr3:uid="{1ED03D00-0F3F-4429-B4DE-D4B943701E99}" name="Column3078"/>
    <tableColumn id="3098" xr3:uid="{EA933F2C-D474-42EB-88C4-8713845D8C37}" name="Column3079"/>
    <tableColumn id="3099" xr3:uid="{D81C83A2-7A2E-4EF8-B8DE-57AF3505D474}" name="Column3080"/>
    <tableColumn id="3100" xr3:uid="{0F1B63D8-D9B4-4CA2-97B7-71109A358394}" name="Column3081"/>
    <tableColumn id="3101" xr3:uid="{20C56679-A097-4D7F-8DCD-51E3815E72CB}" name="Column3082"/>
    <tableColumn id="3102" xr3:uid="{891FE153-BB74-419E-8548-0701D058FD16}" name="Column3083"/>
    <tableColumn id="3103" xr3:uid="{24A791B1-49F2-4D1A-8B33-31AFEEB43F1E}" name="Column3084"/>
    <tableColumn id="3104" xr3:uid="{581BD135-F86D-4174-B40C-7D49E2E7BF2D}" name="Column3085"/>
    <tableColumn id="3105" xr3:uid="{CB65D996-CA77-49C6-B7AF-BE3EA5001C76}" name="Column3086"/>
    <tableColumn id="3106" xr3:uid="{E88FA026-2FB4-48B9-B6FE-E7B8D3298928}" name="Column3087"/>
    <tableColumn id="3107" xr3:uid="{F3897B87-BA78-46E0-9742-6CA2AAB808B6}" name="Column3088"/>
    <tableColumn id="3108" xr3:uid="{2640E561-9AD3-414E-B431-890DEC5D2130}" name="Column3089"/>
    <tableColumn id="3109" xr3:uid="{D0A18C88-2B6B-443A-98C8-FF6D487D7AC1}" name="Column3090"/>
    <tableColumn id="3110" xr3:uid="{0C8681E7-0B20-4A9A-8CEB-4EC0D3B7DFB5}" name="Column3091"/>
    <tableColumn id="3111" xr3:uid="{C8914550-5A77-414B-ACE3-359742B40767}" name="Column3092"/>
    <tableColumn id="3112" xr3:uid="{1A18E073-8ED9-4985-A97F-5369B8498108}" name="Column3093"/>
    <tableColumn id="3113" xr3:uid="{A9C21B70-171B-4245-BC1C-4698C464FA6B}" name="Column3094"/>
    <tableColumn id="3114" xr3:uid="{E85A352E-6039-4CF9-BCE8-A1B99C93C77E}" name="Column3095"/>
    <tableColumn id="3115" xr3:uid="{58379AC1-6744-4954-8A7F-2D1192EC8461}" name="Column3096"/>
    <tableColumn id="3116" xr3:uid="{25AA75FD-4454-435B-9FBC-EA1252CA2889}" name="Column3097"/>
    <tableColumn id="3117" xr3:uid="{EFC0FA89-B19B-454A-B246-61FC82A13587}" name="Column3098"/>
    <tableColumn id="3118" xr3:uid="{9EC9F1AC-301F-4394-A39F-D763ACEBCD16}" name="Column3099"/>
    <tableColumn id="3119" xr3:uid="{A81E2F46-67E5-4DBF-A05B-B5BDA65CFC69}" name="Column3100"/>
    <tableColumn id="3120" xr3:uid="{3853AEEF-7978-4197-9B55-CB66569D3D89}" name="Column3101"/>
    <tableColumn id="3121" xr3:uid="{005DBA99-3E28-46C4-8F5F-21EED1216991}" name="Column3102"/>
    <tableColumn id="3122" xr3:uid="{F749B4B1-E7B6-4DE9-AF64-E7012C1ADABC}" name="Column3103"/>
    <tableColumn id="3123" xr3:uid="{C5BD12D0-D300-448C-83D8-14B137D5D038}" name="Column3104"/>
    <tableColumn id="3124" xr3:uid="{5B986CD4-6A88-4DF5-A96F-981F0BD3CFCE}" name="Column3105"/>
    <tableColumn id="3125" xr3:uid="{97604090-7291-4EDE-A7C1-DA0C23618C23}" name="Column3106"/>
    <tableColumn id="3126" xr3:uid="{ABED6B22-588E-489A-AF06-B7F3F911C288}" name="Column3107"/>
    <tableColumn id="3127" xr3:uid="{31229DBA-DB43-48C7-B60F-1EBC8FB3F224}" name="Column3108"/>
    <tableColumn id="3128" xr3:uid="{399AD652-78C6-4634-8B5B-891807F80A93}" name="Column3109"/>
    <tableColumn id="3129" xr3:uid="{7761C73E-2EBD-44B1-8A5E-54981C50FBFE}" name="Column3110"/>
    <tableColumn id="3130" xr3:uid="{96375AA2-A33D-4A36-AEEE-251BDEF7C1F8}" name="Column3111"/>
    <tableColumn id="3131" xr3:uid="{7B14C6B7-0A3D-47E8-B809-BC95FEB8E4BA}" name="Column3112"/>
    <tableColumn id="3132" xr3:uid="{FF8888C1-00FA-4D4C-8364-CADF654D40D2}" name="Column3113"/>
    <tableColumn id="3133" xr3:uid="{940ABEC6-B8C1-46B4-B459-AFE3CAE2E07B}" name="Column3114"/>
    <tableColumn id="3134" xr3:uid="{207DB8C2-8263-49E0-B8E8-C54893689A38}" name="Column3115"/>
    <tableColumn id="3135" xr3:uid="{909BD5A9-9840-4A90-AB55-EBD4BC5B5E61}" name="Column3116"/>
    <tableColumn id="3136" xr3:uid="{AA169A8F-19AA-4697-B798-5087055DF0DF}" name="Column3117"/>
    <tableColumn id="3137" xr3:uid="{1E61F9D6-EC8C-4E6B-90D3-2FF049B5FE01}" name="Column3118"/>
    <tableColumn id="3138" xr3:uid="{FE60FEC2-615C-466A-9D3B-3A2062AC0E2A}" name="Column3119"/>
    <tableColumn id="3139" xr3:uid="{F7043902-A809-4EA5-897B-5853BCB5D628}" name="Column3120"/>
    <tableColumn id="3140" xr3:uid="{784F26CE-506A-4252-8974-E9B80465A316}" name="Column3121"/>
    <tableColumn id="3141" xr3:uid="{4D353250-A4F9-4D28-8ECB-E85916B5F579}" name="Column3122"/>
    <tableColumn id="3142" xr3:uid="{60726EDC-7B77-4E50-B9E5-0183746A0AC3}" name="Column3123"/>
    <tableColumn id="3143" xr3:uid="{5E1E7FE1-2F04-4958-8CE2-13CBDA79EE2E}" name="Column3124"/>
    <tableColumn id="3144" xr3:uid="{B2683C8F-05B3-4C85-82FB-5A9C42590135}" name="Column3125"/>
    <tableColumn id="3145" xr3:uid="{3090908A-65EA-46A3-86BB-E6955C2370FF}" name="Column3126"/>
    <tableColumn id="3146" xr3:uid="{EDE3BAC4-3A80-45C1-A0B3-EFC8E98D439E}" name="Column3127"/>
    <tableColumn id="3147" xr3:uid="{5E6BC808-AAC6-4A4F-A7D4-5289428D8FDE}" name="Column3128"/>
    <tableColumn id="3148" xr3:uid="{52980438-7695-44E6-AA6E-8985F849AA1B}" name="Column3129"/>
    <tableColumn id="3149" xr3:uid="{5ABE8CB5-C249-400A-BB74-8DE6F7C9EC34}" name="Column3130"/>
    <tableColumn id="3150" xr3:uid="{CDD0051E-F3FF-4CB4-ADA1-03E3A022A2D8}" name="Column3131"/>
    <tableColumn id="3151" xr3:uid="{A002045A-91D7-400C-B245-38836778100E}" name="Column3132"/>
    <tableColumn id="3152" xr3:uid="{AADE8FCC-9CF5-4B93-9B5B-F5FB245F06FF}" name="Column3133"/>
    <tableColumn id="3153" xr3:uid="{CA6531BA-F31D-4BBD-A195-546C39DBEA62}" name="Column3134"/>
    <tableColumn id="3154" xr3:uid="{00B13A7B-0AB0-47DD-8190-DFEAA8E22612}" name="Column3135"/>
    <tableColumn id="3155" xr3:uid="{0E8D2916-EC76-43F8-AB67-274B8BEB6E89}" name="Column3136"/>
    <tableColumn id="3156" xr3:uid="{B4FC38AB-85AD-4B0C-8103-73DA078447DF}" name="Column3137"/>
    <tableColumn id="3157" xr3:uid="{5AF7F3D5-A6AE-434E-A9A0-DD7F4B77861D}" name="Column3138"/>
    <tableColumn id="3158" xr3:uid="{6D99B4C5-533D-4AFD-8249-7DC56C1DF57C}" name="Column3139"/>
    <tableColumn id="3159" xr3:uid="{CF45ED4E-A7AD-4BC3-AC89-8563A7A1A951}" name="Column3140"/>
    <tableColumn id="3160" xr3:uid="{082EBFB9-315F-4CD3-9FFB-2EEEA79BEE31}" name="Column3141"/>
    <tableColumn id="3161" xr3:uid="{883000F2-DF00-4D4A-9C47-044BABEEC280}" name="Column3142"/>
    <tableColumn id="3162" xr3:uid="{2FCD6C97-9223-48FE-A9F6-604871316C4A}" name="Column3143"/>
    <tableColumn id="3163" xr3:uid="{6E387762-2034-4E97-8BF8-B5E7E278EBCF}" name="Column3144"/>
    <tableColumn id="3164" xr3:uid="{1A8255DB-637F-40B7-857E-41D5BC2610EE}" name="Column3145"/>
    <tableColumn id="3165" xr3:uid="{6AC472E4-2EB4-4DF9-93A6-1BE4CCEB305B}" name="Column3146"/>
    <tableColumn id="3166" xr3:uid="{A65406F5-EF1E-448D-81D5-10292AA0E37B}" name="Column3147"/>
    <tableColumn id="3167" xr3:uid="{160BC3A4-E1B6-4F8D-B005-D5FBCE88EE4D}" name="Column3148"/>
    <tableColumn id="3168" xr3:uid="{77541E01-A48B-4CC0-A53F-4AA47A3DA887}" name="Column3149"/>
    <tableColumn id="3169" xr3:uid="{54DB0EAE-5F3A-4920-8D87-BB03D7797A6E}" name="Column3150"/>
    <tableColumn id="3170" xr3:uid="{24F9B379-1E60-4BE3-B55C-9CDCA1D069DD}" name="Column3151"/>
    <tableColumn id="3171" xr3:uid="{32E4E381-05BF-46D2-B506-3C1D8CFD24FD}" name="Column3152"/>
    <tableColumn id="3172" xr3:uid="{3646F2DE-CC05-47E1-AC1A-2169FCD84AFB}" name="Column3153"/>
    <tableColumn id="3173" xr3:uid="{088557B3-0710-4ADB-ADC0-4DABF2E23EE4}" name="Column3154"/>
    <tableColumn id="3174" xr3:uid="{EC7A5192-EE65-48B3-A1FB-5A937B84EE92}" name="Column3155"/>
    <tableColumn id="3175" xr3:uid="{A8B106BF-3E17-4EF4-A131-94FED227E323}" name="Column3156"/>
    <tableColumn id="3176" xr3:uid="{057C3E5E-4E10-483D-9D8B-80712B31B292}" name="Column3157"/>
    <tableColumn id="3177" xr3:uid="{D0E816F0-C470-4AF1-BCCF-BF1D5230017E}" name="Column3158"/>
    <tableColumn id="3178" xr3:uid="{45503D0F-9E08-4176-AC49-929896C501FC}" name="Column3159"/>
    <tableColumn id="3179" xr3:uid="{C433407C-6A9A-4F10-93A4-542C33760C1B}" name="Column3160"/>
    <tableColumn id="3180" xr3:uid="{C2E47FDE-1775-4528-9430-9B45B3CE3DAF}" name="Column3161"/>
    <tableColumn id="3181" xr3:uid="{3D3926CD-3C44-41F0-AF77-9E77467FE803}" name="Column3162"/>
    <tableColumn id="3182" xr3:uid="{B38B4893-A6E2-4FEC-ADC2-E8998ECF998C}" name="Column3163"/>
    <tableColumn id="3183" xr3:uid="{F59E6857-9DC6-4E6C-AFBD-54C44E414ECC}" name="Column3164"/>
    <tableColumn id="3184" xr3:uid="{E70B5D15-4DDA-4F4B-A9FB-89205EE1D04A}" name="Column3165"/>
    <tableColumn id="3185" xr3:uid="{FDBDF65A-7517-47E4-8238-077039FC70A1}" name="Column3166"/>
    <tableColumn id="3186" xr3:uid="{719FC6BD-AA85-45E6-8FCF-0C9EDF1169C4}" name="Column3167"/>
    <tableColumn id="3187" xr3:uid="{F6E67AF9-FC00-488A-9F39-0B885C408312}" name="Column3168"/>
    <tableColumn id="3188" xr3:uid="{BB786392-6F25-477C-BC84-671805EC214D}" name="Column3169"/>
    <tableColumn id="3189" xr3:uid="{69A04997-9EF4-4D30-A734-7D900410AA36}" name="Column3170"/>
    <tableColumn id="3190" xr3:uid="{5AD9B26C-721B-4B7F-B017-C5DC972B307D}" name="Column3171"/>
    <tableColumn id="3191" xr3:uid="{DE3B34F8-CA0F-440F-AECC-361DC047C614}" name="Column3172"/>
    <tableColumn id="3192" xr3:uid="{1353A797-30A0-4B30-B508-BCA792F86AA8}" name="Column3173"/>
    <tableColumn id="3193" xr3:uid="{FAB12BE7-8ABD-4CF6-901B-752DF0D57AC9}" name="Column3174"/>
    <tableColumn id="3194" xr3:uid="{0C8B8A99-7572-4062-BA59-A020559E819C}" name="Column3175"/>
    <tableColumn id="3195" xr3:uid="{72A7DFE0-3B31-4598-8100-FFA4A0D1D4AE}" name="Column3176"/>
    <tableColumn id="3196" xr3:uid="{7A0A4E97-6EB8-4D38-B839-771FFDF1DBB4}" name="Column3177"/>
    <tableColumn id="3197" xr3:uid="{BC4D59BC-8B8A-4CD5-A002-D7434C4BF5C7}" name="Column3178"/>
    <tableColumn id="3198" xr3:uid="{B4526086-FDC6-4629-83E0-69E3441B7FA5}" name="Column3179"/>
    <tableColumn id="3199" xr3:uid="{BE7AB9A8-4B91-43B4-AF8A-3E224CDA9581}" name="Column3180"/>
    <tableColumn id="3200" xr3:uid="{B34E3D48-4DE1-423C-9F2B-2A1E49105F95}" name="Column3181"/>
    <tableColumn id="3201" xr3:uid="{B225A338-8EAE-4C91-B2DA-6FC51B29A1BB}" name="Column3182"/>
    <tableColumn id="3202" xr3:uid="{BB31104B-C53D-4334-8FCA-A2F281D80D9A}" name="Column3183"/>
    <tableColumn id="3203" xr3:uid="{DDF5D316-B353-4147-AC23-272A8C9D2DFB}" name="Column3184"/>
    <tableColumn id="3204" xr3:uid="{10239AD4-B867-4674-8BFD-CDDF14628612}" name="Column3185"/>
    <tableColumn id="3205" xr3:uid="{0DAC6C99-2AD3-49F7-BA34-42B617A44997}" name="Column3186"/>
    <tableColumn id="3206" xr3:uid="{4206907C-92C4-48B1-8E9C-589E78986087}" name="Column3187"/>
    <tableColumn id="3207" xr3:uid="{6246DF5C-53CC-41FD-948A-698AD02F9B8E}" name="Column3188"/>
    <tableColumn id="3208" xr3:uid="{58C8F443-F0D6-44E8-AFC2-A3358C1482D9}" name="Column3189"/>
    <tableColumn id="3209" xr3:uid="{8743B20E-E5B3-4042-BC8C-8755E7D38DA6}" name="Column3190"/>
    <tableColumn id="3210" xr3:uid="{DA6AEB4A-54A9-4FAE-9505-631BBDD243ED}" name="Column3191"/>
    <tableColumn id="3211" xr3:uid="{DC4A1B8F-FF85-47BB-95CC-2FE357E1B13D}" name="Column3192"/>
    <tableColumn id="3212" xr3:uid="{D6F43865-5F10-4138-B453-48202E313F8D}" name="Column3193"/>
    <tableColumn id="3213" xr3:uid="{88A4D47D-DA06-49E5-A2D5-8AD4B666F498}" name="Column3194"/>
    <tableColumn id="3214" xr3:uid="{90B5E322-AD00-48B8-8255-E4A0F6EA39FD}" name="Column3195"/>
    <tableColumn id="3215" xr3:uid="{DDA2D70A-6A5C-4DB9-98FF-83FDF8DE0009}" name="Column3196"/>
    <tableColumn id="3216" xr3:uid="{E70E640B-57B4-447D-9F61-74AB28F3444E}" name="Column3197"/>
    <tableColumn id="3217" xr3:uid="{EE25289C-49DC-494D-8E04-393B70F62D78}" name="Column3198"/>
    <tableColumn id="3218" xr3:uid="{B3CBA6C8-E6FF-4C30-93CF-28E989C64FDE}" name="Column3199"/>
    <tableColumn id="3219" xr3:uid="{9CB634DE-2E82-4F19-95FA-F0CAACEDB814}" name="Column3200"/>
    <tableColumn id="3220" xr3:uid="{DEFEF4C0-9753-4959-B0AB-D77C0E110A80}" name="Column3201"/>
    <tableColumn id="3221" xr3:uid="{EB839AA2-EBA8-4FF0-9812-D29179918DCD}" name="Column3202"/>
    <tableColumn id="3222" xr3:uid="{F526A51B-975C-4A1D-AA7A-2BEAA7519390}" name="Column3203"/>
    <tableColumn id="3223" xr3:uid="{382BBE92-A7ED-4A43-A469-41CECC359D0F}" name="Column3204"/>
    <tableColumn id="3224" xr3:uid="{B2CF648A-1220-4B9A-BF9B-7F507F7668C6}" name="Column3205"/>
    <tableColumn id="3225" xr3:uid="{B926C3D1-1601-4D02-9401-67F89AD20BE9}" name="Column3206"/>
    <tableColumn id="3226" xr3:uid="{44E51042-6EB1-40E8-8230-DBB16F657DBB}" name="Column3207"/>
    <tableColumn id="3227" xr3:uid="{00A8B478-BDBC-407B-8AA2-C6A86614656A}" name="Column3208"/>
    <tableColumn id="3228" xr3:uid="{EB64B38D-6B8F-45C8-8A57-0A2DC33EACA9}" name="Column3209"/>
    <tableColumn id="3229" xr3:uid="{AF2766D3-5772-4BBC-B1F2-185DFB55032A}" name="Column3210"/>
    <tableColumn id="3230" xr3:uid="{B2875CB8-090E-4887-A7D0-5DCF71E6DBA2}" name="Column3211"/>
    <tableColumn id="3231" xr3:uid="{3DADE0E5-19DA-41B7-9665-1B71A0650900}" name="Column3212"/>
    <tableColumn id="3232" xr3:uid="{1DAABF25-7714-4A46-959B-0AE84754836C}" name="Column3213"/>
    <tableColumn id="3233" xr3:uid="{87D35EC6-7D63-4ECD-B976-CD829C0666C6}" name="Column3214"/>
    <tableColumn id="3234" xr3:uid="{85541B7F-FFEF-487A-AAE3-7803CDD9548F}" name="Column3215"/>
    <tableColumn id="3235" xr3:uid="{BB372B4F-8123-4BB2-B2EF-CA77F1E0E33E}" name="Column3216"/>
    <tableColumn id="3236" xr3:uid="{96103DBF-9DE4-4D7B-AC33-F0244FBA9B7D}" name="Column3217"/>
    <tableColumn id="3237" xr3:uid="{3166115B-9D0A-4EB9-97A9-50BA44E4A389}" name="Column3218"/>
    <tableColumn id="3238" xr3:uid="{C434517A-A156-4F0F-8790-B8A09BD36F75}" name="Column3219"/>
    <tableColumn id="3239" xr3:uid="{98C9CF47-16AD-47E7-9444-8E4F2EC7D272}" name="Column3220"/>
    <tableColumn id="3240" xr3:uid="{EDE4F985-84F7-475B-859E-25BFA4107562}" name="Column3221"/>
    <tableColumn id="3241" xr3:uid="{AFD495D8-189F-42A5-B6D3-35147175306B}" name="Column3222"/>
    <tableColumn id="3242" xr3:uid="{A663D146-6775-4F27-AC26-0ECB0CB62A0B}" name="Column3223"/>
    <tableColumn id="3243" xr3:uid="{3237985F-624F-4E54-9347-3C0CB2F5B990}" name="Column3224"/>
    <tableColumn id="3244" xr3:uid="{82380D8B-43E1-49A5-8A6D-5AF6AED4841D}" name="Column3225"/>
    <tableColumn id="3245" xr3:uid="{2A27D497-E198-44B8-A325-CC04AC2D2388}" name="Column3226"/>
    <tableColumn id="3246" xr3:uid="{91533DA4-4B50-4E18-938D-AD9BC3A4579E}" name="Column3227"/>
    <tableColumn id="3247" xr3:uid="{1EB55729-A071-4B2F-A2FB-B034B2E6B5CD}" name="Column3228"/>
    <tableColumn id="3248" xr3:uid="{81EE824C-2952-48B0-9834-BF4E15C767F2}" name="Column3229"/>
    <tableColumn id="3249" xr3:uid="{A3D14EFC-5984-480B-9C4A-8733F6941A01}" name="Column3230"/>
    <tableColumn id="3250" xr3:uid="{BE138AAF-EE84-4663-8E42-74AF137BDEE4}" name="Column3231"/>
    <tableColumn id="3251" xr3:uid="{3A459380-855A-4D7A-9983-4E652BE23A94}" name="Column3232"/>
    <tableColumn id="3252" xr3:uid="{B93B9D23-1548-4554-B525-1A374775FD0C}" name="Column3233"/>
    <tableColumn id="3253" xr3:uid="{7893230D-433B-4659-B31B-3A76662C2796}" name="Column3234"/>
    <tableColumn id="3254" xr3:uid="{A155B61B-D7D4-4871-80E8-A52D88BE2674}" name="Column3235"/>
    <tableColumn id="3255" xr3:uid="{AEF8AEA4-E9EC-47BF-ABA1-E0DF5D8C3FC5}" name="Column3236"/>
    <tableColumn id="3256" xr3:uid="{87931855-656E-4D85-940C-D706C9CA56EE}" name="Column3237"/>
    <tableColumn id="3257" xr3:uid="{38160462-A4A8-413B-B19A-9C43E5B9F476}" name="Column3238"/>
    <tableColumn id="3258" xr3:uid="{3533D6DD-5572-4471-84A2-621367F1B01D}" name="Column3239"/>
    <tableColumn id="3259" xr3:uid="{69B426AE-6810-44BB-A5EB-0DD81FB38F8A}" name="Column3240"/>
    <tableColumn id="3260" xr3:uid="{4ED07FCF-6447-4C6C-B2D9-BC3E404C8F0D}" name="Column3241"/>
    <tableColumn id="3261" xr3:uid="{5570AE1A-0750-49F6-B9B0-3E9047F19721}" name="Column3242"/>
    <tableColumn id="3262" xr3:uid="{BBD055F7-4877-47BE-9695-C3FCC1393AE7}" name="Column3243"/>
    <tableColumn id="3263" xr3:uid="{3790E48F-4A9F-4C0E-990B-8F7984B0AA91}" name="Column3244"/>
    <tableColumn id="3264" xr3:uid="{2C1ED368-7CD0-42B5-B512-45D10511C322}" name="Column3245"/>
    <tableColumn id="3265" xr3:uid="{BF9A8F9D-8C2C-41C3-9F1C-205785215254}" name="Column3246"/>
    <tableColumn id="3266" xr3:uid="{08FE1156-0AC4-424C-945A-FD6D7A72A62F}" name="Column3247"/>
    <tableColumn id="3267" xr3:uid="{E3BE865F-14EF-4383-BDA9-54E6649B7BDF}" name="Column3248"/>
    <tableColumn id="3268" xr3:uid="{96665B68-E2CA-4A7B-936C-6F710EF911DD}" name="Column3249"/>
    <tableColumn id="3269" xr3:uid="{C05DE47D-3A57-42CE-B45C-8C5FF04C81A8}" name="Column3250"/>
    <tableColumn id="3270" xr3:uid="{EC489390-0F31-4FEC-88EB-BA0FBC46EFB9}" name="Column3251"/>
    <tableColumn id="3271" xr3:uid="{DCC942A2-B350-40FC-BFE1-C4435BB84D23}" name="Column3252"/>
    <tableColumn id="3272" xr3:uid="{9C18C0E2-DC01-4FE8-BA09-78C8B64C7BCD}" name="Column3253"/>
    <tableColumn id="3273" xr3:uid="{0245B500-D26D-4BE1-8692-12EF44C73806}" name="Column3254"/>
    <tableColumn id="3274" xr3:uid="{19E6970B-482C-42B8-9010-9AAFF0543D3E}" name="Column3255"/>
    <tableColumn id="3275" xr3:uid="{22A6A96C-7552-4A7B-9B94-284CFA8BB5F8}" name="Column3256"/>
    <tableColumn id="3276" xr3:uid="{9088A6DD-4EAE-4A26-9208-8F81AC42AB39}" name="Column3257"/>
    <tableColumn id="3277" xr3:uid="{22ED9CB3-43B6-4DA7-933A-067916E13EB3}" name="Column3258"/>
    <tableColumn id="3278" xr3:uid="{8F2CB5BD-B965-459E-82D6-46940D76AB16}" name="Column3259"/>
    <tableColumn id="3279" xr3:uid="{BCEE3886-F598-4BD4-B6EE-A6B83B0C153C}" name="Column3260"/>
    <tableColumn id="3280" xr3:uid="{08E65BF9-93E9-44FD-A9FC-B9E4B3CB922D}" name="Column3261"/>
    <tableColumn id="3281" xr3:uid="{1D403779-C281-468C-8982-E53C5887F685}" name="Column3262"/>
    <tableColumn id="3282" xr3:uid="{9E5D3E18-A732-4A41-A202-4BAF81097632}" name="Column3263"/>
    <tableColumn id="3283" xr3:uid="{AD5C54A9-797E-4B79-B450-48F9281ADA34}" name="Column3264"/>
    <tableColumn id="3284" xr3:uid="{9CF48D61-239E-407A-A116-5CEE2F0D0C4D}" name="Column3265"/>
    <tableColumn id="3285" xr3:uid="{6E33FBF1-0B75-4BAB-9C5F-95835533A950}" name="Column3266"/>
    <tableColumn id="3286" xr3:uid="{71F6D657-E55C-4066-926B-E70B64F64148}" name="Column3267"/>
    <tableColumn id="3287" xr3:uid="{04FF30BB-9835-4667-936C-5C0DD8BB16DC}" name="Column3268"/>
    <tableColumn id="3288" xr3:uid="{0FCF0968-F828-4A5F-9EAB-228E7528FE99}" name="Column3269"/>
    <tableColumn id="3289" xr3:uid="{202B4EB1-D994-461C-97C1-766A03B716E1}" name="Column3270"/>
    <tableColumn id="3290" xr3:uid="{307F6FC1-5EDD-40E8-AF7A-4A2316947E40}" name="Column3271"/>
    <tableColumn id="3291" xr3:uid="{B64CC954-0AAE-479C-8F37-819D3BA7E9F1}" name="Column3272"/>
    <tableColumn id="3292" xr3:uid="{C80F8F26-CA55-4413-BD81-0D3996B6183C}" name="Column3273"/>
    <tableColumn id="3293" xr3:uid="{B75ADF79-5882-41DB-BAE1-E5713BE26054}" name="Column3274"/>
    <tableColumn id="3294" xr3:uid="{43B5ABF6-0C8E-4260-91F2-E9E176529C83}" name="Column3275"/>
    <tableColumn id="3295" xr3:uid="{BF399458-6153-439E-BF4F-86CB23CC2A90}" name="Column3276"/>
    <tableColumn id="3296" xr3:uid="{DFDFDF9D-1F5F-4FAA-A5E9-B0E8F5BA228D}" name="Column3277"/>
    <tableColumn id="3297" xr3:uid="{0FF9BD08-D73A-44C4-A249-07DAD6A9B384}" name="Column3278"/>
    <tableColumn id="3298" xr3:uid="{5967CECD-D2F8-4215-9FFD-EB0E5FAB235C}" name="Column3279"/>
    <tableColumn id="3299" xr3:uid="{D532786E-16E3-4814-8246-57E1C6CE30AB}" name="Column3280"/>
    <tableColumn id="3300" xr3:uid="{029EBE34-B804-437E-95E9-0F0EC82CCFF1}" name="Column3281"/>
    <tableColumn id="3301" xr3:uid="{162356E5-91B1-4BEC-80BA-13E78578D459}" name="Column3282"/>
    <tableColumn id="3302" xr3:uid="{19017FBD-A18B-4F14-8FB7-DF3182DA3A25}" name="Column3283"/>
    <tableColumn id="3303" xr3:uid="{CFF0B341-9381-434F-8326-9979C1EB2022}" name="Column3284"/>
    <tableColumn id="3304" xr3:uid="{44703530-EB7A-4318-B0D0-8375310F307E}" name="Column3285"/>
    <tableColumn id="3305" xr3:uid="{524267B5-E4F6-44CA-9291-5455AA6394A3}" name="Column3286"/>
    <tableColumn id="3306" xr3:uid="{DD93BD6E-43AC-4BD4-AE85-A24D9B3473C3}" name="Column3287"/>
    <tableColumn id="3307" xr3:uid="{32EAC610-3D4A-4D88-A1BD-0F1E9279E226}" name="Column3288"/>
    <tableColumn id="3308" xr3:uid="{1EC07D87-AD94-40FB-BC3A-84C320A1ADCE}" name="Column3289"/>
    <tableColumn id="3309" xr3:uid="{153923C2-36FA-49F2-88D2-9B11551A697C}" name="Column3290"/>
    <tableColumn id="3310" xr3:uid="{B8E3338E-3032-487A-8AE3-B9754F7E664C}" name="Column3291"/>
    <tableColumn id="3311" xr3:uid="{BA5EAC5A-3FA0-4F1A-AA34-37A5204AF67E}" name="Column3292"/>
    <tableColumn id="3312" xr3:uid="{A48CC298-96C9-45BD-935E-4EBBBDBB4687}" name="Column3293"/>
    <tableColumn id="3313" xr3:uid="{EA5E9518-A186-4715-973C-12421F185B74}" name="Column3294"/>
    <tableColumn id="3314" xr3:uid="{BE7B0666-8F4E-46AF-B698-C80923261134}" name="Column3295"/>
    <tableColumn id="3315" xr3:uid="{D5256CC0-DA68-449F-A61C-417A4C733312}" name="Column3296"/>
    <tableColumn id="3316" xr3:uid="{041612B4-D81B-43C6-A9A5-1361AAF7C93D}" name="Column3297"/>
    <tableColumn id="3317" xr3:uid="{0D6B916F-4A98-466D-9B71-97B63EB6AD5F}" name="Column3298"/>
    <tableColumn id="3318" xr3:uid="{7AA34354-D782-4755-996C-4C683853152C}" name="Column3299"/>
    <tableColumn id="3319" xr3:uid="{2DA0CFA8-B224-40DB-BD0A-EB613D7423F4}" name="Column3300"/>
    <tableColumn id="3320" xr3:uid="{8E3AF996-F51F-4221-8968-3F4A6FC20DC0}" name="Column3301"/>
    <tableColumn id="3321" xr3:uid="{4F3E17E2-02F4-4743-9AE2-29DBF74FA375}" name="Column3302"/>
    <tableColumn id="3322" xr3:uid="{05E8E719-6E62-417F-8A26-E757D6979001}" name="Column3303"/>
    <tableColumn id="3323" xr3:uid="{CF050570-D24A-427D-8FA6-D69081F99A44}" name="Column3304"/>
    <tableColumn id="3324" xr3:uid="{2FF23735-927E-40E8-9FDA-00E7EF2A7F38}" name="Column3305"/>
    <tableColumn id="3325" xr3:uid="{A59F329A-E16C-4199-88CB-15B32C3E1748}" name="Column3306"/>
    <tableColumn id="3326" xr3:uid="{368FF634-972C-4FA5-915B-066A47DD5E42}" name="Column3307"/>
    <tableColumn id="3327" xr3:uid="{E4E47D02-F174-437F-9FB3-A4944D5A7916}" name="Column3308"/>
    <tableColumn id="3328" xr3:uid="{AFF987EE-2F10-4F08-AD25-B456E8282CE7}" name="Column3309"/>
    <tableColumn id="3329" xr3:uid="{70B7C45E-9042-4F1E-A6C2-81C002232782}" name="Column3310"/>
    <tableColumn id="3330" xr3:uid="{1310A93E-D61F-450C-8AC7-009FD1ACCFB6}" name="Column3311"/>
    <tableColumn id="3331" xr3:uid="{2B4B3D01-A644-4754-8A15-56F98584DC51}" name="Column3312"/>
    <tableColumn id="3332" xr3:uid="{BB507588-FC2B-42DD-B8FE-4DD1E7E49052}" name="Column3313"/>
    <tableColumn id="3333" xr3:uid="{0D927A40-AC21-42B6-9885-69FB728D59E2}" name="Column3314"/>
    <tableColumn id="3334" xr3:uid="{E3202DB8-1144-430B-8AC0-D22D9FCB1AAE}" name="Column3315"/>
    <tableColumn id="3335" xr3:uid="{0B182872-0001-4D7D-93D3-6A87A54CEB2D}" name="Column3316"/>
    <tableColumn id="3336" xr3:uid="{FD954356-42E9-49FA-997D-CE974D9AE199}" name="Column3317"/>
    <tableColumn id="3337" xr3:uid="{DDE62322-DC70-45CE-9992-80A6466C82A3}" name="Column3318"/>
    <tableColumn id="3338" xr3:uid="{D1D365AF-B13A-4A37-9007-8E4EC33F17BB}" name="Column3319"/>
    <tableColumn id="3339" xr3:uid="{68A78607-FA4D-4067-A760-773306537188}" name="Column3320"/>
    <tableColumn id="3340" xr3:uid="{E72E2AD6-D862-4F87-8967-FE9AF97546B3}" name="Column3321"/>
    <tableColumn id="3341" xr3:uid="{72315914-ABCC-4080-A8B4-5F0BE38DAD09}" name="Column3322"/>
    <tableColumn id="3342" xr3:uid="{9740E177-21A7-4685-93D8-7E68F52B50D8}" name="Column3323"/>
    <tableColumn id="3343" xr3:uid="{EEDA028F-7A87-45B5-8A9B-56771C557B98}" name="Column3324"/>
    <tableColumn id="3344" xr3:uid="{2D3E244A-137C-4B36-A1A5-71DA419E9373}" name="Column3325"/>
    <tableColumn id="3345" xr3:uid="{2FF8DA40-0EE2-4644-A0BD-9EFB05128E8C}" name="Column3326"/>
    <tableColumn id="3346" xr3:uid="{BD9918AD-F877-47D1-8696-3FED6A5C6AA9}" name="Column3327"/>
    <tableColumn id="3347" xr3:uid="{CCB23051-EB61-4C7C-AC70-163ADA7D3571}" name="Column3328"/>
    <tableColumn id="3348" xr3:uid="{F7BBE673-F1BF-4148-AA86-61F04CC71252}" name="Column3329"/>
    <tableColumn id="3349" xr3:uid="{95C20FE1-B24F-4AD1-93B4-C98B686955AC}" name="Column3330"/>
    <tableColumn id="3350" xr3:uid="{998BA855-6327-4EDB-89F1-3EAC2FEAB6F9}" name="Column3331"/>
    <tableColumn id="3351" xr3:uid="{65CBCBFC-FBDD-4E0F-8C05-420051B55517}" name="Column3332"/>
    <tableColumn id="3352" xr3:uid="{A9C9C4B1-EF8C-407E-8EF1-DA58D53EBC81}" name="Column3333"/>
    <tableColumn id="3353" xr3:uid="{C984A91A-5970-49D9-9502-ABC06B79A39B}" name="Column3334"/>
    <tableColumn id="3354" xr3:uid="{508139E0-922C-4374-AFA2-239D736E8F30}" name="Column3335"/>
    <tableColumn id="3355" xr3:uid="{179D9815-8BA8-4FD7-9E33-AA14BFE5FB3A}" name="Column3336"/>
    <tableColumn id="3356" xr3:uid="{22DE1EEB-D6E6-4494-B131-7563F2E238A0}" name="Column3337"/>
    <tableColumn id="3357" xr3:uid="{59B77D22-D00B-4D17-9C86-36A1ED5F437C}" name="Column3338"/>
    <tableColumn id="3358" xr3:uid="{3B223520-6FFC-4C2E-A384-7A93AE4F7652}" name="Column3339"/>
    <tableColumn id="3359" xr3:uid="{75330E4D-B0F1-4CCE-8B6F-325753D15B39}" name="Column3340"/>
    <tableColumn id="3360" xr3:uid="{BE44B879-282D-4EF5-98AC-C844F6729196}" name="Column3341"/>
    <tableColumn id="3361" xr3:uid="{D8B89D5D-E9DE-4222-A5CB-C1ACA3CF1AD9}" name="Column3342"/>
    <tableColumn id="3362" xr3:uid="{5C0D9930-5192-4B8C-9588-CB28F8D3125C}" name="Column3343"/>
    <tableColumn id="3363" xr3:uid="{661AAA8C-50C4-454D-B00A-16C0833A1D7E}" name="Column3344"/>
    <tableColumn id="3364" xr3:uid="{711DDDD3-F74F-4D64-8256-056F56FD8C9A}" name="Column3345"/>
    <tableColumn id="3365" xr3:uid="{CADAE912-ECF8-42CD-B4B4-EE64ECEA6650}" name="Column3346"/>
    <tableColumn id="3366" xr3:uid="{5CAB2BEE-4730-405E-AAB1-F4D245D52E53}" name="Column3347"/>
    <tableColumn id="3367" xr3:uid="{73C312AD-6D80-42DE-B31D-F06682326E53}" name="Column3348"/>
    <tableColumn id="3368" xr3:uid="{722CA1CE-FE49-4065-A3B9-983AC5881E94}" name="Column3349"/>
    <tableColumn id="3369" xr3:uid="{0B172B71-EC3A-4963-B5A1-9103A248C993}" name="Column3350"/>
    <tableColumn id="3370" xr3:uid="{CEB3B48F-A4AE-49DA-9F3F-CB7D80BE907A}" name="Column3351"/>
    <tableColumn id="3371" xr3:uid="{1707169B-4136-40CF-8D1A-25D75B90E2E4}" name="Column3352"/>
    <tableColumn id="3372" xr3:uid="{0F644F2F-AE0E-413B-9971-A50E0D0E920E}" name="Column3353"/>
    <tableColumn id="3373" xr3:uid="{9AE5DD5D-4100-44FD-B47C-B59E640BED7F}" name="Column3354"/>
    <tableColumn id="3374" xr3:uid="{A662B441-0FC8-42E6-9465-8493EA0A8695}" name="Column3355"/>
    <tableColumn id="3375" xr3:uid="{CD048DA5-E679-40C2-BE27-A92658DBED43}" name="Column3356"/>
    <tableColumn id="3376" xr3:uid="{8481C53D-74E0-4B5E-B1E0-56DCBAE26B9D}" name="Column3357"/>
    <tableColumn id="3377" xr3:uid="{A4D9F66F-0FBF-425B-A062-063AAFDA6476}" name="Column3358"/>
    <tableColumn id="3378" xr3:uid="{2CE111CC-9B9D-4ACF-8044-BF3BB2389071}" name="Column3359"/>
    <tableColumn id="3379" xr3:uid="{69961683-83C2-4148-9A7F-45792887F88F}" name="Column3360"/>
    <tableColumn id="3380" xr3:uid="{BB3E41AE-06B7-4EFB-865A-724051AB5E5D}" name="Column3361"/>
    <tableColumn id="3381" xr3:uid="{F0C7885A-0665-4021-B204-A564CB27F394}" name="Column3362"/>
    <tableColumn id="3382" xr3:uid="{F8F68733-0536-4BE1-97E1-6D737C68664E}" name="Column3363"/>
    <tableColumn id="3383" xr3:uid="{2BAD620E-AA14-46D9-89A6-E19D94F04B7F}" name="Column3364"/>
    <tableColumn id="3384" xr3:uid="{F5F08488-A392-4227-961A-00D3C2B58334}" name="Column3365"/>
    <tableColumn id="3385" xr3:uid="{0E0E340B-CF79-486B-915B-AC92B7B68D44}" name="Column3366"/>
    <tableColumn id="3386" xr3:uid="{DB99ECBC-4249-4C04-BD15-5778AB8DA10F}" name="Column3367"/>
    <tableColumn id="3387" xr3:uid="{0DCC2F3F-8FAC-4744-92D7-97F53063E742}" name="Column3368"/>
    <tableColumn id="3388" xr3:uid="{3B38BA6F-E99F-4320-B9B1-BB34B2DAE359}" name="Column3369"/>
    <tableColumn id="3389" xr3:uid="{4A407D36-4C7B-4DB6-9E75-0427CF2356CD}" name="Column3370"/>
    <tableColumn id="3390" xr3:uid="{2B1D6EC6-EFC2-4D84-A801-110FA028E11B}" name="Column3371"/>
    <tableColumn id="3391" xr3:uid="{B625674E-9EF9-4254-A845-F2163F7F18A2}" name="Column3372"/>
    <tableColumn id="3392" xr3:uid="{7F85AA45-C175-42A5-949C-059A8B2DAAAF}" name="Column3373"/>
    <tableColumn id="3393" xr3:uid="{BC8F3CA5-51BB-4B6F-885A-0091F1CE52C4}" name="Column3374"/>
    <tableColumn id="3394" xr3:uid="{994F85FF-C50D-4D07-978D-3A373D1C3F15}" name="Column3375"/>
    <tableColumn id="3395" xr3:uid="{E821ABAC-C758-41B6-9E8C-BCAC53CE6999}" name="Column3376"/>
    <tableColumn id="3396" xr3:uid="{73957549-8BBF-493F-BE25-96B7CED7D176}" name="Column3377"/>
    <tableColumn id="3397" xr3:uid="{4D69051C-B1FE-4D03-83E9-FC8278D5C9CF}" name="Column3378"/>
    <tableColumn id="3398" xr3:uid="{3C7FBDA1-18D0-40A0-8D99-CC7EEF9311E7}" name="Column3379"/>
    <tableColumn id="3399" xr3:uid="{1C9FF2C3-9376-49B4-B10A-141B3DCB53F4}" name="Column3380"/>
    <tableColumn id="3400" xr3:uid="{F95F4F71-FC5A-40BD-9715-691925EDB68F}" name="Column3381"/>
    <tableColumn id="3401" xr3:uid="{FAA75B45-FE59-49F6-92F4-57A198C38DFA}" name="Column3382"/>
    <tableColumn id="3402" xr3:uid="{E39EC3FD-3B61-48FB-B420-DEE9B4AC3F31}" name="Column3383"/>
    <tableColumn id="3403" xr3:uid="{29F28577-BCE5-476C-81E8-87E9375244A1}" name="Column3384"/>
    <tableColumn id="3404" xr3:uid="{80BD0F46-43C9-44D8-A4A8-D7952E3516B1}" name="Column3385"/>
    <tableColumn id="3405" xr3:uid="{2BCEE2B3-7D6F-4CEE-ABA9-72CD580E7CC1}" name="Column3386"/>
    <tableColumn id="3406" xr3:uid="{55484ADB-9EF0-47C7-A2C2-70BE042C4FAD}" name="Column3387"/>
    <tableColumn id="3407" xr3:uid="{E7FD5A8C-0FFD-4133-AFB9-701EE5139F02}" name="Column3388"/>
    <tableColumn id="3408" xr3:uid="{0FF90541-2777-4E2C-AA58-3006A0940C1E}" name="Column3389"/>
    <tableColumn id="3409" xr3:uid="{916BCF33-A7E2-4B87-803E-1EB4312A64B2}" name="Column3390"/>
    <tableColumn id="3410" xr3:uid="{20FD0489-28DA-4E38-883F-D8052BFF927B}" name="Column3391"/>
    <tableColumn id="3411" xr3:uid="{71275FBA-968A-4106-B1AF-984DB5535685}" name="Column3392"/>
    <tableColumn id="3412" xr3:uid="{009E2205-AD14-4BD4-B237-041805447F57}" name="Column3393"/>
    <tableColumn id="3413" xr3:uid="{8FB74CAD-2634-413F-8897-2DCDCF52C08F}" name="Column3394"/>
    <tableColumn id="3414" xr3:uid="{DCDF752C-12F3-4689-A181-F87CF9DBB5AE}" name="Column3395"/>
    <tableColumn id="3415" xr3:uid="{B67DEAB3-F59A-4823-B720-D1D322AADC09}" name="Column3396"/>
    <tableColumn id="3416" xr3:uid="{CA5AAA63-1B9C-4AEE-A982-310558F31A12}" name="Column3397"/>
    <tableColumn id="3417" xr3:uid="{0735294D-E66E-4438-8447-0CC1CFB581ED}" name="Column3398"/>
    <tableColumn id="3418" xr3:uid="{C861E3F1-B9EA-46AF-8C77-350E46A4B0F5}" name="Column3399"/>
    <tableColumn id="3419" xr3:uid="{2256F760-F437-4625-9C77-4BCB1DFB3285}" name="Column3400"/>
    <tableColumn id="3420" xr3:uid="{E60EA6D9-A65A-4AD5-8593-58F882CE5143}" name="Column3401"/>
    <tableColumn id="3421" xr3:uid="{210709F8-F9EF-4495-8507-2A0782451FDF}" name="Column3402"/>
    <tableColumn id="3422" xr3:uid="{67E53B3E-ABB2-411D-BC11-D8E79033AA1C}" name="Column3403"/>
    <tableColumn id="3423" xr3:uid="{321C7F28-DA0D-4824-B52D-7A2565DBAF57}" name="Column3404"/>
    <tableColumn id="3424" xr3:uid="{1FDC3ABC-181B-496D-B05B-B97C169E5D87}" name="Column3405"/>
    <tableColumn id="3425" xr3:uid="{738FF69A-BFA1-43B7-8891-F58B24407C97}" name="Column3406"/>
    <tableColumn id="3426" xr3:uid="{C27D91C3-7CD1-46D2-9058-CE2181A3E62F}" name="Column3407"/>
    <tableColumn id="3427" xr3:uid="{0B6C8289-46DF-4AF1-99A0-B8E43D9A3E95}" name="Column3408"/>
    <tableColumn id="3428" xr3:uid="{D67D62AC-E497-415F-BC33-A87ED94F1212}" name="Column3409"/>
    <tableColumn id="3429" xr3:uid="{E2E456C2-8834-45C8-A95A-7E482F493817}" name="Column3410"/>
    <tableColumn id="3430" xr3:uid="{34C18C42-649A-49E7-84C2-29841B3280EB}" name="Column3411"/>
    <tableColumn id="3431" xr3:uid="{4A16BA5E-310A-47F1-BD5F-09670C181E92}" name="Column3412"/>
    <tableColumn id="3432" xr3:uid="{0CC43064-4EF3-4261-BCFD-62A0EAD11618}" name="Column3413"/>
    <tableColumn id="3433" xr3:uid="{7064EF86-1808-4285-807A-517632583D92}" name="Column3414"/>
    <tableColumn id="3434" xr3:uid="{6D47C3FA-C19D-4ABD-B517-193F953F2535}" name="Column3415"/>
    <tableColumn id="3435" xr3:uid="{7FEE4F62-30D5-4939-A6EF-B17DA62DE69B}" name="Column3416"/>
    <tableColumn id="3436" xr3:uid="{8B581EE9-BC78-46B9-80D1-2DAA7DA3D1E1}" name="Column3417"/>
    <tableColumn id="3437" xr3:uid="{12763168-462D-4FD1-AEEC-6317302F656E}" name="Column3418"/>
    <tableColumn id="3438" xr3:uid="{77E6BB33-1A94-45C0-B6B8-F004A177674F}" name="Column3419"/>
    <tableColumn id="3439" xr3:uid="{465990B8-CA59-4D5E-A1A3-2D311C79EE4A}" name="Column3420"/>
    <tableColumn id="3440" xr3:uid="{94F74EBC-9544-4DC7-A69A-B1BC64740DD6}" name="Column3421"/>
    <tableColumn id="3441" xr3:uid="{D7D01DAE-DCEE-4EF4-877A-0B89F9312BCE}" name="Column3422"/>
    <tableColumn id="3442" xr3:uid="{C082503C-427C-4EDB-BDF8-C84CD1544CB3}" name="Column3423"/>
    <tableColumn id="3443" xr3:uid="{E9579D71-2BA5-4F86-A1C3-16330D7EA04A}" name="Column3424"/>
    <tableColumn id="3444" xr3:uid="{34C40505-FE9D-4328-AF84-D65B084E7DAD}" name="Column3425"/>
    <tableColumn id="3445" xr3:uid="{D8841CC1-CAFF-4FB0-94CC-12AF4E9EFF86}" name="Column3426"/>
    <tableColumn id="3446" xr3:uid="{F6F39E4F-8C4F-4DB4-8FA0-5FBDF8DC7779}" name="Column3427"/>
    <tableColumn id="3447" xr3:uid="{B0E8CE9F-5126-40B9-90EA-3383A4777C86}" name="Column3428"/>
    <tableColumn id="3448" xr3:uid="{A147F270-60AD-44B9-9AF6-2A3AA5141238}" name="Column3429"/>
    <tableColumn id="3449" xr3:uid="{19DCB53C-7111-4E8F-AEBC-72AD762EB0B3}" name="Column3430"/>
    <tableColumn id="3450" xr3:uid="{956F6DC6-80EB-4B6F-8246-A698B6A35845}" name="Column3431"/>
    <tableColumn id="3451" xr3:uid="{772CC18E-5258-49F9-B1BD-5BD222220F0C}" name="Column3432"/>
    <tableColumn id="3452" xr3:uid="{0134E76B-D83A-4B94-823E-E92F92F58CCD}" name="Column3433"/>
    <tableColumn id="3453" xr3:uid="{3BF7AC61-5378-4FDB-B69C-24981CD56752}" name="Column3434"/>
    <tableColumn id="3454" xr3:uid="{16170DC6-A382-4D35-BD2E-E42ED1FF64E0}" name="Column3435"/>
    <tableColumn id="3455" xr3:uid="{616E342B-6ECB-4855-9EC9-20A88FF2E196}" name="Column3436"/>
    <tableColumn id="3456" xr3:uid="{5EF4FB36-24B8-451F-BBFB-3D30A2A419FB}" name="Column3437"/>
    <tableColumn id="3457" xr3:uid="{6911CB08-7962-498A-BE07-0A4164921629}" name="Column3438"/>
    <tableColumn id="3458" xr3:uid="{24CDDDB8-4C02-40C2-B011-7A35AA31C83F}" name="Column3439"/>
    <tableColumn id="3459" xr3:uid="{F5EA9D0E-4216-4CB1-B416-E25AE65D93B1}" name="Column3440"/>
    <tableColumn id="3460" xr3:uid="{F9195A04-D21C-42AC-8BF6-894BD85B51CF}" name="Column3441"/>
    <tableColumn id="3461" xr3:uid="{48D51FD5-5217-41E7-88D4-80829B5061CC}" name="Column3442"/>
    <tableColumn id="3462" xr3:uid="{34E2B689-8038-4B3C-BA0E-4A83EAA5B491}" name="Column3443"/>
    <tableColumn id="3463" xr3:uid="{F6C7C9D7-B9F7-4D94-A5E0-BB3A216174A5}" name="Column3444"/>
    <tableColumn id="3464" xr3:uid="{EAFD451B-756B-4A9D-B843-C9A666E3E174}" name="Column3445"/>
    <tableColumn id="3465" xr3:uid="{20108583-89FA-4526-94F0-BE7A20FA76E1}" name="Column3446"/>
    <tableColumn id="3466" xr3:uid="{02D752A2-3F68-4AD4-A0A7-EBBB39B23FC4}" name="Column3447"/>
    <tableColumn id="3467" xr3:uid="{4EBC2116-C91F-4BEB-AF56-08D6F842E54B}" name="Column3448"/>
    <tableColumn id="3468" xr3:uid="{70B9EE9A-730A-4B0A-BEF5-2D89497BEB1D}" name="Column3449"/>
    <tableColumn id="3469" xr3:uid="{D7ACF926-E658-428A-A59F-40C38D7E96BA}" name="Column3450"/>
    <tableColumn id="3470" xr3:uid="{B26929F1-8FBE-45BF-B6D7-54CF2418ED4B}" name="Column3451"/>
    <tableColumn id="3471" xr3:uid="{3131850B-82E3-4331-8481-58C52A977055}" name="Column3452"/>
    <tableColumn id="3472" xr3:uid="{B5716D20-8D06-4C69-AE87-2C3BC07F9FA5}" name="Column3453"/>
    <tableColumn id="3473" xr3:uid="{C3551CEF-E1C9-4379-B643-D6BEAA05E6BC}" name="Column3454"/>
    <tableColumn id="3474" xr3:uid="{25BAC018-80A4-432B-9A66-63849E25C813}" name="Column3455"/>
    <tableColumn id="3475" xr3:uid="{FD931B01-D407-48D0-A35C-315AE34D0EED}" name="Column3456"/>
    <tableColumn id="3476" xr3:uid="{72D2526F-1AF8-4666-AFB2-9564D228FF1C}" name="Column3457"/>
    <tableColumn id="3477" xr3:uid="{1D33C64E-9DB6-41C1-BCAF-7AF2421FA913}" name="Column3458"/>
    <tableColumn id="3478" xr3:uid="{71FF57FF-4832-413C-963C-4ED5D5F50D80}" name="Column3459"/>
    <tableColumn id="3479" xr3:uid="{483372A2-851E-466E-9A91-686AEF27205A}" name="Column3460"/>
    <tableColumn id="3480" xr3:uid="{6E133AB9-7419-4EB9-85E2-FBC96A040ED8}" name="Column3461"/>
    <tableColumn id="3481" xr3:uid="{FC47CE4D-1C63-4F48-8903-82245C5FB20E}" name="Column3462"/>
    <tableColumn id="3482" xr3:uid="{51F8DFC5-C48D-4025-BF13-359071326B88}" name="Column3463"/>
    <tableColumn id="3483" xr3:uid="{D81C55FE-2475-4C99-892B-D5B3012CD447}" name="Column3464"/>
    <tableColumn id="3484" xr3:uid="{CD9D7134-0C4D-4C9D-AC00-2203263DD084}" name="Column3465"/>
    <tableColumn id="3485" xr3:uid="{5A681A25-C7E9-48B4-B79A-559A98DED572}" name="Column3466"/>
    <tableColumn id="3486" xr3:uid="{76CF9DA6-E171-45FA-AB18-2B4B6428C677}" name="Column3467"/>
    <tableColumn id="3487" xr3:uid="{E4D9D1F4-387B-4E3D-9667-5FDF1B4D0C36}" name="Column3468"/>
    <tableColumn id="3488" xr3:uid="{D4BF500C-5EFF-4216-9BF2-7B4ECB281DFE}" name="Column3469"/>
    <tableColumn id="3489" xr3:uid="{2136CE97-3D39-4A1F-90CB-FA8F23CBE607}" name="Column3470"/>
    <tableColumn id="3490" xr3:uid="{1DE6C6A6-A494-4C89-B7E3-F8D44C6CDA8B}" name="Column3471"/>
    <tableColumn id="3491" xr3:uid="{8BE4E959-E00B-4147-99CD-DA7CD9B302EB}" name="Column3472"/>
    <tableColumn id="3492" xr3:uid="{222F9445-D8CB-4B20-9942-B5556AF23A7E}" name="Column3473"/>
    <tableColumn id="3493" xr3:uid="{D0AB6605-6D3A-4E78-98C1-CB258AA1AED4}" name="Column3474"/>
    <tableColumn id="3494" xr3:uid="{8C67379F-3D30-4915-B431-B4473C43ECAD}" name="Column3475"/>
    <tableColumn id="3495" xr3:uid="{68D110A7-DCE6-48F9-A87D-5B674196041F}" name="Column3476"/>
    <tableColumn id="3496" xr3:uid="{48DA4D9A-E0EE-4CA2-B9EC-83D5F7447E05}" name="Column3477"/>
    <tableColumn id="3497" xr3:uid="{638233D9-126B-47BE-87AF-EA649DE05CA9}" name="Column3478"/>
    <tableColumn id="3498" xr3:uid="{57F8D657-1629-4758-AD8E-B70FDFB6555F}" name="Column3479"/>
    <tableColumn id="3499" xr3:uid="{34D1D4A0-2328-4EA4-8A8D-6A041A23B53A}" name="Column3480"/>
    <tableColumn id="3500" xr3:uid="{875389D7-C9A9-43A3-8241-8E01FA938082}" name="Column3481"/>
    <tableColumn id="3501" xr3:uid="{A6D07E87-BA65-4256-9AD9-1B92338C3C3C}" name="Column3482"/>
    <tableColumn id="3502" xr3:uid="{F2057D98-DC47-494C-888E-E521F2951271}" name="Column3483"/>
    <tableColumn id="3503" xr3:uid="{E0CD95F2-55C3-453A-BB14-86337B98A573}" name="Column3484"/>
    <tableColumn id="3504" xr3:uid="{2D9811F9-102B-4C71-A0F8-A973E7D30F28}" name="Column3485"/>
    <tableColumn id="3505" xr3:uid="{7DCA9C6D-2CE9-40AE-9B16-BE550283F9FF}" name="Column3486"/>
    <tableColumn id="3506" xr3:uid="{E00EE456-C8F6-454F-B8CD-2F075D008170}" name="Column3487"/>
    <tableColumn id="3507" xr3:uid="{5CD09CB5-0CFE-450C-ACA3-DD21664D0B3A}" name="Column3488"/>
    <tableColumn id="3508" xr3:uid="{126BB654-08FF-4ABF-A37E-F1AB4DEC6A47}" name="Column3489"/>
    <tableColumn id="3509" xr3:uid="{930FAF7E-7A77-4C76-8ED3-FB80D0830BAF}" name="Column3490"/>
    <tableColumn id="3510" xr3:uid="{447BB6A8-2D81-445F-AE2B-9E1599180342}" name="Column3491"/>
    <tableColumn id="3511" xr3:uid="{AF48A573-AB4C-4A73-9D9C-41873351487B}" name="Column3492"/>
    <tableColumn id="3512" xr3:uid="{2E740B6F-0672-4A55-A098-9387B764A242}" name="Column3493"/>
    <tableColumn id="3513" xr3:uid="{32AC7107-5EE3-44EC-B6DE-381C191EF3F5}" name="Column3494"/>
    <tableColumn id="3514" xr3:uid="{99391778-80A2-411F-937E-9D66B0ED3429}" name="Column3495"/>
    <tableColumn id="3515" xr3:uid="{DB7E435D-9EB9-428E-8BBE-A417B40D444F}" name="Column3496"/>
    <tableColumn id="3516" xr3:uid="{A1F4FA2A-A081-445B-AE4A-3AECEAC697C0}" name="Column3497"/>
    <tableColumn id="3517" xr3:uid="{964D3424-88A8-423D-9ECE-AEE5BF9B2CB4}" name="Column3498"/>
    <tableColumn id="3518" xr3:uid="{44AE32A3-62AA-42CA-BBB3-CC236256FDF0}" name="Column3499"/>
    <tableColumn id="3519" xr3:uid="{2BF161D9-2A8C-4472-93AA-BE1DC7CD3054}" name="Column3500"/>
    <tableColumn id="3520" xr3:uid="{26FBB69E-5018-4C14-B4F1-9CF6AA33D4D7}" name="Column3501"/>
    <tableColumn id="3521" xr3:uid="{043CB838-B6EF-4E66-AD62-09F2E720DDB8}" name="Column3502"/>
    <tableColumn id="3522" xr3:uid="{8489AF96-0C15-4C26-A838-1A4BD24177BA}" name="Column3503"/>
    <tableColumn id="3523" xr3:uid="{276CB09A-863F-4782-94D9-7BD5CE6332B3}" name="Column3504"/>
    <tableColumn id="3524" xr3:uid="{92C546EE-2C61-4458-808A-C440BB0E96DC}" name="Column3505"/>
    <tableColumn id="3525" xr3:uid="{5C99F059-0A89-42F5-896B-3BC61E15EECC}" name="Column3506"/>
    <tableColumn id="3526" xr3:uid="{4172CA92-DDB6-4EA1-80CB-47AFAFF54FDC}" name="Column3507"/>
    <tableColumn id="3527" xr3:uid="{C0599DCB-B8C4-4C1F-BF40-722B1FA60168}" name="Column3508"/>
    <tableColumn id="3528" xr3:uid="{E13BBF29-CE6A-422E-86AC-DC86DA3AE902}" name="Column3509"/>
    <tableColumn id="3529" xr3:uid="{83E814E9-CE0F-42E1-A64D-E160B5300E16}" name="Column3510"/>
    <tableColumn id="3530" xr3:uid="{136C164F-D3DC-401F-8F67-BD58AE4B702B}" name="Column3511"/>
    <tableColumn id="3531" xr3:uid="{A5D1427A-C1F9-4A45-BCE5-437648F144A2}" name="Column3512"/>
    <tableColumn id="3532" xr3:uid="{8728BE0F-C094-4504-85CE-2E4A5A1B207C}" name="Column3513"/>
    <tableColumn id="3533" xr3:uid="{90AAFD99-2329-4419-A9B0-12CB924D9243}" name="Column3514"/>
    <tableColumn id="3534" xr3:uid="{A87535F2-392D-4AF1-83B4-85E65E21A238}" name="Column3515"/>
    <tableColumn id="3535" xr3:uid="{52BDAB15-514A-4A1D-9FE7-1BAD80C1739B}" name="Column3516"/>
    <tableColumn id="3536" xr3:uid="{FD2B3D19-01DC-4F67-9FCE-4D3949435C3E}" name="Column3517"/>
    <tableColumn id="3537" xr3:uid="{1799FE4D-DE5C-49A3-B721-34755F652BC7}" name="Column3518"/>
    <tableColumn id="3538" xr3:uid="{F0C3A77C-D156-4B34-AF6C-26C672609318}" name="Column3519"/>
    <tableColumn id="3539" xr3:uid="{E627214B-C519-4F3D-84B7-DF6B7D49A9E5}" name="Column3520"/>
    <tableColumn id="3540" xr3:uid="{087D9304-8962-4B23-9536-DD95B23811D7}" name="Column3521"/>
    <tableColumn id="3541" xr3:uid="{0E1EE3B3-1AF9-44AC-B07C-C33489794E69}" name="Column3522"/>
    <tableColumn id="3542" xr3:uid="{61DA100B-F778-4088-92F1-C6FAD496557D}" name="Column3523"/>
    <tableColumn id="3543" xr3:uid="{04774F90-BFC2-478E-877F-0E89E7535063}" name="Column3524"/>
    <tableColumn id="3544" xr3:uid="{5D306206-9765-49B2-9332-522FE811D2F8}" name="Column3525"/>
    <tableColumn id="3545" xr3:uid="{EC5B475F-E01D-4D29-A6FC-5835750347B0}" name="Column3526"/>
    <tableColumn id="3546" xr3:uid="{0D0DB994-0052-4B31-957E-2C88DE1A3E2F}" name="Column3527"/>
    <tableColumn id="3547" xr3:uid="{E28C5E1C-EF46-4220-BD1F-A6687B509CD7}" name="Column3528"/>
    <tableColumn id="3548" xr3:uid="{10FA2B4E-DA65-42FC-80D2-B697460211A7}" name="Column3529"/>
    <tableColumn id="3549" xr3:uid="{6951D2BC-B1E4-4ED2-AA3A-779473ABBBCF}" name="Column3530"/>
    <tableColumn id="3550" xr3:uid="{44E3ED75-826D-4B87-96FB-BF3B28A4BC1B}" name="Column3531"/>
    <tableColumn id="3551" xr3:uid="{25D67CB4-344E-4E06-A766-588786460C16}" name="Column3532"/>
    <tableColumn id="3552" xr3:uid="{25ECA098-E604-40D0-9647-686D3DB83E1C}" name="Column3533"/>
    <tableColumn id="3553" xr3:uid="{26C61CDB-9AB9-432A-B3FE-24E90DFCE3AC}" name="Column3534"/>
    <tableColumn id="3554" xr3:uid="{6EC5EAEF-1D54-44A3-924D-0E9422247281}" name="Column3535"/>
    <tableColumn id="3555" xr3:uid="{022EF518-B1D8-49D6-807B-C6317368AA93}" name="Column3536"/>
    <tableColumn id="3556" xr3:uid="{58A706CD-5588-4C41-B9FB-E698347A5065}" name="Column3537"/>
    <tableColumn id="3557" xr3:uid="{F5578560-96F4-4226-86B9-56B1107294BA}" name="Column3538"/>
    <tableColumn id="3558" xr3:uid="{9BABCD6A-C271-4E50-B6B9-40A8B3BB14CE}" name="Column3539"/>
    <tableColumn id="3559" xr3:uid="{E0473DBB-6C4D-4EC7-A83F-F27A9A15A026}" name="Column3540"/>
    <tableColumn id="3560" xr3:uid="{68BD5B59-257D-49E4-A8FE-7E13CAD06135}" name="Column3541"/>
    <tableColumn id="3561" xr3:uid="{4AC79F6D-97A6-4620-99B0-B66B19ABAD3B}" name="Column3542"/>
    <tableColumn id="3562" xr3:uid="{726A83DD-4C61-4DC5-ABD7-0251743AE85E}" name="Column3543"/>
    <tableColumn id="3563" xr3:uid="{BFB907A5-2A1D-4C51-B27C-4E15FF29D08C}" name="Column3544"/>
    <tableColumn id="3564" xr3:uid="{72EFB042-1B3E-4A29-A947-3E0D33B7571C}" name="Column3545"/>
    <tableColumn id="3565" xr3:uid="{4C1F459B-094D-4185-8022-7B37832A996F}" name="Column3546"/>
    <tableColumn id="3566" xr3:uid="{96CA5590-9997-4CBE-AE79-8DFDA47C75B5}" name="Column3547"/>
    <tableColumn id="3567" xr3:uid="{19E53FCA-28C5-454F-B99C-0459100514ED}" name="Column3548"/>
    <tableColumn id="3568" xr3:uid="{B76803F7-D351-4230-BDDC-09E8AD334521}" name="Column3549"/>
    <tableColumn id="3569" xr3:uid="{AB99BCA7-5399-4DFC-B3E6-F596B6639C17}" name="Column3550"/>
    <tableColumn id="3570" xr3:uid="{F44DB76C-253A-4C53-8012-ED30ED0C887A}" name="Column3551"/>
    <tableColumn id="3571" xr3:uid="{7AFAD3E1-9F20-4F41-8D76-29F1DD0F59BC}" name="Column3552"/>
    <tableColumn id="3572" xr3:uid="{B3793D57-D40F-4A43-8031-634ADCCEDD9C}" name="Column3553"/>
    <tableColumn id="3573" xr3:uid="{865857B9-7423-40FD-BC0D-529240361258}" name="Column3554"/>
    <tableColumn id="3574" xr3:uid="{0AF2E510-5CFC-4705-BDC4-50B5A09B8619}" name="Column3555"/>
    <tableColumn id="3575" xr3:uid="{3795B9CC-6C43-440C-BC3C-5AF068CFD1D6}" name="Column3556"/>
    <tableColumn id="3576" xr3:uid="{A48D358E-10ED-4CA8-A025-B735767CC388}" name="Column3557"/>
    <tableColumn id="3577" xr3:uid="{6F09CDDF-9BBB-478B-A266-1A5103B14181}" name="Column3558"/>
    <tableColumn id="3578" xr3:uid="{EE841AC4-D63A-4A74-9065-5CCC2811EF9A}" name="Column3559"/>
    <tableColumn id="3579" xr3:uid="{5571DFA0-E859-4BF8-9E7B-123F575C5013}" name="Column3560"/>
    <tableColumn id="3580" xr3:uid="{83241151-57CB-42FB-982D-8BE6D7DFE293}" name="Column3561"/>
    <tableColumn id="3581" xr3:uid="{2713AD98-F816-48D7-97E2-E258E50194B3}" name="Column3562"/>
    <tableColumn id="3582" xr3:uid="{E9FEAE02-FAF5-44F6-A678-09AAF2006FB2}" name="Column3563"/>
    <tableColumn id="3583" xr3:uid="{1F0A9902-2CD4-46C9-9E55-2AA542CADBD0}" name="Column3564"/>
    <tableColumn id="3584" xr3:uid="{F8816B55-D8BB-4C6A-92D8-A1657881CC2E}" name="Column3565"/>
    <tableColumn id="3585" xr3:uid="{15F6DD60-C24E-410A-9823-EF4A25EA6765}" name="Column3566"/>
    <tableColumn id="3586" xr3:uid="{52869233-3E59-4042-B4BA-0887F59607E4}" name="Column3567"/>
    <tableColumn id="3587" xr3:uid="{F99EB002-C22D-4F4F-B98E-0F7AE0F7087E}" name="Column3568"/>
    <tableColumn id="3588" xr3:uid="{FA7ED3E8-F36A-482A-B1F1-199CDEB57C09}" name="Column3569"/>
    <tableColumn id="3589" xr3:uid="{9C42130E-354A-4977-AA46-DFF15C000A2B}" name="Column3570"/>
    <tableColumn id="3590" xr3:uid="{250D2EF9-0D4E-4FAF-BCFE-3122B5C22748}" name="Column3571"/>
    <tableColumn id="3591" xr3:uid="{1C4EC7CB-1134-4E1C-82CC-7018E09EA147}" name="Column3572"/>
    <tableColumn id="3592" xr3:uid="{E18D2CC2-E120-48B1-89EC-63C6B3C43B5F}" name="Column3573"/>
    <tableColumn id="3593" xr3:uid="{C1851910-FC23-472A-A5B9-402AC6D63BF0}" name="Column3574"/>
    <tableColumn id="3594" xr3:uid="{9498E655-7AEC-4A83-BCEE-92109CEAA7FA}" name="Column3575"/>
    <tableColumn id="3595" xr3:uid="{38106905-4B4E-4E00-B297-17856F2852ED}" name="Column3576"/>
    <tableColumn id="3596" xr3:uid="{7201C97E-6635-4A79-BB51-C1F2837172B6}" name="Column3577"/>
    <tableColumn id="3597" xr3:uid="{F59E2594-3B92-40B5-99CE-F521E74786D2}" name="Column3578"/>
    <tableColumn id="3598" xr3:uid="{7BB1D77E-778F-499C-BB0A-865F39CC0026}" name="Column3579"/>
    <tableColumn id="3599" xr3:uid="{4E44CCD7-0517-41D7-AD07-500307342F14}" name="Column3580"/>
    <tableColumn id="3600" xr3:uid="{75B75C55-FD46-465D-A0B8-8A4725AFBC0F}" name="Column3581"/>
    <tableColumn id="3601" xr3:uid="{FC6176CA-8987-4B9D-A964-0B2A801ED39D}" name="Column3582"/>
    <tableColumn id="3602" xr3:uid="{66CCB5B0-0DDD-4317-A10C-F9B240838C91}" name="Column3583"/>
    <tableColumn id="3603" xr3:uid="{F63B04AD-5A42-41D7-8D0D-C78331AC3334}" name="Column3584"/>
    <tableColumn id="3604" xr3:uid="{80F03BD3-1D19-422A-A592-474D81C8E79D}" name="Column3585"/>
    <tableColumn id="3605" xr3:uid="{59F4680C-E190-4D96-838E-9D5B386C2223}" name="Column3586"/>
    <tableColumn id="3606" xr3:uid="{8846F73F-A70A-4D2C-A0C8-B20A688774EF}" name="Column3587"/>
    <tableColumn id="3607" xr3:uid="{9BAD79E9-9BBF-4BD1-A6C8-BBDE8E81B29A}" name="Column3588"/>
    <tableColumn id="3608" xr3:uid="{1D5B328F-88DB-4FB6-8250-F55F01E0CECE}" name="Column3589"/>
    <tableColumn id="3609" xr3:uid="{8DF04163-6EFB-436B-B9A6-9604384FAB6D}" name="Column3590"/>
    <tableColumn id="3610" xr3:uid="{C3CC6FC5-E21E-4AE5-B802-8FE7226921D9}" name="Column3591"/>
    <tableColumn id="3611" xr3:uid="{CC07F439-8909-4F28-9D7B-34CD269667DC}" name="Column3592"/>
    <tableColumn id="3612" xr3:uid="{0AFFCF8B-0F76-40C8-BADF-FE7388EDA160}" name="Column3593"/>
    <tableColumn id="3613" xr3:uid="{62C8D69A-28E3-4BF7-BE21-30D86F47E6D9}" name="Column3594"/>
    <tableColumn id="3614" xr3:uid="{A782D5EC-5BC2-4AC1-BFAD-42215AA9AA33}" name="Column3595"/>
    <tableColumn id="3615" xr3:uid="{D5D64BBD-8A4A-467A-BDFB-53006CA31EB6}" name="Column3596"/>
    <tableColumn id="3616" xr3:uid="{BA696F46-DFDF-4DF7-92F2-003B74E9DC11}" name="Column3597"/>
    <tableColumn id="3617" xr3:uid="{10E67A92-038A-4D0E-A1A4-7D28AAAC44BB}" name="Column3598"/>
    <tableColumn id="3618" xr3:uid="{DE340858-D4AF-4DF7-A14D-BC143A9A4548}" name="Column3599"/>
    <tableColumn id="3619" xr3:uid="{52DE8B48-00BC-4647-AE62-6CCF18745C68}" name="Column3600"/>
    <tableColumn id="3620" xr3:uid="{0483DB80-ED33-4DFC-B1AA-EB1281557086}" name="Column3601"/>
    <tableColumn id="3621" xr3:uid="{CB738FBD-84D9-40A8-8E97-E1B3E2A3095A}" name="Column3602"/>
    <tableColumn id="3622" xr3:uid="{120950CD-A3BF-416F-BEDC-ED6D9BD92808}" name="Column3603"/>
    <tableColumn id="3623" xr3:uid="{401DFB9C-15AD-47BC-A4AC-6989C50D7D4E}" name="Column3604"/>
    <tableColumn id="3624" xr3:uid="{B83DF499-31D9-45A1-A065-7A1349FA1154}" name="Column3605"/>
    <tableColumn id="3625" xr3:uid="{3BE7B5A5-0D88-4AA3-9B04-2BB533F42A38}" name="Column3606"/>
    <tableColumn id="3626" xr3:uid="{8F98E127-EE89-4894-9F54-E95833BBE12B}" name="Column3607"/>
    <tableColumn id="3627" xr3:uid="{A98E8529-1A77-4F6E-8D7F-AFF4668C009E}" name="Column3608"/>
    <tableColumn id="3628" xr3:uid="{CDD14613-9FF0-419B-A1AA-E62048E9A68C}" name="Column3609"/>
    <tableColumn id="3629" xr3:uid="{8001CDBF-303C-4DD9-B130-3EBA25436C8B}" name="Column3610"/>
    <tableColumn id="3630" xr3:uid="{C5371574-55B4-4780-A8B7-050C3A271DE2}" name="Column3611"/>
    <tableColumn id="3631" xr3:uid="{8DD9703A-7A2E-47E3-B5C6-962E6A34E947}" name="Column3612"/>
    <tableColumn id="3632" xr3:uid="{BEACCC05-1683-4F87-BF1B-82B750920F76}" name="Column3613"/>
    <tableColumn id="3633" xr3:uid="{C9D81555-F978-4842-8FF7-79A6BDE14D16}" name="Column3614"/>
    <tableColumn id="3634" xr3:uid="{3FF78AFD-6A05-4A8C-9BA7-6443FC694ACC}" name="Column3615"/>
    <tableColumn id="3635" xr3:uid="{5F9AC687-352D-4BDB-A2E4-D6E90CD73287}" name="Column3616"/>
    <tableColumn id="3636" xr3:uid="{6F7B79C8-31D0-4729-BFC6-1ACD67255A9F}" name="Column3617"/>
    <tableColumn id="3637" xr3:uid="{E007A556-B8A7-4656-92B1-3778E888F348}" name="Column3618"/>
    <tableColumn id="3638" xr3:uid="{2D784E4C-F959-4C28-8F23-13C45BEF49D0}" name="Column3619"/>
    <tableColumn id="3639" xr3:uid="{EAD097C3-7620-4429-B76C-C4F6CD1C072C}" name="Column3620"/>
    <tableColumn id="3640" xr3:uid="{1BB070D4-C113-4B09-BDF7-0EA3E5840FD5}" name="Column3621"/>
    <tableColumn id="3641" xr3:uid="{856BA927-6BFC-4AFD-BDF7-48E7A2F93BEC}" name="Column3622"/>
    <tableColumn id="3642" xr3:uid="{6B9710CF-DDC9-4819-9827-60D6878BA9D7}" name="Column3623"/>
    <tableColumn id="3643" xr3:uid="{B6E1D4DE-A930-40AE-BCCF-4CDBD2B67481}" name="Column3624"/>
    <tableColumn id="3644" xr3:uid="{BB409185-5A47-427A-960F-33E560D1F3DD}" name="Column3625"/>
    <tableColumn id="3645" xr3:uid="{365634A8-A9E7-43C3-9DBD-E0EEF3F22887}" name="Column3626"/>
    <tableColumn id="3646" xr3:uid="{113FDDD6-B33F-46D4-B617-4EA945126838}" name="Column3627"/>
    <tableColumn id="3647" xr3:uid="{A6787C1B-F04D-4CD0-97B5-C5650CF17390}" name="Column3628"/>
    <tableColumn id="3648" xr3:uid="{52992F16-F7A2-434D-B424-F8D531A973F6}" name="Column3629"/>
    <tableColumn id="3649" xr3:uid="{3D640EC1-7BB0-4696-A372-DC17A10BA129}" name="Column3630"/>
    <tableColumn id="3650" xr3:uid="{B11D3916-14ED-43DD-9625-C7D28F946A6B}" name="Column3631"/>
    <tableColumn id="3651" xr3:uid="{60316FEE-1F1D-44C4-ACB5-5EBED2D30EED}" name="Column3632"/>
    <tableColumn id="3652" xr3:uid="{7C89BFE2-C162-4368-A7F9-A325ED974A37}" name="Column3633"/>
    <tableColumn id="3653" xr3:uid="{52A0898E-19AF-4972-B7DF-A63C15D8427A}" name="Column3634"/>
    <tableColumn id="3654" xr3:uid="{F6BE2903-32D8-4DD5-9B4F-37BC4A278121}" name="Column3635"/>
    <tableColumn id="3655" xr3:uid="{76A1BC99-4320-4566-B6E7-414969894FB7}" name="Column3636"/>
    <tableColumn id="3656" xr3:uid="{F4A98D40-A7D0-4976-891F-CDB741F44ED6}" name="Column3637"/>
    <tableColumn id="3657" xr3:uid="{18428D00-6921-44EB-BC31-F7A8D0E33923}" name="Column3638"/>
    <tableColumn id="3658" xr3:uid="{A81D49FB-E4D7-433A-B498-88B535A0F9B0}" name="Column3639"/>
    <tableColumn id="3659" xr3:uid="{39DA7B5F-D00E-48BE-81E4-BAEBC0A713F4}" name="Column3640"/>
    <tableColumn id="3660" xr3:uid="{EE59C10E-5468-4752-8749-3638C0B9A99A}" name="Column3641"/>
    <tableColumn id="3661" xr3:uid="{AA468108-C072-4B0F-9B37-E754455319F9}" name="Column3642"/>
    <tableColumn id="3662" xr3:uid="{B0A9DCD8-583A-4A7F-9237-7CE37DD586DE}" name="Column3643"/>
    <tableColumn id="3663" xr3:uid="{618EB033-EC6A-437E-8ECE-D1137B775BC9}" name="Column3644"/>
    <tableColumn id="3664" xr3:uid="{EDF1B31E-5885-453F-80A3-0F7EB186F28C}" name="Column3645"/>
    <tableColumn id="3665" xr3:uid="{EA5ECB25-2657-43DF-A355-84BF1B215B2B}" name="Column3646"/>
    <tableColumn id="3666" xr3:uid="{B7D26DB7-91F5-4A5A-B1AC-B8D8AB311E74}" name="Column3647"/>
    <tableColumn id="3667" xr3:uid="{2B59D6E1-C0A0-48CA-A101-29C4D057028C}" name="Column3648"/>
    <tableColumn id="3668" xr3:uid="{9DBED40B-4C3D-4EA7-B8C6-6119917B06CB}" name="Column3649"/>
    <tableColumn id="3669" xr3:uid="{1E0D89BE-99F3-4737-9AD7-26380E8C0C04}" name="Column3650"/>
    <tableColumn id="3670" xr3:uid="{21F46BF3-3F4E-4CA8-A133-33BCA85A678F}" name="Column3651"/>
    <tableColumn id="3671" xr3:uid="{7C40F044-3EEE-45A2-B98C-4C5854213260}" name="Column3652"/>
    <tableColumn id="3672" xr3:uid="{9A1A37EF-1034-45DE-8697-182996AFA526}" name="Column3653"/>
    <tableColumn id="3673" xr3:uid="{A4AC4692-A47E-4FA5-8C09-C411DE3C3F5D}" name="Column3654"/>
    <tableColumn id="3674" xr3:uid="{96EE80C9-AB9B-4098-B29D-C3CC32D208DD}" name="Column3655"/>
    <tableColumn id="3675" xr3:uid="{A6B715F1-59B6-4342-8656-10166EB28C93}" name="Column3656"/>
    <tableColumn id="3676" xr3:uid="{569D08B2-79B3-4778-A4E2-D31F296ED83B}" name="Column3657"/>
    <tableColumn id="3677" xr3:uid="{91D33D6C-7A00-48A6-875E-234403B81398}" name="Column3658"/>
    <tableColumn id="3678" xr3:uid="{5BC86F4A-FA5A-4195-9F40-17635FF55A5D}" name="Column3659"/>
    <tableColumn id="3679" xr3:uid="{84F5EA4C-1383-464E-B868-1D5729725281}" name="Column3660"/>
    <tableColumn id="3680" xr3:uid="{D3707D80-A1DE-465F-B875-544D8DA549AC}" name="Column3661"/>
    <tableColumn id="3681" xr3:uid="{F0890B75-E124-46B9-92C9-C962ADD10BA1}" name="Column3662"/>
    <tableColumn id="3682" xr3:uid="{ACE44124-4C05-43DC-A379-7E9557AA3240}" name="Column3663"/>
    <tableColumn id="3683" xr3:uid="{6E069C56-01FB-4D5B-ACF5-90BFF4F45038}" name="Column3664"/>
    <tableColumn id="3684" xr3:uid="{07E74B77-3516-41D3-88C7-E83F50E78C43}" name="Column3665"/>
    <tableColumn id="3685" xr3:uid="{5052FB0F-E8B4-49CA-AB1F-5E5426C7B604}" name="Column3666"/>
    <tableColumn id="3686" xr3:uid="{622A62D7-4712-441A-80E2-B7CD2E54DD56}" name="Column3667"/>
    <tableColumn id="3687" xr3:uid="{365F118E-1610-4328-B5CB-B556828BBF14}" name="Column3668"/>
    <tableColumn id="3688" xr3:uid="{3F4D642B-8278-424B-B298-05CC951C9BE4}" name="Column3669"/>
    <tableColumn id="3689" xr3:uid="{828B1D14-68C8-46F0-9580-AB9A66EB907D}" name="Column3670"/>
    <tableColumn id="3690" xr3:uid="{7E9F5B90-A915-47A3-AF3A-29D0821C98AD}" name="Column3671"/>
    <tableColumn id="3691" xr3:uid="{0C6AEE45-4A97-409D-B2C2-72B1DAA1538C}" name="Column3672"/>
    <tableColumn id="3692" xr3:uid="{47F4820C-914C-4161-8E5A-30280E96DC62}" name="Column3673"/>
    <tableColumn id="3693" xr3:uid="{1B39D053-493E-4182-AFA3-80B0D8F365C9}" name="Column3674"/>
    <tableColumn id="3694" xr3:uid="{990D4209-D4B6-468F-8B35-43011F38CE23}" name="Column3675"/>
    <tableColumn id="3695" xr3:uid="{AA8B62A1-7165-48F6-B8A0-18CA2783B1CB}" name="Column3676"/>
    <tableColumn id="3696" xr3:uid="{41B64878-91CB-4546-9A98-A8C60E9D720A}" name="Column3677"/>
    <tableColumn id="3697" xr3:uid="{E2165EAB-060B-4BBC-8418-5A19478082C1}" name="Column3678"/>
    <tableColumn id="3698" xr3:uid="{F0610326-850A-465C-B224-10F8B43B1CD9}" name="Column3679"/>
    <tableColumn id="3699" xr3:uid="{FD6B167E-3565-44D1-8D95-DE412ABD5099}" name="Column3680"/>
    <tableColumn id="3700" xr3:uid="{F9EA938C-E21C-4FEF-85B7-92E69BD94E89}" name="Column3681"/>
    <tableColumn id="3701" xr3:uid="{7F449E38-5DCA-4832-B360-D46BBA1DFC13}" name="Column3682"/>
    <tableColumn id="3702" xr3:uid="{A3BD66C0-B1CE-43A3-BF49-B43E2A7AC84C}" name="Column3683"/>
    <tableColumn id="3703" xr3:uid="{81AAD041-F70A-4D60-98B0-0CE6ECE8FB31}" name="Column3684"/>
    <tableColumn id="3704" xr3:uid="{2849527B-938E-41E4-940F-7BCC1BB17DCA}" name="Column3685"/>
    <tableColumn id="3705" xr3:uid="{E219D7B3-95CD-4FC2-95E6-A445E4C786CD}" name="Column3686"/>
    <tableColumn id="3706" xr3:uid="{62B6B6C1-85C8-451E-B569-FC8B599734CA}" name="Column3687"/>
    <tableColumn id="3707" xr3:uid="{D3445205-3C78-43C5-B3C1-AADC948AF9A9}" name="Column3688"/>
    <tableColumn id="3708" xr3:uid="{E450717B-466F-47F4-834D-753D42151945}" name="Column3689"/>
    <tableColumn id="3709" xr3:uid="{9EA29810-E6F7-4744-92C5-A90AEB187045}" name="Column3690"/>
    <tableColumn id="3710" xr3:uid="{38B70B5C-7685-4CBE-8FB5-B33437CCD188}" name="Column3691"/>
    <tableColumn id="3711" xr3:uid="{E4E226ED-2CFA-484F-9C79-A4A401DAB71A}" name="Column3692"/>
    <tableColumn id="3712" xr3:uid="{866B46D7-7E85-49A2-844A-CDBE7C004F09}" name="Column3693"/>
    <tableColumn id="3713" xr3:uid="{3FFF88CA-C535-46CD-8F3D-540E0A9FB088}" name="Column3694"/>
    <tableColumn id="3714" xr3:uid="{358FA5FB-0073-463E-9BA8-2188AF742158}" name="Column3695"/>
    <tableColumn id="3715" xr3:uid="{B4574B34-0ED0-41FF-84B3-3B0B578DEEE6}" name="Column3696"/>
    <tableColumn id="3716" xr3:uid="{4C5A5591-DD24-41F2-9FFA-CDE9F760D53E}" name="Column3697"/>
    <tableColumn id="3717" xr3:uid="{DC927B00-5976-4A74-A6C4-A02F51443475}" name="Column3698"/>
    <tableColumn id="3718" xr3:uid="{8C438B0D-08EF-4970-8F8A-7758437D93DC}" name="Column3699"/>
    <tableColumn id="3719" xr3:uid="{FFFC584E-7B0F-47EA-B211-2F8A89182A38}" name="Column3700"/>
    <tableColumn id="3720" xr3:uid="{6706C5A1-F806-4831-8310-2A0927AFC577}" name="Column3701"/>
    <tableColumn id="3721" xr3:uid="{1A0C06DF-D38B-44E1-A9B7-017CB4914DA7}" name="Column3702"/>
    <tableColumn id="3722" xr3:uid="{9819316D-AEF4-4C9A-96BC-A8DB2A849404}" name="Column3703"/>
    <tableColumn id="3723" xr3:uid="{6E5E7029-625B-481E-B8BD-0E5878DAD5A7}" name="Column3704"/>
    <tableColumn id="3724" xr3:uid="{8F37A169-BE41-4852-A2DA-7D6F04FF2804}" name="Column3705"/>
    <tableColumn id="3725" xr3:uid="{DFBC5934-1ED1-4142-901C-3CFC62D4626F}" name="Column3706"/>
    <tableColumn id="3726" xr3:uid="{93BC5A3F-A731-455F-A88A-2665DBDF534F}" name="Column3707"/>
    <tableColumn id="3727" xr3:uid="{83F05497-6576-4566-85DC-1C61C41CC945}" name="Column3708"/>
    <tableColumn id="3728" xr3:uid="{52E5DBA4-22F9-482C-B8BB-4CC3A9C49D25}" name="Column3709"/>
    <tableColumn id="3729" xr3:uid="{0364DE25-6955-4CEB-AFEC-7E199E66169F}" name="Column3710"/>
    <tableColumn id="3730" xr3:uid="{E5D14F05-032F-45A1-9FAB-24112CF4B3D2}" name="Column3711"/>
    <tableColumn id="3731" xr3:uid="{02B029B3-F4C0-478A-BDDB-6ED20C34F827}" name="Column3712"/>
    <tableColumn id="3732" xr3:uid="{63A8F59B-C09F-4A7F-9359-6A7C53FAC763}" name="Column3713"/>
    <tableColumn id="3733" xr3:uid="{BB4D7FEA-D66C-4162-BCD1-3051378EB760}" name="Column3714"/>
    <tableColumn id="3734" xr3:uid="{7677811F-E5E1-4FA9-96EA-A64551FFCABB}" name="Column3715"/>
    <tableColumn id="3735" xr3:uid="{98D6CC14-7B98-4F56-B6D0-043B3BA15F58}" name="Column3716"/>
    <tableColumn id="3736" xr3:uid="{3F6CF780-C8FE-429B-9615-5E5B58B0A6F1}" name="Column3717"/>
    <tableColumn id="3737" xr3:uid="{498783AA-CD3A-44E8-A8CC-D50601F49ABC}" name="Column3718"/>
    <tableColumn id="3738" xr3:uid="{CAADF973-2EB8-406D-AF35-55CAF92BA1EA}" name="Column3719"/>
    <tableColumn id="3739" xr3:uid="{D7F08116-C6FB-49F3-A803-CD1684C1C502}" name="Column3720"/>
    <tableColumn id="3740" xr3:uid="{FA96B4DE-D5F8-4F94-8830-9409A1307042}" name="Column3721"/>
    <tableColumn id="3741" xr3:uid="{04695FD4-2A4D-4798-B3AB-74E96FD4D67C}" name="Column3722"/>
    <tableColumn id="3742" xr3:uid="{E56E61AB-AFF5-464F-B07C-24489F31ED07}" name="Column3723"/>
    <tableColumn id="3743" xr3:uid="{BC363A37-4E80-45A1-8D6A-BC1F5A85123B}" name="Column3724"/>
    <tableColumn id="3744" xr3:uid="{BDA7085A-68AD-4B24-8346-3D7A586EFAEC}" name="Column3725"/>
    <tableColumn id="3745" xr3:uid="{B42D1F1D-471E-4C2B-94EF-D712D3DFB5EC}" name="Column3726"/>
    <tableColumn id="3746" xr3:uid="{5C48575D-5719-4B3D-ABBD-18899E7C8C6A}" name="Column3727"/>
    <tableColumn id="3747" xr3:uid="{EFD6DCFF-C6C1-4888-98A6-D1F46C272B2B}" name="Column3728"/>
    <tableColumn id="3748" xr3:uid="{BF6A6911-E5C0-48DD-BB1B-FAF8C7761B2C}" name="Column3729"/>
    <tableColumn id="3749" xr3:uid="{2188251B-DA24-4992-A657-101F5E495393}" name="Column3730"/>
    <tableColumn id="3750" xr3:uid="{B11C1B5D-6393-4DEC-BEE9-CA9E7627AC58}" name="Column3731"/>
    <tableColumn id="3751" xr3:uid="{E941B677-A024-464A-BD79-FBA175B44E25}" name="Column3732"/>
    <tableColumn id="3752" xr3:uid="{AFE987D4-C3B0-4194-9EA3-EB246A570AB5}" name="Column3733"/>
    <tableColumn id="3753" xr3:uid="{8389EC93-E7D6-404E-8FC2-FCEE25107DB3}" name="Column3734"/>
    <tableColumn id="3754" xr3:uid="{F6B66E9C-E5C4-467E-A940-2F02BC0AF659}" name="Column3735"/>
    <tableColumn id="3755" xr3:uid="{E7EC2A38-D89D-4ED6-8EB3-2B7E91DE7700}" name="Column3736"/>
    <tableColumn id="3756" xr3:uid="{F1D09F68-71AB-475A-B3C8-8F1FB911B56A}" name="Column3737"/>
    <tableColumn id="3757" xr3:uid="{D7021D4B-B2EA-4FCB-A805-607211CB0DDA}" name="Column3738"/>
    <tableColumn id="3758" xr3:uid="{56346727-F8BC-46AE-B399-F383B1700A0F}" name="Column3739"/>
    <tableColumn id="3759" xr3:uid="{3BE8CC5C-3954-43DC-97CA-29EE0BE70DAE}" name="Column3740"/>
    <tableColumn id="3760" xr3:uid="{032B8C5B-4E6E-4AD9-9B41-7CC483E4A1CE}" name="Column3741"/>
    <tableColumn id="3761" xr3:uid="{54E0C1DE-16F3-4BD9-B0DF-996D4FB30515}" name="Column3742"/>
    <tableColumn id="3762" xr3:uid="{56DC7856-3308-41B2-98C3-D2D0A939FBF8}" name="Column3743"/>
    <tableColumn id="3763" xr3:uid="{079CCD28-A020-47C3-95B2-3045F5E2B1AD}" name="Column3744"/>
    <tableColumn id="3764" xr3:uid="{2E5035F1-B4DC-4329-AC82-29B17E8BDCBA}" name="Column3745"/>
    <tableColumn id="3765" xr3:uid="{F673141A-DF5F-45E0-9266-2283D6F8E0EA}" name="Column3746"/>
    <tableColumn id="3766" xr3:uid="{1664B783-444B-4312-8DD1-6C36E242BDAF}" name="Column3747"/>
    <tableColumn id="3767" xr3:uid="{260165AF-73FE-46B4-AAD7-EE38CE9CC730}" name="Column3748"/>
    <tableColumn id="3768" xr3:uid="{B761374E-95F7-475E-B6C2-489BDA63D233}" name="Column3749"/>
    <tableColumn id="3769" xr3:uid="{79AE93A0-43CA-4266-99FB-4D6077AF8AC3}" name="Column3750"/>
    <tableColumn id="3770" xr3:uid="{497ACA8C-9A90-4004-9C68-AAF70A5E6D8C}" name="Column3751"/>
    <tableColumn id="3771" xr3:uid="{23D456EB-DBF2-407F-9319-5DF471D03A35}" name="Column3752"/>
    <tableColumn id="3772" xr3:uid="{97BA1E4D-8A32-4546-8F95-C29195379522}" name="Column3753"/>
    <tableColumn id="3773" xr3:uid="{5E29A58F-8AC6-433A-9B5E-9B76761148BA}" name="Column3754"/>
    <tableColumn id="3774" xr3:uid="{56EBC2AB-D9A5-40B0-91BB-F51FDAF2E8E8}" name="Column3755"/>
    <tableColumn id="3775" xr3:uid="{1F833375-6396-447A-85B1-7ED3B6159C44}" name="Column3756"/>
    <tableColumn id="3776" xr3:uid="{C491382B-F2EA-43E5-B61D-09F30ECCECEB}" name="Column3757"/>
    <tableColumn id="3777" xr3:uid="{06FAE040-FEB2-4039-BE07-DE51426CCFAB}" name="Column3758"/>
    <tableColumn id="3778" xr3:uid="{59106A07-9E1F-4BDE-833D-4FEF062D7E6D}" name="Column3759"/>
    <tableColumn id="3779" xr3:uid="{A479DB0A-A9E9-4B9C-863A-0F4D32D6F23D}" name="Column3760"/>
    <tableColumn id="3780" xr3:uid="{CB983D89-D51F-4D0A-9F3F-62D01552695D}" name="Column3761"/>
    <tableColumn id="3781" xr3:uid="{70B0925B-1A50-4287-9991-AEA74F16D6CA}" name="Column3762"/>
    <tableColumn id="3782" xr3:uid="{AD4008E8-B728-40B3-9618-E5E24D236F6D}" name="Column3763"/>
    <tableColumn id="3783" xr3:uid="{C1D6E802-4319-4CCD-938D-2898737E4BEE}" name="Column3764"/>
    <tableColumn id="3784" xr3:uid="{99722E68-6637-4126-9619-EA3685CE5C71}" name="Column3765"/>
    <tableColumn id="3785" xr3:uid="{998ABE62-24CE-44DA-9E1F-A66D25986C8D}" name="Column3766"/>
    <tableColumn id="3786" xr3:uid="{09B99509-81A1-442D-9F52-F7D9316C4A78}" name="Column3767"/>
    <tableColumn id="3787" xr3:uid="{35C61883-4914-4C50-8E8C-49BFC788C220}" name="Column3768"/>
    <tableColumn id="3788" xr3:uid="{E9318F64-8E85-456A-BA96-3C340CD08853}" name="Column3769"/>
    <tableColumn id="3789" xr3:uid="{E5450383-576D-4740-995F-9300B4BE74AF}" name="Column3770"/>
    <tableColumn id="3790" xr3:uid="{4B6F3B9E-DCC0-4944-82B3-EE0E6AE1FF21}" name="Column3771"/>
    <tableColumn id="3791" xr3:uid="{23052E44-3444-4F0D-AAD3-B3DB54368DE6}" name="Column3772"/>
    <tableColumn id="3792" xr3:uid="{F051D9C7-548D-4F3A-AC88-164B4ADEE5F2}" name="Column3773"/>
    <tableColumn id="3793" xr3:uid="{DBB1F129-7B32-4C2F-80FB-5CE384294BCF}" name="Column3774"/>
    <tableColumn id="3794" xr3:uid="{305A8791-2AE8-473F-9D60-2E4A34C45E69}" name="Column3775"/>
    <tableColumn id="3795" xr3:uid="{BC5F8B2D-AB51-4F76-94B9-76B79E9FBE00}" name="Column3776"/>
    <tableColumn id="3796" xr3:uid="{0DC8EDF6-F6F5-418B-B369-1D6F94750371}" name="Column3777"/>
    <tableColumn id="3797" xr3:uid="{B29DA355-7DF6-4251-8FCD-718F85D47676}" name="Column3778"/>
    <tableColumn id="3798" xr3:uid="{55DDB7CF-EE21-437C-BC3C-5D99A4FDEB2C}" name="Column3779"/>
    <tableColumn id="3799" xr3:uid="{BC064E30-56AB-4936-92F2-C5D1A211836E}" name="Column3780"/>
    <tableColumn id="3800" xr3:uid="{94D9FE13-9256-4983-B60D-6756F61EB3D3}" name="Column3781"/>
    <tableColumn id="3801" xr3:uid="{77E9B228-5923-4DF1-B93A-62CC8A751EA1}" name="Column3782"/>
    <tableColumn id="3802" xr3:uid="{6404FA34-E617-453B-9A7E-11476FD15749}" name="Column3783"/>
    <tableColumn id="3803" xr3:uid="{73E27741-12D7-48FF-B8EB-3644C8A71224}" name="Column3784"/>
    <tableColumn id="3804" xr3:uid="{7BA309FB-1F78-49F6-BFED-FB2B8AC8B8A6}" name="Column3785"/>
    <tableColumn id="3805" xr3:uid="{011A793A-FCCD-4BE5-B070-BC55B1D601EF}" name="Column3786"/>
    <tableColumn id="3806" xr3:uid="{5DFC57EA-2E72-485A-9483-041195E3E61C}" name="Column3787"/>
    <tableColumn id="3807" xr3:uid="{97213A98-F330-42C4-9ABE-82164FF7548B}" name="Column3788"/>
    <tableColumn id="3808" xr3:uid="{87767A62-5443-4502-A350-322E07E2E06D}" name="Column3789"/>
    <tableColumn id="3809" xr3:uid="{33AEC0D9-9478-4BD8-A2B0-98040CC63D5A}" name="Column3790"/>
    <tableColumn id="3810" xr3:uid="{864BB4E9-FDF0-4EED-9314-583FB99CF627}" name="Column3791"/>
    <tableColumn id="3811" xr3:uid="{6023A70D-15E8-483D-8549-908DFB1E3758}" name="Column3792"/>
    <tableColumn id="3812" xr3:uid="{03CB1174-7488-4631-AA14-46777085DF71}" name="Column3793"/>
    <tableColumn id="3813" xr3:uid="{663B8C94-06CF-4C4F-9AA3-0FBBB1D32B7B}" name="Column3794"/>
    <tableColumn id="3814" xr3:uid="{6BEC0B17-4F3B-44AD-ADD0-4AA68762F597}" name="Column3795"/>
    <tableColumn id="3815" xr3:uid="{EAA576AF-2FF2-4350-A940-46A4EAF99405}" name="Column3796"/>
    <tableColumn id="3816" xr3:uid="{DC26819A-E92D-42EA-815E-63904857A307}" name="Column3797"/>
    <tableColumn id="3817" xr3:uid="{E4EB01A3-5A2B-4F00-B82F-854A707793EB}" name="Column3798"/>
    <tableColumn id="3818" xr3:uid="{48512A70-7C94-4297-915D-4BA25D9CDF83}" name="Column3799"/>
    <tableColumn id="3819" xr3:uid="{F9447B76-3D4F-4434-AA53-3CAA6EE3446C}" name="Column3800"/>
    <tableColumn id="3820" xr3:uid="{5434B0D3-55CC-43F0-85B8-B9AB4A36065D}" name="Column3801"/>
    <tableColumn id="3821" xr3:uid="{58195F4A-C9EE-4994-8633-4EAADED8A534}" name="Column3802"/>
    <tableColumn id="3822" xr3:uid="{19DA491F-D41D-49BF-8C2B-A7452F9EE186}" name="Column3803"/>
    <tableColumn id="3823" xr3:uid="{053C3C59-11A8-48DA-9EE5-951F55806570}" name="Column3804"/>
    <tableColumn id="3824" xr3:uid="{7C72BC96-DB0C-4067-88E1-06600B9B8243}" name="Column3805"/>
    <tableColumn id="3825" xr3:uid="{896E6958-33EB-4DD0-B0F1-410B3CC865A0}" name="Column3806"/>
    <tableColumn id="3826" xr3:uid="{32C75581-3F21-499B-9F29-3877B3D55362}" name="Column3807"/>
    <tableColumn id="3827" xr3:uid="{17A64064-09E1-42E2-A91A-3EF0838081C7}" name="Column3808"/>
    <tableColumn id="3828" xr3:uid="{14AF2BF9-AC6D-4E6A-A0F1-5E70A47223D3}" name="Column3809"/>
    <tableColumn id="3829" xr3:uid="{ABFAA5AD-9920-4A1A-90DE-78615F97509B}" name="Column3810"/>
    <tableColumn id="3830" xr3:uid="{54DFF654-823A-40C9-A501-DCE09F70C747}" name="Column3811"/>
    <tableColumn id="3831" xr3:uid="{42888A1B-09EC-495F-85FC-08CE316701E4}" name="Column3812"/>
    <tableColumn id="3832" xr3:uid="{C60F8749-CDFD-4A84-B765-56CAA184C4C5}" name="Column3813"/>
    <tableColumn id="3833" xr3:uid="{BD95912C-1DEF-47FF-B288-F6774B51210D}" name="Column3814"/>
    <tableColumn id="3834" xr3:uid="{34A98A47-8425-4207-89A6-DD94F6680E39}" name="Column3815"/>
    <tableColumn id="3835" xr3:uid="{98D3D6DB-0514-43DA-8703-DCE529C8F071}" name="Column3816"/>
    <tableColumn id="3836" xr3:uid="{6A5FAD96-700A-45C6-8D4D-799696823A6E}" name="Column3817"/>
    <tableColumn id="3837" xr3:uid="{666BD4D0-61F1-4879-88D6-9E40A81E30E8}" name="Column3818"/>
    <tableColumn id="3838" xr3:uid="{A1286E4F-7F77-4A68-92CE-AE1A5B3F07EB}" name="Column3819"/>
    <tableColumn id="3839" xr3:uid="{F199D656-3245-4939-8491-02A76D6B0487}" name="Column3820"/>
    <tableColumn id="3840" xr3:uid="{866D97B8-EFEC-471D-957E-18E62F66F986}" name="Column3821"/>
    <tableColumn id="3841" xr3:uid="{99FDE12E-C836-4882-BBA2-B7C271BE0CB6}" name="Column3822"/>
    <tableColumn id="3842" xr3:uid="{C10CD406-E63E-4BD7-AF81-021B95B9E99B}" name="Column3823"/>
    <tableColumn id="3843" xr3:uid="{15110D2E-FD99-4CBD-92C1-461F21DA392B}" name="Column3824"/>
    <tableColumn id="3844" xr3:uid="{C24B1E50-0C6A-418F-AABD-D6C2AC0F8C86}" name="Column3825"/>
    <tableColumn id="3845" xr3:uid="{58B73007-E63A-44F8-B386-A5FD83F17B16}" name="Column3826"/>
    <tableColumn id="3846" xr3:uid="{811B64BF-1B5B-4467-A787-C702630FC9A1}" name="Column3827"/>
    <tableColumn id="3847" xr3:uid="{8D021771-D01B-4B0B-B710-4A5F7263E5A0}" name="Column3828"/>
    <tableColumn id="3848" xr3:uid="{83FD368C-94F1-4413-A00D-530C5DAA3E27}" name="Column3829"/>
    <tableColumn id="3849" xr3:uid="{4BF1931F-D42B-467E-BD14-0882BB3810DD}" name="Column3830"/>
    <tableColumn id="3850" xr3:uid="{3B5EFEC2-F7A2-4A0A-B540-AEDB5B6F9407}" name="Column3831"/>
    <tableColumn id="3851" xr3:uid="{85AA3062-B06A-47CC-9E25-EF6E7F2C1E63}" name="Column3832"/>
    <tableColumn id="3852" xr3:uid="{5E627D0E-6BFB-4726-88D5-6A37451A5DBB}" name="Column3833"/>
    <tableColumn id="3853" xr3:uid="{43D5A746-5D33-4C6E-A08C-D27845B76787}" name="Column3834"/>
    <tableColumn id="3854" xr3:uid="{4AA4B540-8191-497F-890F-34F5AA6AC6B3}" name="Column3835"/>
    <tableColumn id="3855" xr3:uid="{BD6AE805-0180-4DB5-9E06-9FF906AAFC0E}" name="Column3836"/>
    <tableColumn id="3856" xr3:uid="{BB79DA3F-1A1F-4994-A940-89932C7E59C8}" name="Column3837"/>
    <tableColumn id="3857" xr3:uid="{BD5BAEA2-00F0-454E-BBDE-E9FA2B1842DF}" name="Column3838"/>
    <tableColumn id="3858" xr3:uid="{315D5212-EDF0-43A6-AE8F-F3B9B3069848}" name="Column3839"/>
    <tableColumn id="3859" xr3:uid="{9547590C-172B-404D-B549-D7EBD585BFB7}" name="Column3840"/>
    <tableColumn id="3860" xr3:uid="{F969BD74-84CA-424B-9E32-2608CF4A08FD}" name="Column3841"/>
    <tableColumn id="3861" xr3:uid="{816C6AD8-5C89-4528-A94C-68A91FE47B5C}" name="Column3842"/>
    <tableColumn id="3862" xr3:uid="{2F968CB1-F8D3-4F66-A09C-33AE25CEFBC8}" name="Column3843"/>
    <tableColumn id="3863" xr3:uid="{9254A4E3-9F3F-44E8-8642-DD21FFC30FB3}" name="Column3844"/>
    <tableColumn id="3864" xr3:uid="{C33822A5-75CB-4565-8132-05EE8B377B00}" name="Column3845"/>
    <tableColumn id="3865" xr3:uid="{76102B7D-FEF8-4A0E-9E8B-6D1ED55552EE}" name="Column3846"/>
    <tableColumn id="3866" xr3:uid="{ADC9D9B2-4CB5-4E0C-B571-E88ADE006FF5}" name="Column3847"/>
    <tableColumn id="3867" xr3:uid="{982465C4-2109-48D5-BD08-618DE082E8E9}" name="Column3848"/>
    <tableColumn id="3868" xr3:uid="{43863514-43C3-40C5-9E6D-4A2BFE738023}" name="Column3849"/>
    <tableColumn id="3869" xr3:uid="{252FE010-A9D0-49AA-A483-8D8BE1ED4915}" name="Column3850"/>
    <tableColumn id="3870" xr3:uid="{7EA12C81-F079-486B-9B84-BDFE5A7BF2A4}" name="Column3851"/>
    <tableColumn id="3871" xr3:uid="{EA4F9205-AD1B-48D7-A3B1-2D2A9076919E}" name="Column3852"/>
    <tableColumn id="3872" xr3:uid="{95D8BBA5-BAF2-47B8-A1D0-3783EF8C8C43}" name="Column3853"/>
    <tableColumn id="3873" xr3:uid="{6E125132-F878-4DBB-83DF-BB275219B5CC}" name="Column3854"/>
    <tableColumn id="3874" xr3:uid="{512E2209-1CF8-45E7-BECA-AAFF1B8394E2}" name="Column3855"/>
    <tableColumn id="3875" xr3:uid="{105BAF51-3D1C-44E9-B11B-F7E9F8263FC9}" name="Column3856"/>
    <tableColumn id="3876" xr3:uid="{766388C9-BBE8-4330-9C52-8818E005B323}" name="Column3857"/>
    <tableColumn id="3877" xr3:uid="{1C394650-C15E-4358-B0F8-642EEBA47426}" name="Column3858"/>
    <tableColumn id="3878" xr3:uid="{861CE084-AA86-4F9E-B4CB-A7719040768E}" name="Column3859"/>
    <tableColumn id="3879" xr3:uid="{0D492BD2-2AA7-4B68-ACFA-6E4C84A0C1D9}" name="Column3860"/>
    <tableColumn id="3880" xr3:uid="{8951200E-58E4-4CA4-BE09-EAD1F4C430CC}" name="Column3861"/>
    <tableColumn id="3881" xr3:uid="{7501C147-F8BE-4044-83B4-F814487BD61D}" name="Column3862"/>
    <tableColumn id="3882" xr3:uid="{DECA4589-06A8-4F08-8F68-C88C69C3F844}" name="Column3863"/>
    <tableColumn id="3883" xr3:uid="{B340E1A0-973E-4622-AB2B-D094FBDBA236}" name="Column3864"/>
    <tableColumn id="3884" xr3:uid="{B7546404-FD30-490B-84C3-2D1538AD940B}" name="Column3865"/>
    <tableColumn id="3885" xr3:uid="{7268FA4E-8B5E-4D5B-BA40-F80FF79DD864}" name="Column3866"/>
    <tableColumn id="3886" xr3:uid="{05DCDC5C-CE00-428E-9927-69105BD93B89}" name="Column3867"/>
    <tableColumn id="3887" xr3:uid="{FFBBFF78-C7E5-4E4B-9118-9F316950C7CB}" name="Column3868"/>
    <tableColumn id="3888" xr3:uid="{9B22B2CB-0FA9-4F2C-BA4F-70709122E163}" name="Column3869"/>
    <tableColumn id="3889" xr3:uid="{C8B84816-D368-45BE-B675-4178227E9330}" name="Column3870"/>
    <tableColumn id="3890" xr3:uid="{ED59C2DE-CB31-4991-8A06-FE34343319E3}" name="Column3871"/>
    <tableColumn id="3891" xr3:uid="{D87E94D9-CE2D-4309-8385-E4B7A7834E42}" name="Column3872"/>
    <tableColumn id="3892" xr3:uid="{8EB751D5-D3B6-4883-9D12-68FE59C0D28A}" name="Column3873"/>
    <tableColumn id="3893" xr3:uid="{2AE91E45-5BEF-480E-A53D-C815B2DE219C}" name="Column3874"/>
    <tableColumn id="3894" xr3:uid="{5EDAF906-3821-4E23-AF55-9F2B5FE86391}" name="Column3875"/>
    <tableColumn id="3895" xr3:uid="{DDCF49D6-8674-48D3-8396-19E3B08DFBFA}" name="Column3876"/>
    <tableColumn id="3896" xr3:uid="{872BA244-F846-4608-BD26-B88B012E51E6}" name="Column3877"/>
    <tableColumn id="3897" xr3:uid="{3FFD2633-854A-45E2-BEBC-5F76F6978F6A}" name="Column3878"/>
    <tableColumn id="3898" xr3:uid="{90E25B09-A128-4438-8D0C-3E20EC0B12EE}" name="Column3879"/>
    <tableColumn id="3899" xr3:uid="{BC21FD93-69F7-449A-AD93-415817834C46}" name="Column3880"/>
    <tableColumn id="3900" xr3:uid="{DC32ECD9-08B9-498E-98A2-7D113073B989}" name="Column3881"/>
    <tableColumn id="3901" xr3:uid="{3EFF85B3-F6CA-42AD-A21B-A25526505F54}" name="Column3882"/>
    <tableColumn id="3902" xr3:uid="{725E9FC4-753C-4574-A694-C90D0E4E5FFB}" name="Column3883"/>
    <tableColumn id="3903" xr3:uid="{88587CC3-8E52-4D3F-84B9-0CB73BB384E6}" name="Column3884"/>
    <tableColumn id="3904" xr3:uid="{007DBF07-359D-47B0-A9E6-623820FED980}" name="Column3885"/>
    <tableColumn id="3905" xr3:uid="{419F1328-90CB-4DDF-B7D7-D730449C636E}" name="Column3886"/>
    <tableColumn id="3906" xr3:uid="{44529F39-E053-4D1C-9C5C-C713ED1C4549}" name="Column3887"/>
    <tableColumn id="3907" xr3:uid="{E9D7351F-BE33-472C-AA7A-EA77DA0962BF}" name="Column3888"/>
    <tableColumn id="3908" xr3:uid="{5E3E0B03-06C9-47CF-9AF4-71383DDE3E7D}" name="Column3889"/>
    <tableColumn id="3909" xr3:uid="{99FDE5E4-F3F5-406E-B406-3E27706F24A4}" name="Column3890"/>
    <tableColumn id="3910" xr3:uid="{87D2FAB6-35C4-4B04-AFCA-D0A26AFD86E6}" name="Column3891"/>
    <tableColumn id="3911" xr3:uid="{EFEBE56D-8DC4-405F-95D9-A52F6EBD68AD}" name="Column3892"/>
    <tableColumn id="3912" xr3:uid="{A5136423-ED4F-4A3A-B255-9A8387ACCDAA}" name="Column3893"/>
    <tableColumn id="3913" xr3:uid="{8D76E3C7-541D-45B1-AAE7-630541AF240D}" name="Column3894"/>
    <tableColumn id="3914" xr3:uid="{576F7C9A-D7DA-417A-BB2D-4571426F7B73}" name="Column3895"/>
    <tableColumn id="3915" xr3:uid="{199764EE-E7FC-4D45-8467-CB8FD58E17AF}" name="Column3896"/>
    <tableColumn id="3916" xr3:uid="{E37A4773-CB4A-4B9E-9F30-132C64C02737}" name="Column3897"/>
    <tableColumn id="3917" xr3:uid="{9B027757-B7CA-4C54-8E51-32B08EAC8CD1}" name="Column3898"/>
    <tableColumn id="3918" xr3:uid="{761149FF-0689-43E5-AAE2-065379F216C3}" name="Column3899"/>
    <tableColumn id="3919" xr3:uid="{78AE714F-4E91-41EF-8B5B-E3F62DD24EAE}" name="Column3900"/>
    <tableColumn id="3920" xr3:uid="{9F781976-BCDA-412B-BF52-21C45B837603}" name="Column3901"/>
    <tableColumn id="3921" xr3:uid="{8B4DA295-909C-4876-82B0-54F3B88DDB43}" name="Column3902"/>
    <tableColumn id="3922" xr3:uid="{6B67F839-87B2-443D-84CB-7C4A27038EEA}" name="Column3903"/>
    <tableColumn id="3923" xr3:uid="{49CF2AF0-CF89-4AFE-B770-F01A65A310D8}" name="Column3904"/>
    <tableColumn id="3924" xr3:uid="{519DF334-9F00-4E3D-AC9B-A35AB5A9342C}" name="Column3905"/>
    <tableColumn id="3925" xr3:uid="{45027D18-95FD-4D06-AF81-7A4E5DA8ADA8}" name="Column3906"/>
    <tableColumn id="3926" xr3:uid="{1B5D74D8-EF0A-4824-9A4C-4FF97417B696}" name="Column3907"/>
    <tableColumn id="3927" xr3:uid="{235CD3E4-E89F-44FA-8967-4E68774510FA}" name="Column3908"/>
    <tableColumn id="3928" xr3:uid="{EB42AA76-94F2-421D-BC35-ECB41742C376}" name="Column3909"/>
    <tableColumn id="3929" xr3:uid="{A2DB686B-D760-43AC-BE13-7F3FCD595D42}" name="Column3910"/>
    <tableColumn id="3930" xr3:uid="{C66047AB-E40B-41E3-B0FA-FE41A32EAA0F}" name="Column3911"/>
    <tableColumn id="3931" xr3:uid="{C02D6279-1546-42D6-8FA2-53B0A86FB28F}" name="Column3912"/>
    <tableColumn id="3932" xr3:uid="{210DD5D9-DE57-4C6B-8E71-BAF6097AB0D8}" name="Column3913"/>
    <tableColumn id="3933" xr3:uid="{A10FE797-A474-489F-B420-62774467192F}" name="Column3914"/>
    <tableColumn id="3934" xr3:uid="{AF354627-8445-4420-AF5F-ECDBEB46FA99}" name="Column3915"/>
    <tableColumn id="3935" xr3:uid="{9017F1B6-5D1C-419C-BB3D-D01302C11F78}" name="Column3916"/>
    <tableColumn id="3936" xr3:uid="{0FB705B9-EF9F-4A28-8B53-4F2A0475EF57}" name="Column3917"/>
    <tableColumn id="3937" xr3:uid="{20A7034A-DEFB-489C-BDAB-64FFCB251FED}" name="Column3918"/>
    <tableColumn id="3938" xr3:uid="{7BA642E0-E04E-4C4F-9C00-2580F7410C41}" name="Column3919"/>
    <tableColumn id="3939" xr3:uid="{7F24C9BF-2F68-413C-9352-31C76FA1D406}" name="Column3920"/>
    <tableColumn id="3940" xr3:uid="{6B3A9C84-99D6-4B11-AFD4-71C353BE2928}" name="Column3921"/>
    <tableColumn id="3941" xr3:uid="{89AEFFEF-2303-4DDE-B19C-F58C5373E3F2}" name="Column3922"/>
    <tableColumn id="3942" xr3:uid="{A023DC18-AEA6-428E-8FA9-BFAC7CEF6D85}" name="Column3923"/>
    <tableColumn id="3943" xr3:uid="{CD40C6A3-E831-4A8F-A3AF-1D23258ED7B1}" name="Column3924"/>
    <tableColumn id="3944" xr3:uid="{0DB2B2D2-3A4D-4FD9-BFE2-0D551B1179B2}" name="Column3925"/>
    <tableColumn id="3945" xr3:uid="{FE83BE2E-33F7-4653-A0F9-9646FE23F9CB}" name="Column3926"/>
    <tableColumn id="3946" xr3:uid="{49BD880A-6D3F-4591-9692-34C63CA87D62}" name="Column3927"/>
    <tableColumn id="3947" xr3:uid="{15D5ABD8-F4D7-4391-B8B1-984F8982B7C1}" name="Column3928"/>
    <tableColumn id="3948" xr3:uid="{2581A35B-C047-4742-B6FF-7A5F04857A68}" name="Column3929"/>
    <tableColumn id="3949" xr3:uid="{F1AE368B-5457-475C-82F3-012A9EB22F92}" name="Column3930"/>
    <tableColumn id="3950" xr3:uid="{826F9351-44C5-4980-860C-9A835BA923E7}" name="Column3931"/>
    <tableColumn id="3951" xr3:uid="{84D8C4BE-6FAA-46BA-9099-7D9795E590A8}" name="Column3932"/>
    <tableColumn id="3952" xr3:uid="{787E4407-B452-4F7E-9785-62C68FC478ED}" name="Column3933"/>
    <tableColumn id="3953" xr3:uid="{2A7D73D8-88F9-4DEC-8F49-20A2E142C4E4}" name="Column3934"/>
    <tableColumn id="3954" xr3:uid="{4005AEFC-2126-4DE6-930F-9C72F4B74103}" name="Column3935"/>
    <tableColumn id="3955" xr3:uid="{CF08292E-6CA4-44CE-97D5-8954009EADC6}" name="Column3936"/>
    <tableColumn id="3956" xr3:uid="{C9028C38-8909-4F2D-A694-092BA167ABC4}" name="Column3937"/>
    <tableColumn id="3957" xr3:uid="{A53247B2-31DF-4297-8A2D-A297D02B59C7}" name="Column3938"/>
    <tableColumn id="3958" xr3:uid="{7C8FAF46-66BB-4944-A347-8D7E2C0872F2}" name="Column3939"/>
    <tableColumn id="3959" xr3:uid="{5407D6FE-19B1-400F-86EF-F3804CF01632}" name="Column3940"/>
    <tableColumn id="3960" xr3:uid="{55AF4700-C357-4577-94B8-EFD6B9B948C0}" name="Column3941"/>
    <tableColumn id="3961" xr3:uid="{988A7D1D-0416-4582-8A70-EE9338D00E4B}" name="Column3942"/>
    <tableColumn id="3962" xr3:uid="{862AF0AB-6B87-41B2-A0FC-86347B5B7A18}" name="Column3943"/>
    <tableColumn id="3963" xr3:uid="{1EBB1F04-8427-4C34-8DEB-2877D829410D}" name="Column3944"/>
    <tableColumn id="3964" xr3:uid="{6A2A2275-CE0E-45DB-9454-6D13CD7C904E}" name="Column3945"/>
    <tableColumn id="3965" xr3:uid="{B0F96C0D-4C80-4FA2-954E-3A5106E1DBCD}" name="Column3946"/>
    <tableColumn id="3966" xr3:uid="{EAE5B56E-F99E-471B-A475-0A79C4FE84EA}" name="Column3947"/>
    <tableColumn id="3967" xr3:uid="{9B28F267-3EB6-4EC4-B39A-3FEFF0DE3481}" name="Column3948"/>
    <tableColumn id="3968" xr3:uid="{659AA89C-E4B1-41E3-82FE-89DF30F409E0}" name="Column3949"/>
    <tableColumn id="3969" xr3:uid="{1321D615-E61E-4832-943B-7171932D46B1}" name="Column3950"/>
    <tableColumn id="3970" xr3:uid="{4CCFFAC0-D934-4826-90FA-781024FBAFB8}" name="Column3951"/>
    <tableColumn id="3971" xr3:uid="{BFC0A536-3659-4E1F-A50A-9FEC672F015F}" name="Column3952"/>
    <tableColumn id="3972" xr3:uid="{027C356A-913F-4CAA-A447-69EB00246906}" name="Column3953"/>
    <tableColumn id="3973" xr3:uid="{32CC3504-DC3D-4E31-9864-66761B02E9F6}" name="Column3954"/>
    <tableColumn id="3974" xr3:uid="{9BD85211-18BD-4455-A421-D3660473C401}" name="Column3955"/>
    <tableColumn id="3975" xr3:uid="{39C21A65-E217-48E8-B6C4-42E98C3836D3}" name="Column3956"/>
    <tableColumn id="3976" xr3:uid="{6A7794D6-4809-4253-91CF-FCBB65A72E31}" name="Column3957"/>
    <tableColumn id="3977" xr3:uid="{E950130F-80C6-4D55-8D30-EEED8CBA2A11}" name="Column3958"/>
    <tableColumn id="3978" xr3:uid="{B3EC6116-3565-48CE-B9CF-071EAD7A5221}" name="Column3959"/>
    <tableColumn id="3979" xr3:uid="{3AC4C5DE-BCF8-4B4C-8737-293B22366FDD}" name="Column3960"/>
    <tableColumn id="3980" xr3:uid="{70D5D9B3-934E-4E2D-9DB9-A05C443F8CD3}" name="Column3961"/>
    <tableColumn id="3981" xr3:uid="{3CA0203C-12E8-46E9-B7B9-3DF13CCE2180}" name="Column3962"/>
    <tableColumn id="3982" xr3:uid="{F52825DD-94B9-4BDD-AEBA-6C07D67908B0}" name="Column3963"/>
    <tableColumn id="3983" xr3:uid="{0E3FCB13-AB50-4D27-87CA-F6E2271B7F82}" name="Column3964"/>
    <tableColumn id="3984" xr3:uid="{73B8D71C-3C47-4EEE-AFBE-FDE4EBB0F5AA}" name="Column3965"/>
    <tableColumn id="3985" xr3:uid="{97513200-0764-476C-872B-8D6CB8FAF36A}" name="Column3966"/>
    <tableColumn id="3986" xr3:uid="{4BE7B368-E8C8-4546-AB56-6540913ACE81}" name="Column3967"/>
    <tableColumn id="3987" xr3:uid="{F9733AAE-58EA-4315-BB9B-E9C744F9DFA5}" name="Column3968"/>
    <tableColumn id="3988" xr3:uid="{0B701323-23AD-45BF-9116-CE973E83F4C0}" name="Column3969"/>
    <tableColumn id="3989" xr3:uid="{90A47E8E-668B-4403-84A7-639AC6AC7BFD}" name="Column3970"/>
    <tableColumn id="3990" xr3:uid="{976B1AFF-8EF0-4400-BD7F-2A6562A3A32B}" name="Column3971"/>
    <tableColumn id="3991" xr3:uid="{96D435A5-24A7-40E5-9BCF-725145594CC5}" name="Column3972"/>
    <tableColumn id="3992" xr3:uid="{8D633BF7-2D30-4E9D-B608-2A5F562DF81F}" name="Column3973"/>
    <tableColumn id="3993" xr3:uid="{9A46470C-8A32-4549-ACF0-CAC86426E340}" name="Column3974"/>
    <tableColumn id="3994" xr3:uid="{A1AADAE1-3226-40DB-9AE3-EDBC8B083E03}" name="Column3975"/>
    <tableColumn id="3995" xr3:uid="{08ADDCC2-7D3B-4DF4-97C7-797C44851607}" name="Column3976"/>
    <tableColumn id="3996" xr3:uid="{4C93BD18-CD76-44DC-80C2-D3347F42917A}" name="Column3977"/>
    <tableColumn id="3997" xr3:uid="{496773BF-C9BD-460C-B10E-64CB70DB3C7B}" name="Column3978"/>
    <tableColumn id="3998" xr3:uid="{533CB070-DD61-439C-A294-5105309F87E6}" name="Column3979"/>
    <tableColumn id="3999" xr3:uid="{779A3ED2-795B-46F8-A33D-806193A46BE3}" name="Column3980"/>
    <tableColumn id="4000" xr3:uid="{401926D1-0396-4660-921F-B7F9827AFEFB}" name="Column3981"/>
    <tableColumn id="4001" xr3:uid="{6B77C0D1-DDFE-4627-8AC0-40C266028B45}" name="Column3982"/>
    <tableColumn id="4002" xr3:uid="{AFF4D073-733D-4634-8083-07DB5D175463}" name="Column3983"/>
    <tableColumn id="4003" xr3:uid="{EE1FFD76-1044-439A-96C4-C3E1A0F96CEE}" name="Column3984"/>
    <tableColumn id="4004" xr3:uid="{045ED936-6FD0-46F7-B505-49D63259F0D7}" name="Column3985"/>
    <tableColumn id="4005" xr3:uid="{F4BCFD89-E562-4F1E-869C-D95A4074FB1B}" name="Column3986"/>
    <tableColumn id="4006" xr3:uid="{F3566388-D482-4E95-BCD1-07B7B81122E8}" name="Column3987"/>
    <tableColumn id="4007" xr3:uid="{79C9AA63-3E68-4772-927C-564D54AFDD4E}" name="Column3988"/>
    <tableColumn id="4008" xr3:uid="{B6DDD838-82FA-4601-908D-C6C7BE700F76}" name="Column3989"/>
    <tableColumn id="4009" xr3:uid="{32F47CE7-40C8-4025-953B-D0D615CCA529}" name="Column3990"/>
    <tableColumn id="4010" xr3:uid="{098FC4EE-62BB-45C7-856F-4EFD2AE54ABC}" name="Column3991"/>
    <tableColumn id="4011" xr3:uid="{6BEB66A6-16BE-40AE-8B50-9F9FC954BE93}" name="Column3992"/>
    <tableColumn id="4012" xr3:uid="{8E1B934F-7567-4A37-B8E1-95179A2D8DB7}" name="Column3993"/>
    <tableColumn id="4013" xr3:uid="{A153F321-9321-4F79-B1C5-31983825F148}" name="Column3994"/>
    <tableColumn id="4014" xr3:uid="{D16EA819-4306-4ED1-AF6D-39A85411C54F}" name="Column3995"/>
    <tableColumn id="4015" xr3:uid="{C533E641-78DD-4DC2-B018-5933995E4A0A}" name="Column3996"/>
    <tableColumn id="4016" xr3:uid="{4ED6537B-B97C-4FF0-BC22-4B02298164D0}" name="Column3997"/>
    <tableColumn id="4017" xr3:uid="{963DACD2-EEF6-4B98-AF4B-0140C4A4B06D}" name="Column3998"/>
    <tableColumn id="4018" xr3:uid="{BFD0BA9F-3858-4881-A809-9DEC7780A0E7}" name="Column3999"/>
    <tableColumn id="4019" xr3:uid="{04890D7C-DDD4-4DB3-B9D7-3CBFCB970312}" name="Column4000"/>
    <tableColumn id="4020" xr3:uid="{700D82AF-6F3A-408B-A9C3-1F8B15AA8744}" name="Column4001"/>
    <tableColumn id="4021" xr3:uid="{94AF5ACE-C50A-4B02-854B-35947CE622D5}" name="Column4002"/>
    <tableColumn id="4022" xr3:uid="{707FE1E0-AD8D-49B9-B421-C37602DBC24E}" name="Column4003"/>
    <tableColumn id="4023" xr3:uid="{D632DBDC-95DF-4252-A9D6-1C5DD9810CC2}" name="Column4004"/>
    <tableColumn id="4024" xr3:uid="{265DF736-459A-4BE6-9FC8-A81D79226163}" name="Column4005"/>
    <tableColumn id="4025" xr3:uid="{B37BCE66-324A-45C0-8FAC-3B8CD9CC2380}" name="Column4006"/>
    <tableColumn id="4026" xr3:uid="{E7ED3820-DDDD-4CE7-A2A9-3726E0CF8389}" name="Column4007"/>
    <tableColumn id="4027" xr3:uid="{4403DF59-CE49-4E33-96FA-A2E3F44BBD5B}" name="Column4008"/>
    <tableColumn id="4028" xr3:uid="{343543F5-02E7-4885-B474-64B10E7B972A}" name="Column4009"/>
    <tableColumn id="4029" xr3:uid="{33388575-CB97-499D-A89C-95DC3B4B172F}" name="Column4010"/>
    <tableColumn id="4030" xr3:uid="{916C2F4C-18A5-4A1B-8AE5-E5AF8AB58DA0}" name="Column4011"/>
    <tableColumn id="4031" xr3:uid="{1CBCF4B4-F305-4EC9-B6BB-D34CAF725150}" name="Column4012"/>
    <tableColumn id="4032" xr3:uid="{B71E0692-CCC2-4674-845D-3F6CC20AD830}" name="Column4013"/>
    <tableColumn id="4033" xr3:uid="{EF20473B-2565-41CF-8B7B-A7353199382C}" name="Column4014"/>
    <tableColumn id="4034" xr3:uid="{06990E60-CF42-4531-92EF-1EDED913E9BD}" name="Column4015"/>
    <tableColumn id="4035" xr3:uid="{6ADF55F0-E80F-4361-A0BB-9FA311E6CEDB}" name="Column4016"/>
    <tableColumn id="4036" xr3:uid="{1E0AD4B0-3675-459A-A787-5857EADF7767}" name="Column4017"/>
    <tableColumn id="4037" xr3:uid="{3EBDA8E7-80D9-45AB-9228-E1BE18CBB33F}" name="Column4018"/>
    <tableColumn id="4038" xr3:uid="{04CA06DA-E53B-4533-BA36-D8C56F876339}" name="Column4019"/>
    <tableColumn id="4039" xr3:uid="{2A33E6EA-4081-4539-A4E4-3235B09CD37E}" name="Column4020"/>
    <tableColumn id="4040" xr3:uid="{7759AC35-66FE-4356-86FC-E2F4218451CA}" name="Column4021"/>
    <tableColumn id="4041" xr3:uid="{56EAF8D0-FA29-4177-8EB4-4E4AA47B28FF}" name="Column4022"/>
    <tableColumn id="4042" xr3:uid="{EA548C21-F7E7-46B3-B55A-E727ADEDFD25}" name="Column4023"/>
    <tableColumn id="4043" xr3:uid="{DF42E351-6A0F-4D78-8D25-663F8E5DD49F}" name="Column4024"/>
    <tableColumn id="4044" xr3:uid="{7EA2F012-B980-4EBF-822E-09D1E00734E4}" name="Column4025"/>
    <tableColumn id="4045" xr3:uid="{01CDA975-95DA-4DD7-9945-284C8FD8EDD9}" name="Column4026"/>
    <tableColumn id="4046" xr3:uid="{35DF3C14-D2A8-413E-9B59-807C4BE50A96}" name="Column4027"/>
    <tableColumn id="4047" xr3:uid="{965BDE16-B520-419D-983E-74C832D5210E}" name="Column4028"/>
    <tableColumn id="4048" xr3:uid="{F0E88B83-4539-49FF-9795-290A6E50B45C}" name="Column4029"/>
    <tableColumn id="4049" xr3:uid="{8B176FE6-5F7E-4C95-A2DC-F252F8F34728}" name="Column4030"/>
    <tableColumn id="4050" xr3:uid="{FC3E7AB3-2073-4C6B-8BA7-F7B55E14FCE2}" name="Column4031"/>
    <tableColumn id="4051" xr3:uid="{BB8156C3-8A20-4A91-873F-D2F06F72D82F}" name="Column4032"/>
    <tableColumn id="4052" xr3:uid="{25F3CCC8-80D7-4C95-9BF4-69775EF155E5}" name="Column4033"/>
    <tableColumn id="4053" xr3:uid="{AD1D8DCF-5268-4FB8-A376-2B7FE84B97ED}" name="Column4034"/>
    <tableColumn id="4054" xr3:uid="{19678A22-1E86-45EE-8DFF-96AEAC24E7DE}" name="Column4035"/>
    <tableColumn id="4055" xr3:uid="{23C0D812-6DC8-4EAD-B055-D8E50A7566E2}" name="Column4036"/>
    <tableColumn id="4056" xr3:uid="{9F3DB4F7-58D8-4C09-95AE-D32E7D2125D6}" name="Column4037"/>
    <tableColumn id="4057" xr3:uid="{63473DA5-9DD7-4EAF-AD78-535BE12B2AB3}" name="Column4038"/>
    <tableColumn id="4058" xr3:uid="{E1EECF94-5172-4572-AAA8-EB66602C6FC0}" name="Column4039"/>
    <tableColumn id="4059" xr3:uid="{F993CD35-42EF-4DAA-B807-E8F31BA559CA}" name="Column4040"/>
    <tableColumn id="4060" xr3:uid="{FCBEF7DD-A865-4192-8A7E-DA2DEFE5DC0A}" name="Column4041"/>
    <tableColumn id="4061" xr3:uid="{D1F171FE-AF99-49E3-A2C1-88ADB4AC1A0E}" name="Column4042"/>
    <tableColumn id="4062" xr3:uid="{568BC979-BDC3-4874-A1A9-29A41AA0BD2E}" name="Column4043"/>
    <tableColumn id="4063" xr3:uid="{B9612028-2917-4DB7-ADD5-6C5D90507F4D}" name="Column4044"/>
    <tableColumn id="4064" xr3:uid="{B18692BA-AE0F-4876-BB58-902C30F662F3}" name="Column4045"/>
    <tableColumn id="4065" xr3:uid="{EA9C8987-AC18-4CBA-B44E-CD7B5A1558FD}" name="Column4046"/>
    <tableColumn id="4066" xr3:uid="{AEC84C8B-18AA-4857-B29B-578AB7E347F6}" name="Column4047"/>
    <tableColumn id="4067" xr3:uid="{FD6EDD3B-7656-488D-A615-9F56F0B51CFB}" name="Column4048"/>
    <tableColumn id="4068" xr3:uid="{EA603E26-DB7A-4363-A74F-E0576272AA4D}" name="Column4049"/>
    <tableColumn id="4069" xr3:uid="{CC1E1F03-C0F3-4C4F-88B7-FD7997F0AEA6}" name="Column4050"/>
    <tableColumn id="4070" xr3:uid="{E3304AA5-E8FB-4818-846A-5A6CB25C60B1}" name="Column4051"/>
    <tableColumn id="4071" xr3:uid="{EA33DF9C-9D92-47F1-B108-691982BB27F6}" name="Column4052"/>
    <tableColumn id="4072" xr3:uid="{5D800970-C761-4E41-B3AA-1420B8678F85}" name="Column4053"/>
    <tableColumn id="4073" xr3:uid="{9DCA457E-E32D-4910-AD3D-3F50C8F75561}" name="Column4054"/>
    <tableColumn id="4074" xr3:uid="{2CB503C9-B04A-48E5-8D57-47342B45A780}" name="Column4055"/>
    <tableColumn id="4075" xr3:uid="{6C5E8802-901C-4FFA-8312-9F7F1F070650}" name="Column4056"/>
    <tableColumn id="4076" xr3:uid="{2334A061-2270-4222-9E52-D121EC8A9D20}" name="Column4057"/>
    <tableColumn id="4077" xr3:uid="{E44DC7FB-BD1C-49F9-AAA2-2C5E91B2F2F2}" name="Column4058"/>
    <tableColumn id="4078" xr3:uid="{5670441D-2318-44B9-B7E9-AED7689EE155}" name="Column4059"/>
    <tableColumn id="4079" xr3:uid="{B534E7C7-638B-4CFF-8DAC-2D81CF54B7ED}" name="Column4060"/>
    <tableColumn id="4080" xr3:uid="{C00E1905-FEC0-4D65-8E1E-1B993BDB73EA}" name="Column4061"/>
    <tableColumn id="4081" xr3:uid="{80C43A09-0208-42EC-B75F-8D10D05BE2BE}" name="Column4062"/>
    <tableColumn id="4082" xr3:uid="{D28C7A06-7B66-48FD-8DAE-3247232F874F}" name="Column4063"/>
    <tableColumn id="4083" xr3:uid="{FCBF77DE-A609-4205-A199-21FC11FB8DD0}" name="Column4064"/>
    <tableColumn id="4084" xr3:uid="{274B81E0-DD21-4009-A943-2C18CF124A13}" name="Column4065"/>
    <tableColumn id="4085" xr3:uid="{C4418CE3-D639-4796-8286-BF5B4BB2582C}" name="Column4066"/>
    <tableColumn id="4086" xr3:uid="{0606EDE8-63AF-4EE3-A36E-59888E652BDE}" name="Column4067"/>
    <tableColumn id="4087" xr3:uid="{63580F84-142A-4CE6-A740-8F4351895DB0}" name="Column4068"/>
    <tableColumn id="4088" xr3:uid="{DD4E17D1-65BA-452C-B169-18288A144B11}" name="Column4069"/>
    <tableColumn id="4089" xr3:uid="{32A6DB38-4734-413D-9C67-9E1DC0F94511}" name="Column4070"/>
    <tableColumn id="4090" xr3:uid="{1AC3B94E-178D-47D4-978B-DCD260B31400}" name="Column4071"/>
    <tableColumn id="4091" xr3:uid="{7A1B28A6-5A35-4503-B51B-25C709EE7A55}" name="Column4072"/>
    <tableColumn id="4092" xr3:uid="{4D3AC99A-A62F-4A69-A1D8-DF72C0B20F8A}" name="Column4073"/>
    <tableColumn id="4093" xr3:uid="{6E1CD8B8-1C00-4353-95A6-817453F0D8DD}" name="Column4074"/>
    <tableColumn id="4094" xr3:uid="{3A5DF71B-8837-42DE-AAA5-0F1290070E09}" name="Column4075"/>
    <tableColumn id="4095" xr3:uid="{4992AA40-0C46-4B64-9B81-7589EC63CC19}" name="Column4076"/>
    <tableColumn id="4096" xr3:uid="{3F40A706-3428-4577-AAA6-C825634C0AB0}" name="Column4077"/>
    <tableColumn id="4097" xr3:uid="{77E8F4CB-F9C1-4333-A3D6-7FE2E6CF49B9}" name="Column4078"/>
    <tableColumn id="4098" xr3:uid="{1C4B1364-B8F1-4EF7-BF2C-403E83072C7B}" name="Column4079"/>
    <tableColumn id="4099" xr3:uid="{4F221CB6-4C74-4D55-B582-6769A4D84E07}" name="Column4080"/>
    <tableColumn id="4100" xr3:uid="{BD8642E5-468B-478B-B67B-512CB5771E28}" name="Column4081"/>
    <tableColumn id="4101" xr3:uid="{4E0258F1-0DAC-4655-99B4-6B1F64E63C63}" name="Column4082"/>
    <tableColumn id="4102" xr3:uid="{F52F42A8-8174-4353-9AA3-525235795EB6}" name="Column4083"/>
    <tableColumn id="4103" xr3:uid="{1725475E-1F87-47F4-9993-32DBB96A6B90}" name="Column4084"/>
    <tableColumn id="4104" xr3:uid="{EE22F5B6-4059-47B6-B5DB-BBB3B91A10DD}" name="Column4085"/>
    <tableColumn id="4105" xr3:uid="{BA5E3B3C-2E85-46BE-AEA7-7D7B5C37F4E8}" name="Column4086"/>
    <tableColumn id="4106" xr3:uid="{B2BBAE57-EEBA-4831-A2BB-2BE747C5EBE6}" name="Column4087"/>
    <tableColumn id="4107" xr3:uid="{7048CBA5-EF27-4AEC-8107-7EDB62B3A32B}" name="Column4088"/>
    <tableColumn id="4108" xr3:uid="{7E78BDE7-2FF0-4E2C-B1EE-E24B9E386474}" name="Column4089"/>
    <tableColumn id="4109" xr3:uid="{7EB4BE6E-1FA3-47DC-B12A-2216F666AD4F}" name="Column4090"/>
    <tableColumn id="4110" xr3:uid="{425A2637-EF82-493E-9073-32DADA5F0E92}" name="Column4091"/>
    <tableColumn id="4111" xr3:uid="{5A4BB59A-3B71-418E-B159-B76CE599208D}" name="Column4092"/>
    <tableColumn id="4112" xr3:uid="{703847E0-3990-410B-8AB7-836D25F2F215}" name="Column4093"/>
    <tableColumn id="4113" xr3:uid="{0BD079AF-E5E7-4369-84C1-B7EBC173F329}" name="Column4094"/>
    <tableColumn id="4114" xr3:uid="{8AEB2484-3281-4D56-BEAE-1DFE86A34F88}" name="Column4095"/>
    <tableColumn id="4115" xr3:uid="{4F5240CA-343E-4911-990C-0441700A0582}" name="Column4096"/>
    <tableColumn id="4116" xr3:uid="{B239D430-3714-480D-A64B-B60AF53F57E7}" name="Column4097"/>
    <tableColumn id="4117" xr3:uid="{3280281F-2240-45EC-AFA7-22EE16BF7B16}" name="Column4098"/>
    <tableColumn id="4118" xr3:uid="{A614CB8A-1035-43CC-BEA8-6A4B13058A93}" name="Column4099"/>
    <tableColumn id="4119" xr3:uid="{89153595-B06B-4667-913F-3B22683C30F0}" name="Column4100"/>
    <tableColumn id="4120" xr3:uid="{C6E8158D-1C1E-48E7-8318-ED0BCCF59837}" name="Column4101"/>
    <tableColumn id="4121" xr3:uid="{D33EB1C1-4DE4-4724-B348-0DC56AAB9FD9}" name="Column4102"/>
    <tableColumn id="4122" xr3:uid="{AA160E99-4D12-4E42-BA2C-E9B6CBEAE454}" name="Column4103"/>
    <tableColumn id="4123" xr3:uid="{3BDD836C-A2C9-4D6C-916B-D45BF9D361A5}" name="Column4104"/>
    <tableColumn id="4124" xr3:uid="{7A39E967-1836-483B-8E3C-6ABE26B45687}" name="Column4105"/>
    <tableColumn id="4125" xr3:uid="{D6224F96-DCE8-4841-8955-2928F4EC5ED0}" name="Column4106"/>
    <tableColumn id="4126" xr3:uid="{DA2739EC-74F9-46A0-8621-758A34A2C27B}" name="Column4107"/>
    <tableColumn id="4127" xr3:uid="{AA262FCF-BE05-4B51-B038-ED309810C97A}" name="Column4108"/>
    <tableColumn id="4128" xr3:uid="{5B0CCAAA-DDF9-4997-8E0C-4B845823A3FE}" name="Column4109"/>
    <tableColumn id="4129" xr3:uid="{EDF7E2DD-F7EF-45B4-979D-2709788ABC65}" name="Column4110"/>
    <tableColumn id="4130" xr3:uid="{EE2CE53D-9967-4EF1-AB45-28FC08E38F11}" name="Column4111"/>
    <tableColumn id="4131" xr3:uid="{1FF11902-2AFB-49D7-8599-527A08710E56}" name="Column4112"/>
    <tableColumn id="4132" xr3:uid="{C718EF71-6E19-49DE-B927-470D1F02D5C8}" name="Column4113"/>
    <tableColumn id="4133" xr3:uid="{5B1659FA-3435-4F49-A95D-D1E9646D5FCA}" name="Column4114"/>
    <tableColumn id="4134" xr3:uid="{37FFABD0-E297-40DB-9808-1447B7E01EAE}" name="Column4115"/>
    <tableColumn id="4135" xr3:uid="{15FB9965-C7D6-44AF-A3CF-91ACA79147E4}" name="Column4116"/>
    <tableColumn id="4136" xr3:uid="{7DCBAE8A-817D-4EDD-85D6-E3A3E23C6CB4}" name="Column4117"/>
    <tableColumn id="4137" xr3:uid="{EABDD02D-A949-42F7-BBB5-6FBD99F7C306}" name="Column4118"/>
    <tableColumn id="4138" xr3:uid="{955F9705-72AD-43B7-A4FE-2FB4546D5C70}" name="Column4119"/>
    <tableColumn id="4139" xr3:uid="{2868AEAF-8CEB-4E0B-A45C-5F87BE38E2A4}" name="Column4120"/>
    <tableColumn id="4140" xr3:uid="{781908C6-12DE-4471-A4E0-5222615CF0CC}" name="Column4121"/>
    <tableColumn id="4141" xr3:uid="{45490366-F0A8-4574-9B30-CA1D4A47201C}" name="Column4122"/>
    <tableColumn id="4142" xr3:uid="{03E39DF6-CAB4-484B-BE89-DFAE24D49283}" name="Column4123"/>
    <tableColumn id="4143" xr3:uid="{4916320E-84DB-42F8-BF54-7A38D390612E}" name="Column4124"/>
    <tableColumn id="4144" xr3:uid="{74E940E8-B328-4C25-A303-86EED0EB7D9E}" name="Column4125"/>
    <tableColumn id="4145" xr3:uid="{028E8259-C6A1-42F4-BE7C-B40A8E24AEE3}" name="Column4126"/>
    <tableColumn id="4146" xr3:uid="{6E4A9396-C1E5-4631-B5DC-FA613257CCD5}" name="Column4127"/>
    <tableColumn id="4147" xr3:uid="{3CB779CD-409D-4112-8D2D-06185EF1B7AB}" name="Column4128"/>
    <tableColumn id="4148" xr3:uid="{5133D1F7-9619-46A2-BE1E-1DB8AB9F4E4D}" name="Column4129"/>
    <tableColumn id="4149" xr3:uid="{10028E37-8CCF-4CCA-9340-527EA6C530F9}" name="Column4130"/>
    <tableColumn id="4150" xr3:uid="{8E833A6B-0830-4F57-936E-197053E9E6B0}" name="Column4131"/>
    <tableColumn id="4151" xr3:uid="{CB4A428F-F5D9-4C2D-A114-53A7DCC3BB6E}" name="Column4132"/>
    <tableColumn id="4152" xr3:uid="{3EEAD0EE-C57F-43CC-9C29-CABF6EB4A032}" name="Column4133"/>
    <tableColumn id="4153" xr3:uid="{3F884AE7-FC61-4248-88D7-55BE621546D9}" name="Column4134"/>
    <tableColumn id="4154" xr3:uid="{71104795-BC50-4AAA-B11F-926DC41D8B5E}" name="Column4135"/>
    <tableColumn id="4155" xr3:uid="{3A5DDD67-485D-4DE9-BADE-FAB337ABEC63}" name="Column4136"/>
    <tableColumn id="4156" xr3:uid="{7DF17710-AA78-4B65-8699-6FE404A7A5F0}" name="Column4137"/>
    <tableColumn id="4157" xr3:uid="{07A76DA3-C32C-4E98-AA0B-C21AE7FCF9F5}" name="Column4138"/>
    <tableColumn id="4158" xr3:uid="{F0105A4A-3459-49D3-B043-54454216F60D}" name="Column4139"/>
    <tableColumn id="4159" xr3:uid="{0A0D9610-C198-474A-8509-846EA10D3D67}" name="Column4140"/>
    <tableColumn id="4160" xr3:uid="{AF89B349-E652-468C-9E4A-F0D859400775}" name="Column4141"/>
    <tableColumn id="4161" xr3:uid="{DAEAA12A-231A-4AC7-A911-1911386BB70D}" name="Column4142"/>
    <tableColumn id="4162" xr3:uid="{C9FE73F9-A315-4309-8E16-E732EB6522CE}" name="Column4143"/>
    <tableColumn id="4163" xr3:uid="{86FE97C5-5839-47AD-909A-C6071A31CF5B}" name="Column4144"/>
    <tableColumn id="4164" xr3:uid="{7AB18A74-6424-41EE-BFEA-BB814672060D}" name="Column4145"/>
    <tableColumn id="4165" xr3:uid="{CB4753C2-D0AD-4771-8B3C-6E25DF0291DF}" name="Column4146"/>
    <tableColumn id="4166" xr3:uid="{4563A01E-6771-4DB4-8211-8EEBF7ADC547}" name="Column4147"/>
    <tableColumn id="4167" xr3:uid="{4EA25FE4-AC5E-4A22-B8CE-280FB6148810}" name="Column4148"/>
    <tableColumn id="4168" xr3:uid="{3C3098C8-F195-41B0-A6F2-D93ADE7A983B}" name="Column4149"/>
    <tableColumn id="4169" xr3:uid="{E2B037D3-80CA-4B0A-B681-93AF9DE770E1}" name="Column4150"/>
    <tableColumn id="4170" xr3:uid="{8852747C-E0C7-4291-A2B8-3207A4DD2E6E}" name="Column4151"/>
    <tableColumn id="4171" xr3:uid="{F87AD8EE-BDB6-42F2-B441-3C5C64678D7A}" name="Column4152"/>
    <tableColumn id="4172" xr3:uid="{BCC5337C-993A-4537-A28B-CFD1F1DA5A64}" name="Column4153"/>
    <tableColumn id="4173" xr3:uid="{3880FDDC-4572-48C7-BA27-7F8F0B4CC883}" name="Column4154"/>
    <tableColumn id="4174" xr3:uid="{2E966534-822B-4FF3-9B9C-236A8A5279BA}" name="Column4155"/>
    <tableColumn id="4175" xr3:uid="{F1503480-5D75-4A94-B0C7-CCDCE8142789}" name="Column4156"/>
    <tableColumn id="4176" xr3:uid="{6E1CD0DC-D3F3-452D-B9AF-240D668067B5}" name="Column4157"/>
    <tableColumn id="4177" xr3:uid="{55FC366F-59E4-4611-AC4D-B3F239730F6E}" name="Column4158"/>
    <tableColumn id="4178" xr3:uid="{B7B34999-1862-40AC-B45B-239227EDDCF1}" name="Column4159"/>
    <tableColumn id="4179" xr3:uid="{86201EEE-A437-4104-8E81-D7926863A585}" name="Column4160"/>
    <tableColumn id="4180" xr3:uid="{C21F694C-42D3-4B0F-A17A-697D07E676B7}" name="Column4161"/>
    <tableColumn id="4181" xr3:uid="{FAD7F606-6FD8-4F8B-95EB-A76539F25744}" name="Column4162"/>
    <tableColumn id="4182" xr3:uid="{D6EA1265-ED6E-480B-A017-8572FFC2E4F0}" name="Column4163"/>
    <tableColumn id="4183" xr3:uid="{39B32154-AFED-4902-A1B5-C254CB5A7D07}" name="Column4164"/>
    <tableColumn id="4184" xr3:uid="{564E449C-DAC5-4370-8FC8-C348F586465D}" name="Column4165"/>
    <tableColumn id="4185" xr3:uid="{BFF7325F-A2A7-47A3-B93D-CB886724EF8A}" name="Column4166"/>
    <tableColumn id="4186" xr3:uid="{1137804D-EA46-4CB4-8E0D-ED90463A7E70}" name="Column4167"/>
    <tableColumn id="4187" xr3:uid="{DEEAFE32-C197-40A4-ADA7-52533CE27D86}" name="Column4168"/>
    <tableColumn id="4188" xr3:uid="{41F552F3-E4A5-43C9-947C-5BADF555A1D8}" name="Column4169"/>
    <tableColumn id="4189" xr3:uid="{247AD542-36DB-4079-AC61-F58A7C545398}" name="Column4170"/>
    <tableColumn id="4190" xr3:uid="{26948DA9-25DD-44C9-8462-441359804B49}" name="Column4171"/>
    <tableColumn id="4191" xr3:uid="{CB729A8C-BF92-42EF-9523-6FC0DC36AD61}" name="Column4172"/>
    <tableColumn id="4192" xr3:uid="{CE6ABC52-CF1B-46BE-B23A-16D4A947F186}" name="Column4173"/>
    <tableColumn id="4193" xr3:uid="{1BDFFDCE-9C7A-403C-BBD3-362EFFB38867}" name="Column4174"/>
    <tableColumn id="4194" xr3:uid="{97ECF235-89E1-4458-8F9F-7FDB674FA350}" name="Column4175"/>
    <tableColumn id="4195" xr3:uid="{9E8B2D45-8351-4701-A642-80EFB0569FDF}" name="Column4176"/>
    <tableColumn id="4196" xr3:uid="{B12EBCF1-4B2C-4DCA-849F-B782259C7232}" name="Column4177"/>
    <tableColumn id="4197" xr3:uid="{5EB3730E-45BE-433F-8FA0-91581BEB676F}" name="Column4178"/>
    <tableColumn id="4198" xr3:uid="{92813F65-CF55-4F31-8C2C-0ADCEC07F593}" name="Column4179"/>
    <tableColumn id="4199" xr3:uid="{270B6575-2DAC-4781-BEAE-5604DD9A82DD}" name="Column4180"/>
    <tableColumn id="4200" xr3:uid="{9541FB81-BF89-4270-88AF-55C06C43EBEE}" name="Column4181"/>
    <tableColumn id="4201" xr3:uid="{EDB0997B-86DC-4FBE-BD08-103E35B642B8}" name="Column4182"/>
    <tableColumn id="4202" xr3:uid="{17B01152-904A-4E79-B654-2446011A16D1}" name="Column4183"/>
    <tableColumn id="4203" xr3:uid="{63593FC6-2C5A-4D57-AFC4-ED0703C1DE52}" name="Column4184"/>
    <tableColumn id="4204" xr3:uid="{3131BC0A-DE08-446D-B115-EAB52F4883A7}" name="Column4185"/>
    <tableColumn id="4205" xr3:uid="{A72F0BB4-2DF1-40AF-A7E9-FF9EB3473A44}" name="Column4186"/>
    <tableColumn id="4206" xr3:uid="{F235DCBC-E19C-46EC-83C1-FDEBF2E789D8}" name="Column4187"/>
    <tableColumn id="4207" xr3:uid="{8AB1981B-4D30-4813-8B62-DC6F20531EA1}" name="Column4188"/>
    <tableColumn id="4208" xr3:uid="{EF56FEEF-D220-47AB-8C0F-DBB2CBD20D32}" name="Column4189"/>
    <tableColumn id="4209" xr3:uid="{2E66F02E-64DD-4DED-B9D5-56F10518CDC8}" name="Column4190"/>
    <tableColumn id="4210" xr3:uid="{FA869138-5320-4AC7-A285-700826848778}" name="Column4191"/>
    <tableColumn id="4211" xr3:uid="{ACDDDD90-881F-4379-A09B-BB87EAB29434}" name="Column4192"/>
    <tableColumn id="4212" xr3:uid="{F830707D-CB94-4260-9361-E0EC7006C399}" name="Column4193"/>
    <tableColumn id="4213" xr3:uid="{50152A77-3B60-49A0-9BF0-810BD9224106}" name="Column4194"/>
    <tableColumn id="4214" xr3:uid="{9F2CD676-652C-4EE5-98C2-7330A47345BE}" name="Column4195"/>
    <tableColumn id="4215" xr3:uid="{681BAECF-00E8-428F-B492-DE1D63F74ABB}" name="Column4196"/>
    <tableColumn id="4216" xr3:uid="{AF9B33DB-7F2F-4F00-8000-2F3A0617DC52}" name="Column4197"/>
    <tableColumn id="4217" xr3:uid="{E60DA522-75AC-4925-BD73-6FBA9262AC46}" name="Column4198"/>
    <tableColumn id="4218" xr3:uid="{C4A03737-3E86-4414-9934-096CD4D97416}" name="Column4199"/>
    <tableColumn id="4219" xr3:uid="{12499404-EB7D-40DE-9C81-BE83227ADB04}" name="Column4200"/>
    <tableColumn id="4220" xr3:uid="{E0D23F09-CA78-4ACD-9411-2C101E68ACF7}" name="Column4201"/>
    <tableColumn id="4221" xr3:uid="{8545ADB1-9F7C-4B67-AA1E-505409B8F3DA}" name="Column4202"/>
    <tableColumn id="4222" xr3:uid="{94E75D02-CEBC-4F44-8A38-61E66495F92C}" name="Column4203"/>
    <tableColumn id="4223" xr3:uid="{50851570-B8CF-4B87-A222-0F76FD4001AD}" name="Column4204"/>
    <tableColumn id="4224" xr3:uid="{8669910E-20D5-41E1-A568-3C062AE087CB}" name="Column4205"/>
    <tableColumn id="4225" xr3:uid="{ABC8E74F-3927-42FB-B559-037F61B591CB}" name="Column4206"/>
    <tableColumn id="4226" xr3:uid="{2A6C433B-D248-4376-8D53-5C7942BA6533}" name="Column4207"/>
    <tableColumn id="4227" xr3:uid="{E270AA08-2D63-43FE-8A99-2EF356FCF050}" name="Column4208"/>
    <tableColumn id="4228" xr3:uid="{ACC6FC68-D4FF-4A34-918C-99B71B21EB5D}" name="Column4209"/>
    <tableColumn id="4229" xr3:uid="{37E8EFA8-C807-4AA1-A1EB-BC66504A08F2}" name="Column4210"/>
    <tableColumn id="4230" xr3:uid="{526F1170-0B8F-4708-AB53-E5BCA4847D1F}" name="Column4211"/>
    <tableColumn id="4231" xr3:uid="{1B5FA3A3-3AEF-4556-AF1C-814C198BC75F}" name="Column4212"/>
    <tableColumn id="4232" xr3:uid="{7B921A2A-F4A5-4869-960E-6D22CD8067B1}" name="Column4213"/>
    <tableColumn id="4233" xr3:uid="{EB0B72C3-E52D-46CA-90C2-BB38AC9CDF57}" name="Column4214"/>
    <tableColumn id="4234" xr3:uid="{EF582E0E-A20B-4D60-B00F-1CAC7DCC988E}" name="Column4215"/>
    <tableColumn id="4235" xr3:uid="{74DDD22D-8393-48D1-8E33-D540E5E0A114}" name="Column4216"/>
    <tableColumn id="4236" xr3:uid="{E2EF7161-E81C-4800-85BE-3355D4A4448E}" name="Column4217"/>
    <tableColumn id="4237" xr3:uid="{688F0BA1-2952-4FBA-B57D-BAA07C5CB370}" name="Column4218"/>
    <tableColumn id="4238" xr3:uid="{786F2629-4F2D-4A17-AB5E-4291196A4B45}" name="Column4219"/>
    <tableColumn id="4239" xr3:uid="{E23FF4B8-A0E4-42F5-9F5E-2F4D2C8E30DB}" name="Column4220"/>
    <tableColumn id="4240" xr3:uid="{F081C65B-F806-4F53-914C-9A88BBA6C7D9}" name="Column4221"/>
    <tableColumn id="4241" xr3:uid="{AB7F1AF3-F4F2-4502-8967-B64869782E2D}" name="Column4222"/>
    <tableColumn id="4242" xr3:uid="{2B4FB946-1A93-479F-9E1D-62184DC00AA5}" name="Column4223"/>
    <tableColumn id="4243" xr3:uid="{1CA17035-6748-42BB-95B2-920F13C3B678}" name="Column4224"/>
    <tableColumn id="4244" xr3:uid="{02E6387D-A782-459B-86F8-ABAE05E9EF92}" name="Column4225"/>
    <tableColumn id="4245" xr3:uid="{EF62588B-D053-4093-ABB5-786903B0DF44}" name="Column4226"/>
    <tableColumn id="4246" xr3:uid="{1E5ECCB7-52BA-401E-A090-A0228CD2DCBF}" name="Column4227"/>
    <tableColumn id="4247" xr3:uid="{21C382BC-7126-43CB-9402-3313E1FE3899}" name="Column4228"/>
    <tableColumn id="4248" xr3:uid="{DAF18478-5D0A-498B-A247-D87C028E18AC}" name="Column4229"/>
    <tableColumn id="4249" xr3:uid="{FED1D817-5C92-4097-B406-66315A8B0A19}" name="Column4230"/>
    <tableColumn id="4250" xr3:uid="{12E1A948-C990-415C-A3B7-9EEACD773EB3}" name="Column4231"/>
    <tableColumn id="4251" xr3:uid="{347F1325-AA05-4F9F-979D-35FE402619D6}" name="Column4232"/>
    <tableColumn id="4252" xr3:uid="{2DCBDC94-D799-4625-823B-551C67949AFA}" name="Column4233"/>
    <tableColumn id="4253" xr3:uid="{817BC037-D076-4761-8A4A-485741E0054D}" name="Column4234"/>
    <tableColumn id="4254" xr3:uid="{1AD8A444-4C26-4140-964F-9544633EA212}" name="Column4235"/>
    <tableColumn id="4255" xr3:uid="{9AF9C108-9122-4A42-BE45-12C28DB0DC9F}" name="Column4236"/>
    <tableColumn id="4256" xr3:uid="{3E624005-9C33-4531-8741-1A131D6A096D}" name="Column4237"/>
    <tableColumn id="4257" xr3:uid="{7C78F4FD-F86E-49E3-A7AF-4ED58753B5F1}" name="Column4238"/>
    <tableColumn id="4258" xr3:uid="{F39F5A93-80F1-44AB-BCED-FD12823881AC}" name="Column4239"/>
    <tableColumn id="4259" xr3:uid="{89FE611A-1038-43AE-B3DE-DD22A8BF7849}" name="Column4240"/>
    <tableColumn id="4260" xr3:uid="{6CAE361C-55EA-43B0-B541-4B636458BA16}" name="Column4241"/>
    <tableColumn id="4261" xr3:uid="{0FAC5E17-35FD-4732-9ED7-C9E8A76C953F}" name="Column4242"/>
    <tableColumn id="4262" xr3:uid="{B7DA27A5-21C3-4C51-9429-91BF97E2CE7B}" name="Column4243"/>
    <tableColumn id="4263" xr3:uid="{AAE976BE-9692-4755-B3FC-B9EF611E5ED4}" name="Column4244"/>
    <tableColumn id="4264" xr3:uid="{507A9F7A-6054-42C6-B93A-591080B75F6F}" name="Column4245"/>
    <tableColumn id="4265" xr3:uid="{9004BCDB-A8C9-4F9D-8FC1-874AF1F92E33}" name="Column4246"/>
    <tableColumn id="4266" xr3:uid="{B05FAD57-5A8F-409E-B2A2-6340ED6F4F40}" name="Column4247"/>
    <tableColumn id="4267" xr3:uid="{08AADA7B-30E1-4C3C-B5AF-A39B25F36E5B}" name="Column4248"/>
    <tableColumn id="4268" xr3:uid="{EF98CF13-A869-4EE8-ABB4-DD11FD6CCB9F}" name="Column4249"/>
    <tableColumn id="4269" xr3:uid="{1AE6C28F-110A-4145-A57C-D641C335A38A}" name="Column4250"/>
    <tableColumn id="4270" xr3:uid="{AE825B32-8A07-4D6F-831E-D5ED87F5C5A2}" name="Column4251"/>
    <tableColumn id="4271" xr3:uid="{FFCE7ACE-E43D-41FD-BDDE-342BB8FF360F}" name="Column4252"/>
    <tableColumn id="4272" xr3:uid="{D9E69ABA-A30B-4DF1-9DEC-48CFEEC42DAC}" name="Column4253"/>
    <tableColumn id="4273" xr3:uid="{7D72E081-A93F-46B8-823F-9BACD8F82AE9}" name="Column4254"/>
    <tableColumn id="4274" xr3:uid="{290B1481-A2F0-4778-A322-6760BBC1AD5A}" name="Column4255"/>
    <tableColumn id="4275" xr3:uid="{6761610F-2AFA-40A1-8766-8CC3D239F56C}" name="Column4256"/>
    <tableColumn id="4276" xr3:uid="{B877E5A1-D638-424F-96F5-E6E5074D9A1E}" name="Column4257"/>
    <tableColumn id="4277" xr3:uid="{F5D89A26-86F8-4E21-B011-BB3CEF24FA57}" name="Column4258"/>
    <tableColumn id="4278" xr3:uid="{55901785-6FDB-4A33-84FC-A5146A0B93BD}" name="Column4259"/>
    <tableColumn id="4279" xr3:uid="{5951287A-3CC4-4A5F-A520-3857CFAA84B5}" name="Column4260"/>
    <tableColumn id="4280" xr3:uid="{484A3094-FCAE-4A29-AE97-1E65A61437BC}" name="Column4261"/>
    <tableColumn id="4281" xr3:uid="{17E39300-568B-4845-B96A-65A6FE39F13B}" name="Column4262"/>
    <tableColumn id="4282" xr3:uid="{060E66DD-03B5-4A45-80BD-18844123A2D6}" name="Column4263"/>
    <tableColumn id="4283" xr3:uid="{81776545-748B-4A03-8A69-03E86DDBF3AF}" name="Column4264"/>
    <tableColumn id="4284" xr3:uid="{4AC6D5D5-89D2-4C30-B39A-F46EB9A408D8}" name="Column4265"/>
    <tableColumn id="4285" xr3:uid="{E7E8FF11-76A4-45E9-9FB4-1BC1B8D8A7BF}" name="Column4266"/>
    <tableColumn id="4286" xr3:uid="{DA55A0C2-E751-4365-AB36-2A868A16D977}" name="Column4267"/>
    <tableColumn id="4287" xr3:uid="{41A4DF64-6583-41DE-AE43-11011F387422}" name="Column4268"/>
    <tableColumn id="4288" xr3:uid="{1483E46F-8A4E-4475-94BB-FBCB1FEF4F59}" name="Column4269"/>
    <tableColumn id="4289" xr3:uid="{0C337B45-EFD5-4B49-A222-B333FE527420}" name="Column4270"/>
    <tableColumn id="4290" xr3:uid="{37B8CA08-B63E-42C2-8778-C407C2B3E798}" name="Column4271"/>
    <tableColumn id="4291" xr3:uid="{02DC5AA5-2418-41E8-AAB1-3C72EBAB6026}" name="Column4272"/>
    <tableColumn id="4292" xr3:uid="{21CCF5AA-4384-4875-BAC1-18F1A2D4EEF2}" name="Column4273"/>
    <tableColumn id="4293" xr3:uid="{F6C86EC1-2CCD-4744-A1B6-4B40DE7EA425}" name="Column4274"/>
    <tableColumn id="4294" xr3:uid="{144C292F-1D1F-4964-9832-74A5F0F19A86}" name="Column4275"/>
    <tableColumn id="4295" xr3:uid="{A597FAE3-EA51-4E9D-988A-53364C9A58F5}" name="Column4276"/>
    <tableColumn id="4296" xr3:uid="{B5301DC4-51EA-4ADD-A3D1-81238B312230}" name="Column4277"/>
    <tableColumn id="4297" xr3:uid="{5BDC4966-9281-4C75-AF53-DAA48EB9D36C}" name="Column4278"/>
    <tableColumn id="4298" xr3:uid="{89B2BD61-10FE-49D8-A5EB-7BFD8B983456}" name="Column4279"/>
    <tableColumn id="4299" xr3:uid="{A3C9E133-1C62-4365-8E3F-D0CCD64A415D}" name="Column4280"/>
    <tableColumn id="4300" xr3:uid="{B4F4A0F1-4035-4C08-8C10-A30E59DD557E}" name="Column4281"/>
    <tableColumn id="4301" xr3:uid="{5C99F86B-A083-4778-BE1C-B66C7AF76018}" name="Column4282"/>
    <tableColumn id="4302" xr3:uid="{DB9F4465-1039-4315-BE73-9ACBB2F14EAC}" name="Column4283"/>
    <tableColumn id="4303" xr3:uid="{91049980-B527-4DF5-88BF-A42403758B1B}" name="Column4284"/>
    <tableColumn id="4304" xr3:uid="{A631C20B-9917-42DC-BFFF-B8CFD8A7E282}" name="Column4285"/>
    <tableColumn id="4305" xr3:uid="{AC32A725-7273-4780-B7DA-A6C12F05EBF0}" name="Column4286"/>
    <tableColumn id="4306" xr3:uid="{B6A6D9F5-043F-47C1-A4D4-1F6D6C985458}" name="Column4287"/>
    <tableColumn id="4307" xr3:uid="{57015362-AFD2-4605-BE19-4F755E1F93D6}" name="Column4288"/>
    <tableColumn id="4308" xr3:uid="{E56BC191-A8CC-49DC-93AC-87FCF41800CB}" name="Column4289"/>
    <tableColumn id="4309" xr3:uid="{2EC79455-3D0C-43A2-A285-05C1E5E3834A}" name="Column4290"/>
    <tableColumn id="4310" xr3:uid="{1AD9A1DF-C20E-4414-8403-4F6B99E7E5A9}" name="Column4291"/>
    <tableColumn id="4311" xr3:uid="{D39482E4-06E1-47AE-85C8-D7BD0EFD5FA8}" name="Column4292"/>
    <tableColumn id="4312" xr3:uid="{5F72EAC1-3FFB-4D02-9C97-CF1DA860D323}" name="Column4293"/>
    <tableColumn id="4313" xr3:uid="{2FA35936-2E34-480B-8E65-80B77163992D}" name="Column4294"/>
    <tableColumn id="4314" xr3:uid="{227EF469-AC42-4D6A-B5BA-96872DC32088}" name="Column4295"/>
    <tableColumn id="4315" xr3:uid="{1A7BF816-8AD4-40EB-B767-8B361E8D7260}" name="Column4296"/>
    <tableColumn id="4316" xr3:uid="{53D454F5-1025-43B5-B919-FE36EBD6FDF3}" name="Column4297"/>
    <tableColumn id="4317" xr3:uid="{04457DB9-C6AD-4638-A548-8DE479FA162C}" name="Column4298"/>
    <tableColumn id="4318" xr3:uid="{0C83A2B6-6024-451B-B7E1-5DF74DFDC3C1}" name="Column4299"/>
    <tableColumn id="4319" xr3:uid="{9635433C-233A-487D-8A47-D6B20BB850D1}" name="Column4300"/>
    <tableColumn id="4320" xr3:uid="{5625C054-7A06-46E8-91D7-F747EBDD3C31}" name="Column4301"/>
    <tableColumn id="4321" xr3:uid="{E0C73096-EDAE-40E3-8FDE-55D5DB2D91E8}" name="Column4302"/>
    <tableColumn id="4322" xr3:uid="{9C572A7F-84EF-4F64-82F1-3F8CC6BD923B}" name="Column4303"/>
    <tableColumn id="4323" xr3:uid="{0296883E-2C45-4307-BFE5-C79C0E76A4DF}" name="Column4304"/>
    <tableColumn id="4324" xr3:uid="{36673334-AB28-46E5-A343-7D4DED133621}" name="Column4305"/>
    <tableColumn id="4325" xr3:uid="{4AE57070-221F-4A4C-8638-E09B5C739C8B}" name="Column4306"/>
    <tableColumn id="4326" xr3:uid="{E4B29387-6348-4FB3-88B1-2B65C589F6E5}" name="Column4307"/>
    <tableColumn id="4327" xr3:uid="{93C717AB-A562-442A-BE05-9D51A52B1D78}" name="Column4308"/>
    <tableColumn id="4328" xr3:uid="{866F38B0-B5AD-4D79-855A-CB3088360A17}" name="Column4309"/>
    <tableColumn id="4329" xr3:uid="{A902D8D8-F118-40A9-B9D4-A7562F0FADC3}" name="Column4310"/>
    <tableColumn id="4330" xr3:uid="{FD803CD0-A6A8-478F-A5E0-E28A83D34298}" name="Column4311"/>
    <tableColumn id="4331" xr3:uid="{A4C52FAF-DE59-4EDB-9C83-5B6292992920}" name="Column4312"/>
    <tableColumn id="4332" xr3:uid="{D4290CCA-2693-468C-B34B-9EB99B53B67B}" name="Column4313"/>
    <tableColumn id="4333" xr3:uid="{CAD0C2E8-EBCB-4CD9-B5BC-4AC841668D47}" name="Column4314"/>
    <tableColumn id="4334" xr3:uid="{807A85C9-AA1F-4773-9FA9-75BCAA8ECB7F}" name="Column4315"/>
    <tableColumn id="4335" xr3:uid="{B250E789-0EFB-4321-A040-C82AA0032EF3}" name="Column4316"/>
    <tableColumn id="4336" xr3:uid="{C93BB2F8-569B-4365-9AD0-23C6210E8FC4}" name="Column4317"/>
    <tableColumn id="4337" xr3:uid="{D60DF4B2-C473-4F38-AA68-327ED0FB6D5C}" name="Column4318"/>
    <tableColumn id="4338" xr3:uid="{56BF60FC-2551-4D69-9168-A0AFD7F2E0C4}" name="Column4319"/>
    <tableColumn id="4339" xr3:uid="{165762BB-A944-4139-8A0A-80E75E5F89A3}" name="Column4320"/>
    <tableColumn id="4340" xr3:uid="{58D7D500-A1F9-4871-849A-45BE317A73DB}" name="Column4321"/>
    <tableColumn id="4341" xr3:uid="{4DBEFE99-456C-4013-A29E-8F4FCD947E8C}" name="Column4322"/>
    <tableColumn id="4342" xr3:uid="{3789EADE-37EA-4EA4-B28B-E618EBE92B8E}" name="Column4323"/>
    <tableColumn id="4343" xr3:uid="{65D3F99F-CFE7-49B3-99C2-484560262427}" name="Column4324"/>
    <tableColumn id="4344" xr3:uid="{E9A6CD46-CD16-4E0D-8197-C1F9131DBAD2}" name="Column4325"/>
    <tableColumn id="4345" xr3:uid="{F5A2D9CB-387B-4D98-A214-ABCF0A2374B8}" name="Column4326"/>
    <tableColumn id="4346" xr3:uid="{DEEA886F-883D-4D21-B3B6-2FE3F17E31E0}" name="Column4327"/>
    <tableColumn id="4347" xr3:uid="{A8509CC0-11B3-4428-90F6-76DE9FEF3D6B}" name="Column4328"/>
    <tableColumn id="4348" xr3:uid="{159F6F95-AC63-4ADE-B2CC-8FA3BD9EC7A0}" name="Column4329"/>
    <tableColumn id="4349" xr3:uid="{8111485E-D9DB-430F-BF3B-9388B1B3985F}" name="Column4330"/>
    <tableColumn id="4350" xr3:uid="{0E34AF32-C90A-427B-B8ED-83AA4E4381F9}" name="Column4331"/>
    <tableColumn id="4351" xr3:uid="{1F62CF87-A291-4493-8CF9-EE457A6D0033}" name="Column4332"/>
    <tableColumn id="4352" xr3:uid="{7F512868-B6E6-45D4-B6C2-6953D6035806}" name="Column4333"/>
    <tableColumn id="4353" xr3:uid="{613BB4D1-B120-466D-8164-412B76522BD3}" name="Column4334"/>
    <tableColumn id="4354" xr3:uid="{74201F3F-ECA9-4885-8297-F8374BDD62AB}" name="Column4335"/>
    <tableColumn id="4355" xr3:uid="{E76358EE-35C9-44E2-8138-8582CACEB2CF}" name="Column4336"/>
    <tableColumn id="4356" xr3:uid="{F17FA7D7-E244-4BB1-ABC2-9B3C6F9C750E}" name="Column4337"/>
    <tableColumn id="4357" xr3:uid="{38064C25-19D0-48E1-8560-0E67954E049D}" name="Column4338"/>
    <tableColumn id="4358" xr3:uid="{83E77F82-910D-4E26-8FAD-14E3442C2D7A}" name="Column4339"/>
    <tableColumn id="4359" xr3:uid="{9AC89F81-72DD-4227-8072-518F20072ABD}" name="Column4340"/>
    <tableColumn id="4360" xr3:uid="{B6E03D21-AD34-465B-98D2-80FF9497955C}" name="Column4341"/>
    <tableColumn id="4361" xr3:uid="{0E2871A4-D6E5-4E5C-A8ED-DF2B0D70A297}" name="Column4342"/>
    <tableColumn id="4362" xr3:uid="{18543CAA-4E79-4079-B67D-8A074BF9A5BE}" name="Column4343"/>
    <tableColumn id="4363" xr3:uid="{FC6FE938-CB52-4BD6-9EFB-125FB65E27D5}" name="Column4344"/>
    <tableColumn id="4364" xr3:uid="{563C78E2-4B86-41F6-81B3-CA74BAC94675}" name="Column4345"/>
    <tableColumn id="4365" xr3:uid="{42F0BEE8-3A29-4DAA-B704-258EA8946EF8}" name="Column4346"/>
    <tableColumn id="4366" xr3:uid="{790BD6EE-2C45-478C-9E4C-8DB4F4515027}" name="Column4347"/>
    <tableColumn id="4367" xr3:uid="{0A898E98-6F23-4D1B-AA77-E82D9083C05D}" name="Column4348"/>
    <tableColumn id="4368" xr3:uid="{FD07E772-7194-494B-9C72-BD28031C4C84}" name="Column4349"/>
    <tableColumn id="4369" xr3:uid="{B6461D0B-AF61-4B43-B4D1-0FBA3E62CA90}" name="Column4350"/>
    <tableColumn id="4370" xr3:uid="{063F349E-0CE0-48CF-BF04-ECEE4606F23F}" name="Column4351"/>
    <tableColumn id="4371" xr3:uid="{B79854DC-5753-40E6-9342-8D03CCD224F1}" name="Column4352"/>
    <tableColumn id="4372" xr3:uid="{5DD92327-B5FE-49F0-BBE2-66E08F0D6E1C}" name="Column4353"/>
    <tableColumn id="4373" xr3:uid="{8A85889F-302F-422A-A6DE-051E9B0C0601}" name="Column4354"/>
    <tableColumn id="4374" xr3:uid="{64C3A59C-8076-4C24-8734-29FF72C12773}" name="Column4355"/>
    <tableColumn id="4375" xr3:uid="{E79039FC-B58E-4111-A124-0E0D9B649C2B}" name="Column4356"/>
    <tableColumn id="4376" xr3:uid="{2AB09DE7-4581-48BE-9874-67FA48BFB769}" name="Column4357"/>
    <tableColumn id="4377" xr3:uid="{A2447016-7E8A-44B6-856D-277BF7199C15}" name="Column4358"/>
    <tableColumn id="4378" xr3:uid="{C12FA469-BD08-4790-829C-747D02ABCBB0}" name="Column4359"/>
    <tableColumn id="4379" xr3:uid="{32693051-2CB1-4B8B-AA93-1583D7A395CE}" name="Column4360"/>
    <tableColumn id="4380" xr3:uid="{DA253801-5626-4FA9-9DC3-59DD1F192F2D}" name="Column4361"/>
    <tableColumn id="4381" xr3:uid="{DF826EEB-8745-4A80-A30F-A71F0AC76356}" name="Column4362"/>
    <tableColumn id="4382" xr3:uid="{DC0681CC-3BBA-446F-95AB-CBB1C5F7EF11}" name="Column4363"/>
    <tableColumn id="4383" xr3:uid="{F7C38F94-F8C9-435C-A1FB-98667D1C24E1}" name="Column4364"/>
    <tableColumn id="4384" xr3:uid="{063A07C7-8FA7-412D-82D6-61603653991E}" name="Column4365"/>
    <tableColumn id="4385" xr3:uid="{D2F8E74B-4444-4F09-9605-72DA18D78E27}" name="Column4366"/>
    <tableColumn id="4386" xr3:uid="{8DC233AA-3B54-4262-B127-C50D1022724B}" name="Column4367"/>
    <tableColumn id="4387" xr3:uid="{3E8A28E9-49FF-47AF-BB85-8F35F35076DE}" name="Column4368"/>
    <tableColumn id="4388" xr3:uid="{6BFC2EFD-9AF7-47B7-9285-E1F590527D15}" name="Column4369"/>
    <tableColumn id="4389" xr3:uid="{810BDC50-6D50-4757-AE49-82E3E37143AC}" name="Column4370"/>
    <tableColumn id="4390" xr3:uid="{84D54BEA-400D-4C7F-AD6D-6DDF29E1C564}" name="Column4371"/>
    <tableColumn id="4391" xr3:uid="{FB0AB8CF-1FD2-4374-8C7D-4C03033EAA99}" name="Column4372"/>
    <tableColumn id="4392" xr3:uid="{EED77F19-982E-4114-95AF-BE519587F9F3}" name="Column4373"/>
    <tableColumn id="4393" xr3:uid="{11D3AA24-E76E-407E-9258-F5990F391635}" name="Column4374"/>
    <tableColumn id="4394" xr3:uid="{347E5872-53C7-4D24-8046-A545C6E10991}" name="Column4375"/>
    <tableColumn id="4395" xr3:uid="{44DF28D1-41CB-45B8-9A22-F7AFFD59BFD7}" name="Column4376"/>
    <tableColumn id="4396" xr3:uid="{B126A561-A4C7-460A-96AA-308F33DAE371}" name="Column4377"/>
    <tableColumn id="4397" xr3:uid="{C7526695-6D49-4E6B-86E1-93105EC919A6}" name="Column4378"/>
    <tableColumn id="4398" xr3:uid="{FFC3876A-0A7B-4AE1-AD41-D16AB23598C2}" name="Column4379"/>
    <tableColumn id="4399" xr3:uid="{62B688CE-320A-4E49-B061-1F01FFCEB893}" name="Column4380"/>
    <tableColumn id="4400" xr3:uid="{598165E3-ED60-490F-AF12-4804A345AD1A}" name="Column4381"/>
    <tableColumn id="4401" xr3:uid="{D49A4FBC-BFAC-4E30-8AFF-A6E492087A71}" name="Column4382"/>
    <tableColumn id="4402" xr3:uid="{E7461FDC-C1FB-4F81-BE1C-0B7225AA89D2}" name="Column4383"/>
    <tableColumn id="4403" xr3:uid="{93A6D749-9607-448D-B016-AE6CADFDB9B7}" name="Column4384"/>
    <tableColumn id="4404" xr3:uid="{E27BCC15-80D4-4E88-AB70-D8794B5DE814}" name="Column4385"/>
    <tableColumn id="4405" xr3:uid="{169F0C78-E413-4012-B180-D687C427E164}" name="Column4386"/>
    <tableColumn id="4406" xr3:uid="{7160DFDF-BED5-4D1B-B3CA-6829700410CB}" name="Column4387"/>
    <tableColumn id="4407" xr3:uid="{13AE2E9D-0599-4531-9FFD-4B8DA4CD0132}" name="Column4388"/>
    <tableColumn id="4408" xr3:uid="{A5E0FC40-293A-4B09-8BBA-3C4426BE4BAB}" name="Column4389"/>
    <tableColumn id="4409" xr3:uid="{F9184F95-2CBD-4A71-8812-387318446C94}" name="Column4390"/>
    <tableColumn id="4410" xr3:uid="{E85F4484-BE38-4E91-A233-6B1E0E819BF2}" name="Column4391"/>
    <tableColumn id="4411" xr3:uid="{122BA05A-5BCE-4634-BE2E-A1A014EBF007}" name="Column4392"/>
    <tableColumn id="4412" xr3:uid="{1932186F-0C73-49B6-999D-B36ADFCC0F62}" name="Column4393"/>
    <tableColumn id="4413" xr3:uid="{30CE988E-3886-480F-A9B4-797C8599F351}" name="Column4394"/>
    <tableColumn id="4414" xr3:uid="{50E202C1-415D-4232-A608-AD2F288035CC}" name="Column4395"/>
    <tableColumn id="4415" xr3:uid="{C3611D33-BDE1-4D1C-88B8-C3E1D1E1BB8F}" name="Column4396"/>
    <tableColumn id="4416" xr3:uid="{34288B27-C336-489C-8A90-EC8E5EB96F83}" name="Column4397"/>
    <tableColumn id="4417" xr3:uid="{4310029F-B141-4F4F-8BE3-009ED782D365}" name="Column4398"/>
    <tableColumn id="4418" xr3:uid="{89D89CEC-ACFF-4845-85F2-865BA189EEA3}" name="Column4399"/>
    <tableColumn id="4419" xr3:uid="{EBFC40D3-B88F-4FB2-9364-64E714329D67}" name="Column4400"/>
    <tableColumn id="4420" xr3:uid="{25365B4A-571B-4C18-A3D0-6007CBBDCD71}" name="Column4401"/>
    <tableColumn id="4421" xr3:uid="{9FA2F5F2-1D1B-47FD-8D70-C79AE8F949F2}" name="Column4402"/>
    <tableColumn id="4422" xr3:uid="{CC8707B3-E97F-443A-9F2F-0A9538A24C65}" name="Column4403"/>
    <tableColumn id="4423" xr3:uid="{552F6C71-2081-4B80-B60A-06D2F9AB21F7}" name="Column4404"/>
    <tableColumn id="4424" xr3:uid="{237BFC65-67B1-419B-AA7B-08501D118FAD}" name="Column4405"/>
    <tableColumn id="4425" xr3:uid="{71844630-E74A-49B0-A689-F988D6D07000}" name="Column4406"/>
    <tableColumn id="4426" xr3:uid="{745801E7-7E8F-4E37-9DF6-1D15CDBF9435}" name="Column4407"/>
    <tableColumn id="4427" xr3:uid="{E0F32F6C-BD9A-43D3-AA6B-DD36948A5366}" name="Column4408"/>
    <tableColumn id="4428" xr3:uid="{5E3838DA-E54E-4657-9766-131A7BEEA598}" name="Column4409"/>
    <tableColumn id="4429" xr3:uid="{7B1B38E3-746F-4176-9A08-772DE2D82355}" name="Column4410"/>
    <tableColumn id="4430" xr3:uid="{162789D4-6839-4CB2-B9AB-C2CCB0E9094D}" name="Column4411"/>
    <tableColumn id="4431" xr3:uid="{7D6C7EE4-1356-48C1-A356-2B581513C1F4}" name="Column4412"/>
    <tableColumn id="4432" xr3:uid="{6C4F0F34-A4DB-4F9C-818E-292EDDBE3827}" name="Column4413"/>
    <tableColumn id="4433" xr3:uid="{BD44CA6B-EC68-4047-8CDD-920B5373509F}" name="Column4414"/>
    <tableColumn id="4434" xr3:uid="{4A69A301-5257-4F3F-8C09-1537D7A8A96F}" name="Column4415"/>
    <tableColumn id="4435" xr3:uid="{D1177053-9C42-465F-96E3-C1DB74FF5F59}" name="Column4416"/>
    <tableColumn id="4436" xr3:uid="{F80F582B-66A0-4D92-919F-3B118732D54D}" name="Column4417"/>
    <tableColumn id="4437" xr3:uid="{7A13A4A8-E484-4A9C-A853-A51E1E4F912D}" name="Column4418"/>
    <tableColumn id="4438" xr3:uid="{CF877BED-4552-4968-B92F-D1CAF0C9FBDF}" name="Column4419"/>
    <tableColumn id="4439" xr3:uid="{4CA1377E-60C0-4497-9E13-06916D73F55D}" name="Column4420"/>
    <tableColumn id="4440" xr3:uid="{3B4D7B5F-0D45-4C8E-AAD0-382C09816A2D}" name="Column4421"/>
    <tableColumn id="4441" xr3:uid="{F2614D02-8151-4191-B847-FD667B7A7109}" name="Column4422"/>
    <tableColumn id="4442" xr3:uid="{CCABE61A-1BBE-44D5-906B-0654662E1070}" name="Column4423"/>
    <tableColumn id="4443" xr3:uid="{A7A45E5D-099B-4C88-9073-34F27194C196}" name="Column4424"/>
    <tableColumn id="4444" xr3:uid="{C1A926AF-9C52-4DFA-86AE-7676A52F4C34}" name="Column4425"/>
    <tableColumn id="4445" xr3:uid="{CCF11A16-8920-4DFD-A5EA-CD48D86EE503}" name="Column4426"/>
    <tableColumn id="4446" xr3:uid="{AF2BFAD4-832D-4DC6-B06C-00FE78A039CE}" name="Column4427"/>
    <tableColumn id="4447" xr3:uid="{D326D057-B5F9-4994-AEFD-6332908D8384}" name="Column4428"/>
    <tableColumn id="4448" xr3:uid="{72D80EB9-7B5C-4A84-BE7D-8912AC59DCE1}" name="Column4429"/>
    <tableColumn id="4449" xr3:uid="{275E6044-F1E6-473C-B918-279A5D3706AE}" name="Column4430"/>
    <tableColumn id="4450" xr3:uid="{9E28A08A-58C4-4793-B697-08DDD866250F}" name="Column4431"/>
    <tableColumn id="4451" xr3:uid="{3D024957-0124-4305-A29B-44846C3E0181}" name="Column4432"/>
    <tableColumn id="4452" xr3:uid="{7EB6B084-23BF-44C5-9C13-B408FD20AFB2}" name="Column4433"/>
    <tableColumn id="4453" xr3:uid="{ACB2FA22-5297-4FBA-B24E-13DC5E38C528}" name="Column4434"/>
    <tableColumn id="4454" xr3:uid="{07DEE389-5146-4D8A-9316-73D08A476F6E}" name="Column4435"/>
    <tableColumn id="4455" xr3:uid="{D69C064B-FC51-45FD-9169-9FC3AD7B6418}" name="Column4436"/>
    <tableColumn id="4456" xr3:uid="{94262DB0-DCE6-4504-A652-00AD9A24E111}" name="Column4437"/>
    <tableColumn id="4457" xr3:uid="{0029192A-9878-41AE-ADDB-52957D6E36B7}" name="Column4438"/>
    <tableColumn id="4458" xr3:uid="{5C2217E4-E427-4DF4-A10E-9B9504583269}" name="Column4439"/>
    <tableColumn id="4459" xr3:uid="{C52FD103-A7B4-441F-9142-599FA4B5F78B}" name="Column4440"/>
    <tableColumn id="4460" xr3:uid="{C65B0689-511F-40E5-BA58-B8D61BE259D5}" name="Column4441"/>
    <tableColumn id="4461" xr3:uid="{EF2A42DD-5AB0-4316-999D-68AA31FBD7C9}" name="Column4442"/>
    <tableColumn id="4462" xr3:uid="{11F69CED-CE40-4AB8-B835-51D5778E0FDD}" name="Column4443"/>
    <tableColumn id="4463" xr3:uid="{0DA569E0-A732-4326-93B4-1B2FBACDB71E}" name="Column4444"/>
    <tableColumn id="4464" xr3:uid="{5C05A018-A446-467B-8728-06E68FF25F84}" name="Column4445"/>
    <tableColumn id="4465" xr3:uid="{779325DD-5737-4411-BAB9-9EEE9D87961A}" name="Column4446"/>
    <tableColumn id="4466" xr3:uid="{E42DD4F9-1B68-4B97-BEF1-F1E7A8B26C21}" name="Column4447"/>
    <tableColumn id="4467" xr3:uid="{88804357-03B0-4207-9FE4-569DC3A6D2B0}" name="Column4448"/>
    <tableColumn id="4468" xr3:uid="{708C9AF6-0BE3-4780-8F08-33E680AC1823}" name="Column4449"/>
    <tableColumn id="4469" xr3:uid="{2133D67B-C404-489A-9556-46EDB18200D4}" name="Column4450"/>
    <tableColumn id="4470" xr3:uid="{63C5D551-CE4B-4547-A185-FA865FC7EF53}" name="Column4451"/>
    <tableColumn id="4471" xr3:uid="{60041055-FEA3-4D0A-8A94-81E99077ABB2}" name="Column4452"/>
    <tableColumn id="4472" xr3:uid="{900B3389-32FD-4EF9-9D9B-038D4E54CE32}" name="Column4453"/>
    <tableColumn id="4473" xr3:uid="{8D2A9083-E1B8-4D7C-8B91-FB796EAA0C50}" name="Column4454"/>
    <tableColumn id="4474" xr3:uid="{B5E13F23-7A37-4A8A-8B7C-F715EA1712A2}" name="Column4455"/>
    <tableColumn id="4475" xr3:uid="{FAB8936C-AD1C-4295-B722-4BE8023D5A5F}" name="Column4456"/>
    <tableColumn id="4476" xr3:uid="{2C8CBC75-DD8B-4DD8-ADA8-234C7515E210}" name="Column4457"/>
    <tableColumn id="4477" xr3:uid="{99C8696F-6B3D-4657-B4BE-F922D9C0A72B}" name="Column4458"/>
    <tableColumn id="4478" xr3:uid="{0A85F79C-D90E-4B57-9DF6-125853CEF554}" name="Column4459"/>
    <tableColumn id="4479" xr3:uid="{779F01EA-1DDC-464D-B2AB-6BB93CF77C18}" name="Column4460"/>
    <tableColumn id="4480" xr3:uid="{EAB2D4BE-E4E4-4BF5-866A-8752EEB4C6F7}" name="Column4461"/>
    <tableColumn id="4481" xr3:uid="{5D3E8166-EB2E-4BC9-9773-2F448C5C0788}" name="Column4462"/>
    <tableColumn id="4482" xr3:uid="{BBE2CFCA-B273-437E-B3EF-61783DFC2058}" name="Column4463"/>
    <tableColumn id="4483" xr3:uid="{90173E3F-5BFA-4E5A-857B-B761352D218C}" name="Column4464"/>
    <tableColumn id="4484" xr3:uid="{D62A7106-56AD-4B24-A5B0-675E76C99733}" name="Column4465"/>
    <tableColumn id="4485" xr3:uid="{9BA608CF-3884-494F-8684-8C63DEAC53C3}" name="Column4466"/>
    <tableColumn id="4486" xr3:uid="{58B538D1-77FE-45E7-A9C0-BF8DE031FD06}" name="Column4467"/>
    <tableColumn id="4487" xr3:uid="{272C8334-3573-4A02-A62C-EEC3EF27509E}" name="Column4468"/>
    <tableColumn id="4488" xr3:uid="{88303121-C780-4F3C-82A6-411A10CC42B0}" name="Column4469"/>
    <tableColumn id="4489" xr3:uid="{60759782-51B9-4486-BB6F-ADB91BE3AB7D}" name="Column4470"/>
    <tableColumn id="4490" xr3:uid="{9B62D977-36D6-4551-864C-5C25FF1417B4}" name="Column4471"/>
    <tableColumn id="4491" xr3:uid="{F8A842E3-B2D5-430C-A2A1-784DA404CD9C}" name="Column4472"/>
    <tableColumn id="4492" xr3:uid="{BBF99086-C97F-49E3-A257-A8298AF5F246}" name="Column4473"/>
    <tableColumn id="4493" xr3:uid="{204CC0A0-F70B-470F-A8AE-AAAF6284564A}" name="Column4474"/>
    <tableColumn id="4494" xr3:uid="{2D4FADFC-F36E-43FC-95CA-47CFE201C200}" name="Column4475"/>
    <tableColumn id="4495" xr3:uid="{D8328C78-DC74-455D-BF2C-9F481479B414}" name="Column4476"/>
    <tableColumn id="4496" xr3:uid="{CB7E2C15-D848-4D4A-BAC7-9A4FAF64A9D4}" name="Column4477"/>
    <tableColumn id="4497" xr3:uid="{E2493138-9118-4BF1-8DAE-F74128C4DDDD}" name="Column4478"/>
    <tableColumn id="4498" xr3:uid="{80AC21C2-A3FA-46DD-96AB-FF331085C37D}" name="Column4479"/>
    <tableColumn id="4499" xr3:uid="{492BB2FD-F7CB-4CD1-AF6A-3A08263F12E0}" name="Column4480"/>
    <tableColumn id="4500" xr3:uid="{BBEEBF11-1217-4FEE-95C0-FBCE811E9D2E}" name="Column4481"/>
    <tableColumn id="4501" xr3:uid="{20B1EFC6-898E-41BF-B0FC-5002A7DA4DF0}" name="Column4482"/>
    <tableColumn id="4502" xr3:uid="{648BFC13-C3CB-4A7D-A8BF-2780138A5628}" name="Column4483"/>
    <tableColumn id="4503" xr3:uid="{DD772385-62DD-4521-A615-1CE1C80D3AA7}" name="Column4484"/>
    <tableColumn id="4504" xr3:uid="{278B9D85-539D-4D30-96C7-9E9474436F77}" name="Column4485"/>
    <tableColumn id="4505" xr3:uid="{F7090BE1-0D0B-4AA7-942F-A99B852A6181}" name="Column4486"/>
    <tableColumn id="4506" xr3:uid="{EB03DAB4-0623-4CE9-8E57-7171D9C7C18C}" name="Column4487"/>
    <tableColumn id="4507" xr3:uid="{CFBAF2B4-D864-42C6-8630-D9B78779BC9F}" name="Column4488"/>
    <tableColumn id="4508" xr3:uid="{68C8FD1F-0D21-4373-B244-A31AF35AD932}" name="Column4489"/>
    <tableColumn id="4509" xr3:uid="{ED33961D-25BE-4D5C-995E-8347BD1E8230}" name="Column4490"/>
    <tableColumn id="4510" xr3:uid="{6170D8D1-6E53-4CBC-B4A9-9FC054C09DC1}" name="Column4491"/>
    <tableColumn id="4511" xr3:uid="{A8854D30-4118-4A1E-B8CE-F4975C247594}" name="Column4492"/>
    <tableColumn id="4512" xr3:uid="{C31D6545-B24D-4283-BF16-98394F4459A5}" name="Column4493"/>
    <tableColumn id="4513" xr3:uid="{B9680E1D-29FD-4FF8-85D1-413AA963C0A5}" name="Column4494"/>
    <tableColumn id="4514" xr3:uid="{46A5BD7D-3961-4C0B-AE93-6E05BFA2F093}" name="Column4495"/>
    <tableColumn id="4515" xr3:uid="{EA86AAB5-89DA-46B2-8C1D-08932BCA082D}" name="Column4496"/>
    <tableColumn id="4516" xr3:uid="{3460376F-52F5-46AB-9B29-913A4C409C7C}" name="Column4497"/>
    <tableColumn id="4517" xr3:uid="{8C45CBCB-D110-4165-A3FE-211C5C4DC13C}" name="Column4498"/>
    <tableColumn id="4518" xr3:uid="{8533F8F9-E3A2-40DC-AD46-75735C4D6B69}" name="Column4499"/>
    <tableColumn id="4519" xr3:uid="{192ABAFF-57B4-435E-B220-9ADFFA4A3C69}" name="Column4500"/>
    <tableColumn id="4520" xr3:uid="{7955A6E4-8CC0-4AB2-AEEC-BDBC5AEADCCB}" name="Column4501"/>
    <tableColumn id="4521" xr3:uid="{C5392639-4895-47B6-9EC8-BE6883C6B99C}" name="Column4502"/>
    <tableColumn id="4522" xr3:uid="{B302D64B-0A72-482A-BA78-79F18EFBEFB5}" name="Column4503"/>
    <tableColumn id="4523" xr3:uid="{70030829-3109-49E9-AA3D-851ADEFACCE8}" name="Column4504"/>
    <tableColumn id="4524" xr3:uid="{48CD3FBA-64D4-4108-841E-20CB17837A14}" name="Column4505"/>
    <tableColumn id="4525" xr3:uid="{22CA86B3-E7C5-4643-8CA6-99E94A193163}" name="Column4506"/>
    <tableColumn id="4526" xr3:uid="{C582F37C-9566-4982-A74B-4EA94CAD6A06}" name="Column4507"/>
    <tableColumn id="4527" xr3:uid="{3DBE728E-C638-4C25-901E-DF15921C32BF}" name="Column4508"/>
    <tableColumn id="4528" xr3:uid="{1AD56669-38EE-47FC-82BF-924A048DCCE3}" name="Column4509"/>
    <tableColumn id="4529" xr3:uid="{5E98DEA6-B6BB-4C44-8EB3-CA3D8B0A94BA}" name="Column4510"/>
    <tableColumn id="4530" xr3:uid="{E24DAAAD-C6E7-4F27-92A6-A587AF9907A3}" name="Column4511"/>
    <tableColumn id="4531" xr3:uid="{EF050810-E2CC-4C09-8C02-C9B0039815C2}" name="Column4512"/>
    <tableColumn id="4532" xr3:uid="{3C83B2C1-3D4D-47C5-B0E9-D6DC9F31B9C1}" name="Column4513"/>
    <tableColumn id="4533" xr3:uid="{5D120E90-D1A9-4C4A-9986-5D3F6150264A}" name="Column4514"/>
    <tableColumn id="4534" xr3:uid="{6B7E4565-4F35-4589-82FD-C26E4895B3BC}" name="Column4515"/>
    <tableColumn id="4535" xr3:uid="{E5A1F7B9-F1CA-438F-BE6B-72BC70273D3A}" name="Column4516"/>
    <tableColumn id="4536" xr3:uid="{3DD9170B-540F-4F00-B0BA-BB9AAFA6BA9A}" name="Column4517"/>
    <tableColumn id="4537" xr3:uid="{087FB352-1E75-4901-887D-6C3939F4F8B4}" name="Column4518"/>
    <tableColumn id="4538" xr3:uid="{2FAD83D1-2744-4BB4-B0B9-1B31240192A4}" name="Column4519"/>
    <tableColumn id="4539" xr3:uid="{ECFA30BC-9943-4FD5-AB1A-5FF4D6A136A0}" name="Column4520"/>
    <tableColumn id="4540" xr3:uid="{0CF564BC-8DA0-4E7E-9D3C-EA8FE80DFA15}" name="Column4521"/>
    <tableColumn id="4541" xr3:uid="{B9E5D45A-800F-40AD-81ED-14DBF589836E}" name="Column4522"/>
    <tableColumn id="4542" xr3:uid="{F6D49E23-08A1-45C0-BC89-A5FC5BBF9C98}" name="Column4523"/>
    <tableColumn id="4543" xr3:uid="{9DDAA711-5710-4423-A360-7D6A4807D134}" name="Column4524"/>
    <tableColumn id="4544" xr3:uid="{45804652-58B1-42F5-88F5-A3D330D707BD}" name="Column4525"/>
    <tableColumn id="4545" xr3:uid="{5434266D-BA35-4752-A920-9499C483ECA0}" name="Column4526"/>
    <tableColumn id="4546" xr3:uid="{71AFAE4A-0598-4669-9918-73C8D8297295}" name="Column4527"/>
    <tableColumn id="4547" xr3:uid="{96F6260A-F79B-4BDE-B151-FEB07295BF31}" name="Column4528"/>
    <tableColumn id="4548" xr3:uid="{7E6D4991-A6A4-4CD6-804E-4AE9942BF5AF}" name="Column4529"/>
    <tableColumn id="4549" xr3:uid="{1073979B-2C33-4647-9E7B-DA8D514DA19B}" name="Column4530"/>
    <tableColumn id="4550" xr3:uid="{FE27FAFC-4020-47BF-ACD8-7E027B06F7C5}" name="Column4531"/>
    <tableColumn id="4551" xr3:uid="{EF81841A-F921-4938-BCCD-0850B82A1449}" name="Column4532"/>
    <tableColumn id="4552" xr3:uid="{BFD70D52-4BDA-49CC-A303-96F3C74697E5}" name="Column4533"/>
    <tableColumn id="4553" xr3:uid="{3C754066-9FBD-4E29-B402-C0F1AEAA6AEF}" name="Column4534"/>
    <tableColumn id="4554" xr3:uid="{B3512F3F-8704-4B30-A35B-69BCD6F411A8}" name="Column4535"/>
    <tableColumn id="4555" xr3:uid="{BF384748-925C-4B3F-82B9-BE250EFB5CFF}" name="Column4536"/>
    <tableColumn id="4556" xr3:uid="{9C4997A1-473A-4E4E-B965-9D7548C52F0A}" name="Column4537"/>
    <tableColumn id="4557" xr3:uid="{6ABB3058-8CD0-45A7-A557-EE7C076B3D22}" name="Column4538"/>
    <tableColumn id="4558" xr3:uid="{F97FE914-9749-4734-9D80-B0C3FCA0BE43}" name="Column4539"/>
    <tableColumn id="4559" xr3:uid="{C7BAF0F0-4ED1-4D14-91C4-2B3700E0F9B6}" name="Column4540"/>
    <tableColumn id="4560" xr3:uid="{81236809-E48F-4B4C-8B21-6C45D3F8DFAB}" name="Column4541"/>
    <tableColumn id="4561" xr3:uid="{AFDC5FC4-CC3D-42CA-A794-E6A7A74C5F32}" name="Column4542"/>
    <tableColumn id="4562" xr3:uid="{9636B435-4EDA-41DC-AA0B-C0686FFDE679}" name="Column4543"/>
    <tableColumn id="4563" xr3:uid="{C71CDB90-7EE0-47EB-8539-9DDBAF106AE0}" name="Column4544"/>
    <tableColumn id="4564" xr3:uid="{B885585F-EE73-42B6-941E-7C4C8566CA9C}" name="Column4545"/>
    <tableColumn id="4565" xr3:uid="{7D5B7D04-822D-4B0D-B820-CB794B96C75D}" name="Column4546"/>
    <tableColumn id="4566" xr3:uid="{D79831E0-A591-4AFF-AA3C-236E1D05D5FA}" name="Column4547"/>
    <tableColumn id="4567" xr3:uid="{411952E3-7463-4423-85B1-35D20EDADCA1}" name="Column4548"/>
    <tableColumn id="4568" xr3:uid="{5CA086AD-1670-41BD-8D65-D185246681FF}" name="Column4549"/>
    <tableColumn id="4569" xr3:uid="{8015F79B-EBD3-4DBE-9B0A-3436FFA625FC}" name="Column4550"/>
    <tableColumn id="4570" xr3:uid="{BC8A4492-B0F2-4EEF-968F-9C076B24A75B}" name="Column4551"/>
    <tableColumn id="4571" xr3:uid="{615E8027-0C31-41F8-9883-513456CA3C48}" name="Column4552"/>
    <tableColumn id="4572" xr3:uid="{FA33D261-1B2F-4AAE-AC5D-168A34CF0660}" name="Column4553"/>
    <tableColumn id="4573" xr3:uid="{3999EBA7-1AA6-4C3D-AEFA-A1155A3CC6D8}" name="Column4554"/>
    <tableColumn id="4574" xr3:uid="{9D2F71E7-DD37-4D25-B17D-F9D39E2A932B}" name="Column4555"/>
    <tableColumn id="4575" xr3:uid="{A5EFBE42-8319-416D-9A25-4C440AF3D6A7}" name="Column4556"/>
    <tableColumn id="4576" xr3:uid="{9C737608-3B5E-4064-B2D5-762EC41AAB4A}" name="Column4557"/>
    <tableColumn id="4577" xr3:uid="{77A351F4-72D9-4079-95E2-077511482173}" name="Column4558"/>
    <tableColumn id="4578" xr3:uid="{70159913-7C1B-483D-B315-5D8E5B512B30}" name="Column4559"/>
    <tableColumn id="4579" xr3:uid="{42746B9F-A3FB-4E01-B242-187BB7749CDA}" name="Column4560"/>
    <tableColumn id="4580" xr3:uid="{9BE73F56-1D3E-4C56-B8CB-53675D675337}" name="Column4561"/>
    <tableColumn id="4581" xr3:uid="{3B5AB55A-40E3-4BE4-9DE4-B2DF8B950A10}" name="Column4562"/>
    <tableColumn id="4582" xr3:uid="{BC3EA542-E2C9-4CDE-83F6-36BAA8EEBC12}" name="Column4563"/>
    <tableColumn id="4583" xr3:uid="{B969C702-5E90-483B-AA8A-6EA46AF01806}" name="Column4564"/>
    <tableColumn id="4584" xr3:uid="{0A0D65A6-1CC2-4485-845B-25BF1634DBB9}" name="Column4565"/>
    <tableColumn id="4585" xr3:uid="{D21622E7-D99D-4FE9-9AD3-91CB604A97A3}" name="Column4566"/>
    <tableColumn id="4586" xr3:uid="{0992ADD7-51BA-4309-B307-8EF380626600}" name="Column4567"/>
    <tableColumn id="4587" xr3:uid="{BCC3D0AD-5058-498F-BD4C-87401AB71E90}" name="Column4568"/>
    <tableColumn id="4588" xr3:uid="{8D63EADC-E975-4D4C-A95B-E66D674EBC8C}" name="Column4569"/>
    <tableColumn id="4589" xr3:uid="{77422A6D-EB37-4F91-A778-6C03D4EC7838}" name="Column4570"/>
    <tableColumn id="4590" xr3:uid="{561E73A6-C102-4D1E-98A6-7F18FC7E31AB}" name="Column4571"/>
    <tableColumn id="4591" xr3:uid="{D05E2ED7-277E-43B5-9974-54C25289EE00}" name="Column4572"/>
    <tableColumn id="4592" xr3:uid="{2CDF8D77-1A9F-426C-8A33-B24E831EF2FC}" name="Column4573"/>
    <tableColumn id="4593" xr3:uid="{2E9987D0-BDCA-49BB-BAC4-006D0E641231}" name="Column4574"/>
    <tableColumn id="4594" xr3:uid="{E664E45A-753B-4F92-A072-23345C326BBE}" name="Column4575"/>
    <tableColumn id="4595" xr3:uid="{A9AF7283-7F5E-45AB-BB81-C18665709F3A}" name="Column4576"/>
    <tableColumn id="4596" xr3:uid="{7BC6D306-3F3B-4968-85CB-74508496BCD3}" name="Column4577"/>
    <tableColumn id="4597" xr3:uid="{26D846CF-6BD6-4BCD-87A0-F5F18DFB2B87}" name="Column4578"/>
    <tableColumn id="4598" xr3:uid="{D0168D85-F5C0-4187-AFA2-C8B5279C7E11}" name="Column4579"/>
    <tableColumn id="4599" xr3:uid="{0233E999-4D88-4C7D-A51F-214E7F283235}" name="Column4580"/>
    <tableColumn id="4600" xr3:uid="{1FEDA401-1A5A-480F-8C36-1350217BAB2A}" name="Column4581"/>
    <tableColumn id="4601" xr3:uid="{779A9261-C342-43B3-B16C-E6CAA650C6EE}" name="Column4582"/>
    <tableColumn id="4602" xr3:uid="{75563D3A-30FF-4236-B833-CFCFBE424B7E}" name="Column4583"/>
    <tableColumn id="4603" xr3:uid="{DE6E7D36-8F3D-433B-94B3-DAFC637CEBAD}" name="Column4584"/>
    <tableColumn id="4604" xr3:uid="{25A78DD8-2CCA-446C-8C88-C278A7802CE6}" name="Column4585"/>
    <tableColumn id="4605" xr3:uid="{200353E2-AD0B-41E0-BBC9-7CEF0F814A4E}" name="Column4586"/>
    <tableColumn id="4606" xr3:uid="{40DA43EE-604D-4AC5-AA92-29B15968435C}" name="Column4587"/>
    <tableColumn id="4607" xr3:uid="{867AB549-4AF8-409F-883A-010EA027E145}" name="Column4588"/>
    <tableColumn id="4608" xr3:uid="{960B2F5A-DC78-4D6E-A48A-5FCB19D83D8E}" name="Column4589"/>
    <tableColumn id="4609" xr3:uid="{2022E4F4-BC55-44A1-9571-E7504DB5D798}" name="Column4590"/>
    <tableColumn id="4610" xr3:uid="{D7514B4A-84F8-4C58-85CF-294A83E99751}" name="Column4591"/>
    <tableColumn id="4611" xr3:uid="{EEACA840-43F9-4859-A1D2-6EB5424E4D83}" name="Column4592"/>
    <tableColumn id="4612" xr3:uid="{95E72ED7-7722-4B33-898F-EF091547F8DE}" name="Column4593"/>
    <tableColumn id="4613" xr3:uid="{F0DF1E0C-588C-40A1-AE10-CFBC0BDA4CB7}" name="Column4594"/>
    <tableColumn id="4614" xr3:uid="{79AF8664-DBDC-4809-886E-80EE33599421}" name="Column4595"/>
    <tableColumn id="4615" xr3:uid="{CDAFAF45-C552-4900-9CDB-14DF266498EF}" name="Column4596"/>
    <tableColumn id="4616" xr3:uid="{22D9EC82-4398-4D4B-AADC-5AC06D546F7C}" name="Column4597"/>
    <tableColumn id="4617" xr3:uid="{7DF3EEC4-BE92-40A1-B34A-773E33EC58A3}" name="Column4598"/>
    <tableColumn id="4618" xr3:uid="{CAE6115C-D53D-45EB-B278-F3FE603E046E}" name="Column4599"/>
    <tableColumn id="4619" xr3:uid="{1908B128-156D-4B8A-978A-A12FEFFB45FF}" name="Column4600"/>
    <tableColumn id="4620" xr3:uid="{9233553B-EDF2-4B55-AE2D-A92612FFBFE8}" name="Column4601"/>
    <tableColumn id="4621" xr3:uid="{5B411201-9A8E-4889-8FD3-551EDB4A015B}" name="Column4602"/>
    <tableColumn id="4622" xr3:uid="{F69000F4-1205-4760-B28D-C9A570399280}" name="Column4603"/>
    <tableColumn id="4623" xr3:uid="{BA81726D-5BD6-43A2-A392-8E50281BF223}" name="Column4604"/>
    <tableColumn id="4624" xr3:uid="{782FD690-5025-483D-B657-EE1B0E080ABC}" name="Column4605"/>
    <tableColumn id="4625" xr3:uid="{1EC7918C-7619-4F7C-B1C2-B850FE9C4228}" name="Column4606"/>
    <tableColumn id="4626" xr3:uid="{3EB3D8A8-F397-4BCF-9D36-AD2DA6A3E7FE}" name="Column4607"/>
    <tableColumn id="4627" xr3:uid="{0E79BCF2-2317-4A1F-BE59-770F088145B1}" name="Column4608"/>
    <tableColumn id="4628" xr3:uid="{762BAB95-FCB6-466B-B2A5-7BA5BE7450E0}" name="Column4609"/>
    <tableColumn id="4629" xr3:uid="{EEAC2599-5541-4652-90B0-7E9BB62E49D8}" name="Column4610"/>
    <tableColumn id="4630" xr3:uid="{E7232D79-5C49-47D5-9725-FEC6C3261CBF}" name="Column4611"/>
    <tableColumn id="4631" xr3:uid="{BD4E2859-76DD-4231-ACB1-ABD9018BC531}" name="Column4612"/>
    <tableColumn id="4632" xr3:uid="{34C78A88-04C7-46DA-9BA6-3F4D76F3BC90}" name="Column4613"/>
    <tableColumn id="4633" xr3:uid="{40E81B0D-57E8-4DDA-8F5F-8E73FD7D248C}" name="Column4614"/>
    <tableColumn id="4634" xr3:uid="{6E5F14CF-5A5F-445A-8F8D-C0C918AB4006}" name="Column4615"/>
    <tableColumn id="4635" xr3:uid="{F483F563-791D-4C9D-95FD-0F80BD263D85}" name="Column4616"/>
    <tableColumn id="4636" xr3:uid="{2654443F-08ED-48A0-A014-4732F6AE290A}" name="Column4617"/>
    <tableColumn id="4637" xr3:uid="{64AAC84C-F611-4B1E-AEC9-60675B7005F2}" name="Column4618"/>
    <tableColumn id="4638" xr3:uid="{60C7BC56-1905-4870-A18A-BB95385EB600}" name="Column4619"/>
    <tableColumn id="4639" xr3:uid="{3E82EEBC-641E-4992-82A2-41815EA3C0A9}" name="Column4620"/>
    <tableColumn id="4640" xr3:uid="{458EB0C1-369B-4482-AD5D-AF6192615B34}" name="Column4621"/>
    <tableColumn id="4641" xr3:uid="{2DE0851D-AA97-41D2-BDD7-DF9CEF3C7F6F}" name="Column4622"/>
    <tableColumn id="4642" xr3:uid="{8FCF9EAD-B5F6-4A07-A746-D921247BB9F2}" name="Column4623"/>
    <tableColumn id="4643" xr3:uid="{839967D7-03D0-407F-B02F-1348E2C8D567}" name="Column4624"/>
    <tableColumn id="4644" xr3:uid="{74056A71-F538-48F6-9F75-0D4B50C49D23}" name="Column4625"/>
    <tableColumn id="4645" xr3:uid="{C4D79BB9-F30A-4F64-93CE-7F1224DFC884}" name="Column4626"/>
    <tableColumn id="4646" xr3:uid="{F0CFE9D8-44D7-4C9D-8071-005B08B7E0BA}" name="Column4627"/>
    <tableColumn id="4647" xr3:uid="{85DA7DE5-3800-4F04-9D87-5263F50E8E20}" name="Column4628"/>
    <tableColumn id="4648" xr3:uid="{AD727A0F-11FB-4E11-9A65-086E41E9886B}" name="Column4629"/>
    <tableColumn id="4649" xr3:uid="{14134027-C9B9-48C9-BEF0-14DB66DAECD4}" name="Column4630"/>
    <tableColumn id="4650" xr3:uid="{4FEB0C58-DD64-42FE-9A60-96F4F8D90950}" name="Column4631"/>
    <tableColumn id="4651" xr3:uid="{D63CA21A-4716-4445-A713-1149D9DBCCA3}" name="Column4632"/>
    <tableColumn id="4652" xr3:uid="{C30BB4E0-CE83-4688-81E4-C4ECB4E307EE}" name="Column4633"/>
    <tableColumn id="4653" xr3:uid="{779981EF-3028-4DB4-95C9-C8D4C893095F}" name="Column4634"/>
    <tableColumn id="4654" xr3:uid="{A9059D50-44F9-42AD-98BC-44F004F40B48}" name="Column4635"/>
    <tableColumn id="4655" xr3:uid="{C7C71BBA-CECD-40C9-AEFA-7F59E36B6073}" name="Column4636"/>
    <tableColumn id="4656" xr3:uid="{C7B2D887-0EA0-4D56-B8B2-CB8A5E6A4B5A}" name="Column4637"/>
    <tableColumn id="4657" xr3:uid="{E6B41446-3819-40ED-9925-5FC5BBB209EC}" name="Column4638"/>
    <tableColumn id="4658" xr3:uid="{7C85578C-E549-48A2-B31D-AF2367BBCE7A}" name="Column4639"/>
    <tableColumn id="4659" xr3:uid="{0A1AC797-149A-4BB2-A827-6624CB8DD198}" name="Column4640"/>
    <tableColumn id="4660" xr3:uid="{D76EC667-8F77-4866-BBF1-3C6B9D694210}" name="Column4641"/>
    <tableColumn id="4661" xr3:uid="{39FEDA2E-3B58-4C4E-9FE5-815BE0E2EF56}" name="Column4642"/>
    <tableColumn id="4662" xr3:uid="{EB8E724B-661F-44F6-B049-09059B449188}" name="Column4643"/>
    <tableColumn id="4663" xr3:uid="{C0C20423-D477-49ED-BA59-4C9D07185C3E}" name="Column4644"/>
    <tableColumn id="4664" xr3:uid="{4A70CB51-14BD-44CE-B332-B7D50508E70A}" name="Column4645"/>
    <tableColumn id="4665" xr3:uid="{3965F7DB-6E57-4D67-A382-5925BCD5892D}" name="Column4646"/>
    <tableColumn id="4666" xr3:uid="{1D1DDF2F-7104-49F9-9FEC-ACF598B089DA}" name="Column4647"/>
    <tableColumn id="4667" xr3:uid="{73D0F438-7423-4D63-8CBD-992E92546F47}" name="Column4648"/>
    <tableColumn id="4668" xr3:uid="{97301093-212B-4E25-8BFC-ED937C5D0EDA}" name="Column4649"/>
    <tableColumn id="4669" xr3:uid="{28CD8B96-8AC6-4AE9-99E1-6AE739B5259E}" name="Column4650"/>
    <tableColumn id="4670" xr3:uid="{6CBD733F-16D9-4499-8FC2-B1728B014877}" name="Column4651"/>
    <tableColumn id="4671" xr3:uid="{6F2BDEBB-17DC-43D9-8AF0-E35BD240DDA7}" name="Column4652"/>
    <tableColumn id="4672" xr3:uid="{3F54CD36-A31C-4E84-9CD9-45B2948F8C5B}" name="Column4653"/>
    <tableColumn id="4673" xr3:uid="{7DAD0753-2267-47A9-B7BE-0C82CCF7DA22}" name="Column4654"/>
    <tableColumn id="4674" xr3:uid="{6B4708FF-3B65-4FBC-A5FC-7587EF91DB98}" name="Column4655"/>
    <tableColumn id="4675" xr3:uid="{6FC1CBF9-396B-4845-95A6-00D54155975F}" name="Column4656"/>
    <tableColumn id="4676" xr3:uid="{4F4262C7-C26B-4C3B-897A-5DFED7678ABD}" name="Column4657"/>
    <tableColumn id="4677" xr3:uid="{646FDE1C-1A32-440D-8BA0-8D41F4CC7845}" name="Column4658"/>
    <tableColumn id="4678" xr3:uid="{2320C7E7-04D3-46F8-865B-A215CBA353D1}" name="Column4659"/>
    <tableColumn id="4679" xr3:uid="{EECE55E6-A857-4741-980D-CC6154E17955}" name="Column4660"/>
    <tableColumn id="4680" xr3:uid="{6283DD00-B552-4E40-9F71-A4E2B3D7FCFE}" name="Column4661"/>
    <tableColumn id="4681" xr3:uid="{4DB1AAC9-746A-423A-85B0-1714AADFE12A}" name="Column4662"/>
    <tableColumn id="4682" xr3:uid="{AF59B6FF-FB2D-4716-996B-F7F54A0E4C6A}" name="Column4663"/>
    <tableColumn id="4683" xr3:uid="{241C4C39-FD60-4A29-A399-29CCAC415E10}" name="Column4664"/>
    <tableColumn id="4684" xr3:uid="{4E408C12-01BC-4E26-918B-32457D5FCBFC}" name="Column4665"/>
    <tableColumn id="4685" xr3:uid="{12CC51C9-2872-46FE-86B9-EB49F423B956}" name="Column4666"/>
    <tableColumn id="4686" xr3:uid="{AC469864-7BBA-4F3B-99A2-E8A3F1E75930}" name="Column4667"/>
    <tableColumn id="4687" xr3:uid="{57EA08C3-29F9-456A-868F-9258E9B77473}" name="Column4668"/>
    <tableColumn id="4688" xr3:uid="{918C4AE7-7949-4D58-8F10-BC1BF6D0E5EA}" name="Column4669"/>
    <tableColumn id="4689" xr3:uid="{955DF138-2472-4B43-AF12-8D6C312276E9}" name="Column4670"/>
    <tableColumn id="4690" xr3:uid="{7C47D2A6-9D8F-441C-A12A-0FEBB647CF50}" name="Column4671"/>
    <tableColumn id="4691" xr3:uid="{50539455-7E4E-4D1E-9307-1FBAC5DF58D3}" name="Column4672"/>
    <tableColumn id="4692" xr3:uid="{BD519FB6-4693-4522-ACEB-27A47AC6D809}" name="Column4673"/>
    <tableColumn id="4693" xr3:uid="{71971ADA-7B66-4C82-A8AF-F264A5D32994}" name="Column4674"/>
    <tableColumn id="4694" xr3:uid="{ADAF7771-2CA8-4ED6-9F85-26E863A0B15D}" name="Column4675"/>
    <tableColumn id="4695" xr3:uid="{C51C15E2-9A48-46E7-A18C-CDD5205EEA41}" name="Column4676"/>
    <tableColumn id="4696" xr3:uid="{260692FE-E410-409F-9EF0-E3BF0C28891D}" name="Column4677"/>
    <tableColumn id="4697" xr3:uid="{6DE5CCBD-2F15-45A0-8C50-0226D0803A91}" name="Column4678"/>
    <tableColumn id="4698" xr3:uid="{88178AEC-88C9-4120-B7E7-0352E228CC0A}" name="Column4679"/>
    <tableColumn id="4699" xr3:uid="{16F10864-781B-40BA-AE19-1F5848EFE7C9}" name="Column4680"/>
    <tableColumn id="4700" xr3:uid="{393B8A5F-BD99-4CBF-9261-0B5EEA5C25BD}" name="Column4681"/>
    <tableColumn id="4701" xr3:uid="{020BD31D-1254-42C2-9084-7ED032122084}" name="Column4682"/>
    <tableColumn id="4702" xr3:uid="{963C5AE9-7C9E-4249-9F65-C47BCE68E36E}" name="Column4683"/>
    <tableColumn id="4703" xr3:uid="{C6E0900A-0FDE-4776-B2A0-9771FE20B320}" name="Column4684"/>
    <tableColumn id="4704" xr3:uid="{B8BB6B86-A619-41FE-B4DE-41F72C3B95EC}" name="Column4685"/>
    <tableColumn id="4705" xr3:uid="{EF74C6AF-CF2F-436A-92AB-2E2ED9952FDD}" name="Column4686"/>
    <tableColumn id="4706" xr3:uid="{C879716C-761F-430F-891A-F2E704AEF13C}" name="Column4687"/>
    <tableColumn id="4707" xr3:uid="{67F64543-6EE9-4B62-914B-3E523AC39CB5}" name="Column4688"/>
    <tableColumn id="4708" xr3:uid="{91A74CCB-C780-4F89-AE72-322F0F9177DC}" name="Column4689"/>
    <tableColumn id="4709" xr3:uid="{BAD9C460-F4B6-48C0-98A6-76C66A42AA78}" name="Column4690"/>
    <tableColumn id="4710" xr3:uid="{846D60E4-4BD7-461F-9AEC-608DAF8FC1D8}" name="Column4691"/>
    <tableColumn id="4711" xr3:uid="{245B623A-2EB8-4A60-AF58-0916358BE7CC}" name="Column4692"/>
    <tableColumn id="4712" xr3:uid="{F4228D15-2B14-48D8-859B-F236D8F501FF}" name="Column4693"/>
    <tableColumn id="4713" xr3:uid="{45FDBB56-EE1D-434C-8A50-12C2CF3BBADB}" name="Column4694"/>
    <tableColumn id="4714" xr3:uid="{72F5466F-A65D-4BD1-99F6-24275C361B4B}" name="Column4695"/>
    <tableColumn id="4715" xr3:uid="{7F3975AB-9CAD-453F-9777-32ADED37A0D5}" name="Column4696"/>
    <tableColumn id="4716" xr3:uid="{455CE2AE-6086-4C90-8DC3-C6D4FA5A112F}" name="Column4697"/>
    <tableColumn id="4717" xr3:uid="{F4B5BDC5-9044-40DA-A713-03D07ACE47D6}" name="Column4698"/>
    <tableColumn id="4718" xr3:uid="{EC10899D-1C47-4A51-B943-28B48A2EB804}" name="Column4699"/>
    <tableColumn id="4719" xr3:uid="{90158B75-81D6-4DC9-A05F-A578319D11B3}" name="Column4700"/>
    <tableColumn id="4720" xr3:uid="{918BFF9E-072E-49DB-B47D-758FB56C608A}" name="Column4701"/>
    <tableColumn id="4721" xr3:uid="{ADE7579A-CB74-40B7-9B43-E6D608C39AE3}" name="Column4702"/>
    <tableColumn id="4722" xr3:uid="{8D190CCF-23DD-462F-A034-1C9EE30D71E9}" name="Column4703"/>
    <tableColumn id="4723" xr3:uid="{49062847-253B-4CEB-A43C-9D60F8E64BEA}" name="Column4704"/>
    <tableColumn id="4724" xr3:uid="{9BCBA737-4B8D-407E-BDEE-23C299E83C4E}" name="Column4705"/>
    <tableColumn id="4725" xr3:uid="{E5FD7496-1F25-4936-B72B-6C191DEA42F9}" name="Column4706"/>
    <tableColumn id="4726" xr3:uid="{FB17A186-AEA7-4C8E-83CF-521CF6E4F76C}" name="Column4707"/>
    <tableColumn id="4727" xr3:uid="{8E7EFF39-0B4A-42B4-B9C9-115DF718911A}" name="Column4708"/>
    <tableColumn id="4728" xr3:uid="{1107CADB-8B04-4EDF-B824-240B097D4E97}" name="Column4709"/>
    <tableColumn id="4729" xr3:uid="{A771E985-D774-4735-885B-7150BA4A6331}" name="Column4710"/>
    <tableColumn id="4730" xr3:uid="{60B4C4EC-7FF2-4B96-81E7-CC128178A5BC}" name="Column4711"/>
    <tableColumn id="4731" xr3:uid="{32BD0E32-133F-4DEA-A34E-C11C88BADC9D}" name="Column4712"/>
    <tableColumn id="4732" xr3:uid="{033274E1-A14A-4AE3-9D7C-9CDA5AB4FB92}" name="Column4713"/>
    <tableColumn id="4733" xr3:uid="{13603B11-7E63-4275-A58E-8434FADD7A5C}" name="Column4714"/>
    <tableColumn id="4734" xr3:uid="{BF5217C0-0375-4AAA-9B56-B59BFAF0D586}" name="Column4715"/>
    <tableColumn id="4735" xr3:uid="{3E52536B-9566-44AF-AB67-4D2876527216}" name="Column4716"/>
    <tableColumn id="4736" xr3:uid="{13ADCB4C-4DD9-4061-A79A-B215595D914C}" name="Column4717"/>
    <tableColumn id="4737" xr3:uid="{2886F8EB-FCFE-4F86-B009-6EDE1DC58E98}" name="Column4718"/>
    <tableColumn id="4738" xr3:uid="{3C19317E-C58C-4CE5-B356-312B0DA41869}" name="Column4719"/>
    <tableColumn id="4739" xr3:uid="{4D1B35A3-A2D8-40C8-814C-1E8956B5D7E0}" name="Column4720"/>
    <tableColumn id="4740" xr3:uid="{C318B501-5D4E-46EE-9732-3BD3593DD058}" name="Column4721"/>
    <tableColumn id="4741" xr3:uid="{DB7006A3-1AC9-44BF-97B7-A0350B30F2D5}" name="Column4722"/>
    <tableColumn id="4742" xr3:uid="{DDD02C97-2C3B-4955-A9F2-B55359E5418D}" name="Column4723"/>
    <tableColumn id="4743" xr3:uid="{6C827659-9F2D-4EEE-A905-F1F95E9ED9E6}" name="Column4724"/>
    <tableColumn id="4744" xr3:uid="{359FD449-093C-4EA2-8CD9-562C1C3BE755}" name="Column4725"/>
    <tableColumn id="4745" xr3:uid="{0DF0BFC3-D375-4485-8BCB-73EDF3C286EE}" name="Column4726"/>
    <tableColumn id="4746" xr3:uid="{436BBEAA-455E-4FE4-B98D-9B12BA6E6089}" name="Column4727"/>
    <tableColumn id="4747" xr3:uid="{3475A558-EDB5-466E-BE08-F04B2B6DF3F4}" name="Column4728"/>
    <tableColumn id="4748" xr3:uid="{5B5A16A0-2902-40CB-BABE-FFAC5679A98C}" name="Column4729"/>
    <tableColumn id="4749" xr3:uid="{18C0F377-5A7B-4F99-8302-566755DF3322}" name="Column4730"/>
    <tableColumn id="4750" xr3:uid="{D014BAEF-63AA-4E63-B4AF-D2EBECCE62E8}" name="Column4731"/>
    <tableColumn id="4751" xr3:uid="{24261F77-92A1-48C6-82CA-FDB873BF62CC}" name="Column4732"/>
    <tableColumn id="4752" xr3:uid="{9328A993-2E1F-479C-BB5C-C4198229E9D8}" name="Column4733"/>
    <tableColumn id="4753" xr3:uid="{9198ABA5-9B8F-4EFD-9A41-72C5807B1FB3}" name="Column4734"/>
    <tableColumn id="4754" xr3:uid="{356D4DED-30A0-4AAC-B48B-BF05E6088109}" name="Column4735"/>
    <tableColumn id="4755" xr3:uid="{27A88818-EF23-4D5A-B5C9-DC216EDF935D}" name="Column4736"/>
    <tableColumn id="4756" xr3:uid="{15061DD6-55BE-465F-BEDB-E1DA49AFF9DD}" name="Column4737"/>
    <tableColumn id="4757" xr3:uid="{D80767C4-4AE4-42E2-B416-71CDDC7ECAB8}" name="Column4738"/>
    <tableColumn id="4758" xr3:uid="{E3476477-4A3F-478A-B3E2-B700D480E24E}" name="Column4739"/>
    <tableColumn id="4759" xr3:uid="{4935D9BD-29A1-4F6C-BECB-E3D6EF16417B}" name="Column4740"/>
    <tableColumn id="4760" xr3:uid="{E0E86B6E-C46C-4402-A2DE-3AB871C77D7F}" name="Column4741"/>
    <tableColumn id="4761" xr3:uid="{1832EA27-BBA5-4F11-A35D-9768251F9C7A}" name="Column4742"/>
    <tableColumn id="4762" xr3:uid="{46DF0BE1-E888-4AD1-A459-1D03F551917E}" name="Column4743"/>
    <tableColumn id="4763" xr3:uid="{C5CB877A-50F9-43D4-A917-49E4892BE560}" name="Column4744"/>
    <tableColumn id="4764" xr3:uid="{0990E3F1-0085-4055-8B2A-BCCB6ED15C3D}" name="Column4745"/>
    <tableColumn id="4765" xr3:uid="{AF497B53-3904-4F89-B11F-CD1F19A1C012}" name="Column4746"/>
    <tableColumn id="4766" xr3:uid="{387B0697-D80F-499E-8BE0-47EEA73CA175}" name="Column4747"/>
    <tableColumn id="4767" xr3:uid="{A50C2528-1288-4E8F-889D-E9D90AE400DF}" name="Column4748"/>
    <tableColumn id="4768" xr3:uid="{1CC8CC6E-0946-4094-AD03-7917093E5885}" name="Column4749"/>
    <tableColumn id="4769" xr3:uid="{A2154B23-2D85-408A-A7D4-19616DBEB60C}" name="Column4750"/>
    <tableColumn id="4770" xr3:uid="{1A5B5CE2-8AC2-40E8-937E-5416686F9612}" name="Column4751"/>
    <tableColumn id="4771" xr3:uid="{154F003B-F33F-4AFD-8194-6470133EBF32}" name="Column4752"/>
    <tableColumn id="4772" xr3:uid="{FAD67A79-652C-46FA-BC69-02E092E1D6AC}" name="Column4753"/>
    <tableColumn id="4773" xr3:uid="{337520C1-366B-477B-81E3-C5890D5B917C}" name="Column4754"/>
    <tableColumn id="4774" xr3:uid="{16B8D178-A520-4746-AF5E-86AF65EF1A26}" name="Column4755"/>
    <tableColumn id="4775" xr3:uid="{BAE5A092-DF58-4F46-B2F5-49EA2EF8AAD1}" name="Column4756"/>
    <tableColumn id="4776" xr3:uid="{D3CCDB76-03F7-477B-90DA-9861A97D7FC7}" name="Column4757"/>
    <tableColumn id="4777" xr3:uid="{64E4E7F4-9F19-4627-BC2B-9820DEDFFB1D}" name="Column4758"/>
    <tableColumn id="4778" xr3:uid="{21649F65-0F02-440D-9B6F-1F976ACBD683}" name="Column4759"/>
    <tableColumn id="4779" xr3:uid="{1B8162C7-C320-4419-AA4E-BF0C76F1561D}" name="Column4760"/>
    <tableColumn id="4780" xr3:uid="{4F1CAA79-617B-46A2-BC7F-5A003E3B8BDF}" name="Column4761"/>
    <tableColumn id="4781" xr3:uid="{5E5E2DA8-B019-44B5-B4E2-A00106D69B3C}" name="Column4762"/>
    <tableColumn id="4782" xr3:uid="{15F2257F-A40B-4AE1-BF51-101C271BDCC8}" name="Column4763"/>
    <tableColumn id="4783" xr3:uid="{14E1D953-36D8-48BB-92FB-517BFC8E551B}" name="Column4764"/>
    <tableColumn id="4784" xr3:uid="{6455D5B7-3F9E-4161-8FD4-BEF8CF0E2EFB}" name="Column4765"/>
    <tableColumn id="4785" xr3:uid="{CDB1D113-6C7D-4374-B94A-422F4A2159D4}" name="Column4766"/>
    <tableColumn id="4786" xr3:uid="{C1AEEF98-E150-4E5F-805B-1EEEC6E89EC9}" name="Column4767"/>
    <tableColumn id="4787" xr3:uid="{C5ED8337-D847-4DDD-ADF5-FCCF6126BA45}" name="Column4768"/>
    <tableColumn id="4788" xr3:uid="{91862ACA-2032-4E56-B76D-90E0E4BD2744}" name="Column4769"/>
    <tableColumn id="4789" xr3:uid="{DEB335A5-5D1B-4FA4-8451-EDC060A9C645}" name="Column4770"/>
    <tableColumn id="4790" xr3:uid="{8A48499F-375E-4C96-B308-C851A0175954}" name="Column4771"/>
    <tableColumn id="4791" xr3:uid="{1C823F2C-7973-46C0-8AE8-7354C475789A}" name="Column4772"/>
    <tableColumn id="4792" xr3:uid="{03AEBE70-3F72-465F-A19F-4D907C3D5227}" name="Column4773"/>
    <tableColumn id="4793" xr3:uid="{5FEFDEEF-1AAD-4270-96F6-3F3498B651C7}" name="Column4774"/>
    <tableColumn id="4794" xr3:uid="{86E304C3-EC3A-4AA4-BBF6-C5C2DFE2EC4F}" name="Column4775"/>
    <tableColumn id="4795" xr3:uid="{E1C870DD-B6D2-4E7C-A70F-8142D86F4E96}" name="Column4776"/>
    <tableColumn id="4796" xr3:uid="{7BF7A8B7-1FBB-4AD5-A1DF-2829EAA71AF5}" name="Column4777"/>
    <tableColumn id="4797" xr3:uid="{F5F050DE-24B8-4578-9C1E-C4E6B3BCF470}" name="Column4778"/>
    <tableColumn id="4798" xr3:uid="{49937583-7C90-48C1-A5F0-23736EF45AC2}" name="Column4779"/>
    <tableColumn id="4799" xr3:uid="{B52493D8-C4FC-4281-82C6-8B1623B2C030}" name="Column4780"/>
    <tableColumn id="4800" xr3:uid="{695395D0-FE13-48AC-A9C5-CB424D53BA09}" name="Column4781"/>
    <tableColumn id="4801" xr3:uid="{B8B18A4F-B821-4046-8B0A-46D8000019EB}" name="Column4782"/>
    <tableColumn id="4802" xr3:uid="{D26BF4F8-8FFF-4F8E-9B42-E08F8F29F185}" name="Column4783"/>
    <tableColumn id="4803" xr3:uid="{A1C16320-926F-4C20-AD89-98AF5485812B}" name="Column4784"/>
    <tableColumn id="4804" xr3:uid="{E57B5106-21D6-48EA-B0DF-3A1E93B98762}" name="Column4785"/>
    <tableColumn id="4805" xr3:uid="{D9FF96BE-AD01-4BCD-9D3F-B6B80DACE54A}" name="Column4786"/>
    <tableColumn id="4806" xr3:uid="{8C27D0FE-D967-4EE3-86E8-A5DBE2E8F4C0}" name="Column4787"/>
    <tableColumn id="4807" xr3:uid="{B88176DA-A8F8-4B8B-9195-9322565E9139}" name="Column4788"/>
    <tableColumn id="4808" xr3:uid="{86768AB7-92BE-42B9-8DA4-8A4868DE9799}" name="Column4789"/>
    <tableColumn id="4809" xr3:uid="{CE0BA423-5E42-4A22-B5D0-AD9FA31D6749}" name="Column4790"/>
    <tableColumn id="4810" xr3:uid="{DCE50B83-B2E0-4037-9218-CCA885798ABB}" name="Column4791"/>
    <tableColumn id="4811" xr3:uid="{5A36A378-02FE-4D2F-AB7E-BFFF436A812A}" name="Column4792"/>
    <tableColumn id="4812" xr3:uid="{FC52BBC2-7F7A-4E6D-9AD9-6320B7257FF9}" name="Column4793"/>
    <tableColumn id="4813" xr3:uid="{72584D3A-7FE2-4E51-8382-4E2E488AB08C}" name="Column4794"/>
    <tableColumn id="4814" xr3:uid="{82537F64-CFA4-4162-8FA2-8378C6F127CB}" name="Column4795"/>
    <tableColumn id="4815" xr3:uid="{CEE32E64-B0D9-4CC5-A513-6829E6117D00}" name="Column4796"/>
    <tableColumn id="4816" xr3:uid="{9180D112-6EE3-4987-A512-70B323F61936}" name="Column4797"/>
    <tableColumn id="4817" xr3:uid="{8322170A-D292-4647-B05E-426FA67D1223}" name="Column4798"/>
    <tableColumn id="4818" xr3:uid="{A1FB365B-C22A-40EF-8393-638EEA787E73}" name="Column4799"/>
    <tableColumn id="4819" xr3:uid="{0F018F95-DCCF-4D99-B89C-0797A8518176}" name="Column4800"/>
    <tableColumn id="4820" xr3:uid="{A3438C54-7B2A-4152-9284-A668237F97F7}" name="Column4801"/>
    <tableColumn id="4821" xr3:uid="{BE61D949-94CB-4383-9C34-22B91D324ABA}" name="Column4802"/>
    <tableColumn id="4822" xr3:uid="{1A02BF68-AE8E-44AA-A08D-837FF7930B91}" name="Column4803"/>
    <tableColumn id="4823" xr3:uid="{69D662B6-AD24-4F36-ABFA-17FFD3F47F10}" name="Column4804"/>
    <tableColumn id="4824" xr3:uid="{411D98F9-98D0-42C5-8CB0-C70B51168295}" name="Column4805"/>
    <tableColumn id="4825" xr3:uid="{BBD95D3A-5AD9-49A7-8A12-1C99AFE0F0DD}" name="Column4806"/>
    <tableColumn id="4826" xr3:uid="{90DB9DBC-02C9-4B3E-AC8A-B68CB033B1E5}" name="Column4807"/>
    <tableColumn id="4827" xr3:uid="{AAB9E1CB-D1CD-4EF2-B7A7-DAA90749BC06}" name="Column4808"/>
    <tableColumn id="4828" xr3:uid="{2D0FCA8C-15E6-4F74-812B-75CB25F8BFE0}" name="Column4809"/>
    <tableColumn id="4829" xr3:uid="{30DEDC64-C68E-44D3-8F64-08CEE23CC83F}" name="Column4810"/>
    <tableColumn id="4830" xr3:uid="{4A7455E0-2874-4F8B-B1D7-C7B25F3D4F6A}" name="Column4811"/>
    <tableColumn id="4831" xr3:uid="{03246AED-A048-4E6C-8E4D-17AAF66FE834}" name="Column4812"/>
    <tableColumn id="4832" xr3:uid="{8B5A50B5-BD88-438C-A307-9A69183EF3D1}" name="Column4813"/>
    <tableColumn id="4833" xr3:uid="{61D757FC-A796-4A97-9D22-2F3A5DD29744}" name="Column4814"/>
    <tableColumn id="4834" xr3:uid="{7430D46E-AD52-44CA-8C40-3A25A2D13394}" name="Column4815"/>
    <tableColumn id="4835" xr3:uid="{C6F5A7F6-3EF6-4D1A-9B9E-3CE5DADB31CC}" name="Column4816"/>
    <tableColumn id="4836" xr3:uid="{7A869193-B677-4318-BD3D-949E217950AF}" name="Column4817"/>
    <tableColumn id="4837" xr3:uid="{FA2AC1B1-CB92-4930-AFA2-0E400A8D210D}" name="Column4818"/>
    <tableColumn id="4838" xr3:uid="{23406543-8CA7-4F69-910A-11765797F3FE}" name="Column4819"/>
    <tableColumn id="4839" xr3:uid="{420A9F80-EC21-4459-AD77-F8CBA0E6A562}" name="Column4820"/>
    <tableColumn id="4840" xr3:uid="{F4398F46-CB3C-48AB-ABDE-5C5D6D0CEDB3}" name="Column4821"/>
    <tableColumn id="4841" xr3:uid="{333FC42E-229D-49BA-8D76-F78E65DA2C55}" name="Column4822"/>
    <tableColumn id="4842" xr3:uid="{BF31CE86-7C3B-4F69-A894-DA3766597583}" name="Column4823"/>
    <tableColumn id="4843" xr3:uid="{0A7BB836-383B-4A0A-A53C-24ACF413A4D3}" name="Column4824"/>
    <tableColumn id="4844" xr3:uid="{9397A2A3-3438-4DDF-B585-158A4E11FB53}" name="Column4825"/>
    <tableColumn id="4845" xr3:uid="{C255C9E2-7FE2-429B-B9A2-659E390A48A4}" name="Column4826"/>
    <tableColumn id="4846" xr3:uid="{491F67A4-C01E-401A-AB08-F78D7CA46DC8}" name="Column4827"/>
    <tableColumn id="4847" xr3:uid="{D747100C-EEDB-4591-9B43-1D56C34336F3}" name="Column4828"/>
    <tableColumn id="4848" xr3:uid="{95D1FFA0-BC37-4C80-BB4F-BF006B9C0586}" name="Column4829"/>
    <tableColumn id="4849" xr3:uid="{B1E2A785-CD9E-47CE-9533-2F2D83E8F7D0}" name="Column4830"/>
    <tableColumn id="4850" xr3:uid="{ECEA43BE-12AF-42DC-84B9-5BCE096C3E94}" name="Column4831"/>
    <tableColumn id="4851" xr3:uid="{B3802BE2-6643-4E70-B176-E0E962C937E7}" name="Column4832"/>
    <tableColumn id="4852" xr3:uid="{0C9D22D7-4459-458B-9524-DD8AC3AD22BA}" name="Column4833"/>
    <tableColumn id="4853" xr3:uid="{51107BDD-5FAB-4B0D-9A0B-48FEAAEC8F54}" name="Column4834"/>
    <tableColumn id="4854" xr3:uid="{94C1AECB-4D8D-4DED-9A83-EEAA4DEC65AF}" name="Column4835"/>
    <tableColumn id="4855" xr3:uid="{79DA1DB5-34DE-4A05-890B-509E02E7430F}" name="Column4836"/>
    <tableColumn id="4856" xr3:uid="{1F72281E-F973-4824-84C8-3EB3B2D81E6F}" name="Column4837"/>
    <tableColumn id="4857" xr3:uid="{16B1E00D-7A36-4381-902A-990095B478D3}" name="Column4838"/>
    <tableColumn id="4858" xr3:uid="{D450A3E1-4ECA-4B94-9DF3-3456D549E57C}" name="Column4839"/>
    <tableColumn id="4859" xr3:uid="{DCE78BEC-D172-40D6-B568-E3B6B630FF7B}" name="Column4840"/>
    <tableColumn id="4860" xr3:uid="{D76BA1F5-2680-4E5E-8EDF-91484EA34A95}" name="Column4841"/>
    <tableColumn id="4861" xr3:uid="{DD3B5AA2-659D-4423-AC17-03CD4C5403A1}" name="Column4842"/>
    <tableColumn id="4862" xr3:uid="{7F28D6E2-7D6E-462F-AA45-ED92C1718EE9}" name="Column4843"/>
    <tableColumn id="4863" xr3:uid="{BF893159-7A8E-4C3C-ABB2-45057BE1B058}" name="Column4844"/>
    <tableColumn id="4864" xr3:uid="{0ED31298-812C-4020-BCA6-FA3E0D60C040}" name="Column4845"/>
    <tableColumn id="4865" xr3:uid="{6A4D38F0-D096-4E34-8719-F6E2DB4CBB73}" name="Column4846"/>
    <tableColumn id="4866" xr3:uid="{71DEDFB3-EC40-487D-B5FF-C1D854764916}" name="Column4847"/>
    <tableColumn id="4867" xr3:uid="{8D93D955-1583-49EE-9A97-92712DE8C479}" name="Column4848"/>
    <tableColumn id="4868" xr3:uid="{C5FCD613-18F4-4789-A6CE-41B2271E5CA4}" name="Column4849"/>
    <tableColumn id="4869" xr3:uid="{65A718C1-0B6A-4869-BFED-DB7E9051631B}" name="Column4850"/>
    <tableColumn id="4870" xr3:uid="{48E0B1A6-D47F-4AC1-B0CA-BB5BC79AB8F2}" name="Column4851"/>
    <tableColumn id="4871" xr3:uid="{BBEDBFD4-A26D-4D6F-AAC1-DDF7029C739E}" name="Column4852"/>
    <tableColumn id="4872" xr3:uid="{838C9E45-2540-4414-8515-968198B86715}" name="Column4853"/>
    <tableColumn id="4873" xr3:uid="{62BBD1F9-7A64-485E-A08F-BC7EE3139B93}" name="Column4854"/>
    <tableColumn id="4874" xr3:uid="{232E2C9B-6B50-42D7-A528-B1E511DEDDA2}" name="Column4855"/>
    <tableColumn id="4875" xr3:uid="{3DE59A8C-3997-4BA0-AB01-09DEAA793EF8}" name="Column4856"/>
    <tableColumn id="4876" xr3:uid="{436E10EF-9DB3-4567-9013-E7466AD705B9}" name="Column4857"/>
    <tableColumn id="4877" xr3:uid="{15F7082A-D933-4EF5-B066-EE9945BC88F0}" name="Column4858"/>
    <tableColumn id="4878" xr3:uid="{2EC5061F-0251-4E9B-A819-E87C1E58228C}" name="Column4859"/>
    <tableColumn id="4879" xr3:uid="{E90D20C5-F615-437B-980F-565BA553DC31}" name="Column4860"/>
    <tableColumn id="4880" xr3:uid="{96B147D0-5E5C-48FF-B3F8-AC54CA191599}" name="Column4861"/>
    <tableColumn id="4881" xr3:uid="{5B9B39F3-CE70-4723-93AF-CE43BF6D6620}" name="Column4862"/>
    <tableColumn id="4882" xr3:uid="{AB13DE8D-ED2E-4880-A546-EE5B9BBC35A8}" name="Column4863"/>
    <tableColumn id="4883" xr3:uid="{B2325DA6-3062-42CB-AD89-E86676B71C10}" name="Column4864"/>
    <tableColumn id="4884" xr3:uid="{210A4B4C-7F1C-4357-B1B7-35FB21CE8F8A}" name="Column4865"/>
    <tableColumn id="4885" xr3:uid="{20DC65DC-E37C-40C3-AE52-21C72E9C92E2}" name="Column4866"/>
    <tableColumn id="4886" xr3:uid="{7BBBE24D-DD2C-4594-A000-AB29D51157CE}" name="Column4867"/>
    <tableColumn id="4887" xr3:uid="{BEDBC7F6-1A18-4858-BCB6-958DAC831025}" name="Column4868"/>
    <tableColumn id="4888" xr3:uid="{1EE7D2D5-12EB-4FA9-875D-352A715B9E0E}" name="Column4869"/>
    <tableColumn id="4889" xr3:uid="{F66F129B-14AA-495F-8A3C-180D25C45068}" name="Column4870"/>
    <tableColumn id="4890" xr3:uid="{22A9AAFF-D28C-4D07-A3F7-A2E34488BD73}" name="Column4871"/>
    <tableColumn id="4891" xr3:uid="{1DD1C2F0-331D-4C29-BB81-3E20D24936D3}" name="Column4872"/>
    <tableColumn id="4892" xr3:uid="{19AADFBF-A83F-4D49-8D91-8B2ED808714B}" name="Column4873"/>
    <tableColumn id="4893" xr3:uid="{7783CEAE-5208-410A-9FE2-F01E2A39C8F1}" name="Column4874"/>
    <tableColumn id="4894" xr3:uid="{FB4BDD69-BD41-433C-A598-AE1FC6D429E8}" name="Column4875"/>
    <tableColumn id="4895" xr3:uid="{708097B1-344A-441A-9685-36CAF05F1337}" name="Column4876"/>
    <tableColumn id="4896" xr3:uid="{856DF55E-3FBE-46DC-9495-BDD828B25D4F}" name="Column4877"/>
    <tableColumn id="4897" xr3:uid="{25331758-4650-4A41-98FE-7BDF757DB46E}" name="Column4878"/>
    <tableColumn id="4898" xr3:uid="{4ADA4CC1-681A-44A8-8A23-732BB01575A4}" name="Column4879"/>
    <tableColumn id="4899" xr3:uid="{69A5C176-6BA7-4A0B-A4EF-9D66774A760F}" name="Column4880"/>
    <tableColumn id="4900" xr3:uid="{3C6DE708-66EC-481C-93A2-F34AE8509B59}" name="Column4881"/>
    <tableColumn id="4901" xr3:uid="{38890CE7-7161-4C19-ACBE-69EB58E9EC43}" name="Column4882"/>
    <tableColumn id="4902" xr3:uid="{42B906AD-E9DD-4382-8FFE-729D5FF832FA}" name="Column4883"/>
    <tableColumn id="4903" xr3:uid="{78E9EEBB-DC42-4E19-806D-DB683C97EAAD}" name="Column4884"/>
    <tableColumn id="4904" xr3:uid="{1D57747A-C22A-4700-B671-376275EA1FD6}" name="Column4885"/>
    <tableColumn id="4905" xr3:uid="{1575300C-2AF8-48B3-800D-105AE13833EF}" name="Column4886"/>
    <tableColumn id="4906" xr3:uid="{1146263C-10A9-4EE7-AAD9-AB35BBFFC8F7}" name="Column4887"/>
    <tableColumn id="4907" xr3:uid="{0FA6A5B6-ECA7-4002-8213-E5781A3FC73A}" name="Column4888"/>
    <tableColumn id="4908" xr3:uid="{8FF58FA4-ECBB-4464-A979-39AE529A69F2}" name="Column4889"/>
    <tableColumn id="4909" xr3:uid="{58DCEE00-AE97-490F-8051-7F2616FA3528}" name="Column4890"/>
    <tableColumn id="4910" xr3:uid="{9E6C0172-6E8D-4811-A156-AA0636943B66}" name="Column4891"/>
    <tableColumn id="4911" xr3:uid="{1DAD44F6-3275-416D-8F36-247A6FCB48B6}" name="Column4892"/>
    <tableColumn id="4912" xr3:uid="{7BE5E180-9895-4857-920B-56177CA5FF14}" name="Column4893"/>
    <tableColumn id="4913" xr3:uid="{FB3B1049-2339-4D44-901C-EA0CF7D5D578}" name="Column4894"/>
    <tableColumn id="4914" xr3:uid="{DAB3C44B-7DF1-4D63-A989-E25054403D30}" name="Column4895"/>
    <tableColumn id="4915" xr3:uid="{FD9BC63B-DD0E-4C85-9CC5-7F92892ADD24}" name="Column4896"/>
    <tableColumn id="4916" xr3:uid="{6A9FD865-FF05-46EB-8ED6-F8FCBA741C6A}" name="Column4897"/>
    <tableColumn id="4917" xr3:uid="{BFF04E9F-0AB6-4261-B520-7600354B58B9}" name="Column4898"/>
    <tableColumn id="4918" xr3:uid="{B5C59B71-CB20-47CB-B9FA-C6976251B4A7}" name="Column4899"/>
    <tableColumn id="4919" xr3:uid="{BB90EB6E-A921-407F-B993-C0112F930349}" name="Column4900"/>
    <tableColumn id="4920" xr3:uid="{CCD858E1-4EA1-4A7B-9230-B112E812DB51}" name="Column4901"/>
    <tableColumn id="4921" xr3:uid="{09727208-654A-449C-A5C3-A2972C491110}" name="Column4902"/>
    <tableColumn id="4922" xr3:uid="{083875EA-290E-4EAC-A7A4-9C4F7776065C}" name="Column4903"/>
    <tableColumn id="4923" xr3:uid="{813A3C5D-5D3F-4354-AD6F-758E9B385FC4}" name="Column4904"/>
    <tableColumn id="4924" xr3:uid="{9B0E29E8-12F4-42A2-B18C-D0678ACB0F72}" name="Column4905"/>
    <tableColumn id="4925" xr3:uid="{1A38DF54-FFDA-4866-961F-15753DB9B270}" name="Column4906"/>
    <tableColumn id="4926" xr3:uid="{68A87837-6893-4761-AFBF-0E4D550B7BC1}" name="Column4907"/>
    <tableColumn id="4927" xr3:uid="{EA7EFD85-BF20-4D45-9089-840C22080504}" name="Column4908"/>
    <tableColumn id="4928" xr3:uid="{DE6BF9C7-CDBA-454E-B778-574225CF0716}" name="Column4909"/>
    <tableColumn id="4929" xr3:uid="{9D633957-5AC9-44E4-AC3D-F1CCDAEB08C3}" name="Column4910"/>
    <tableColumn id="4930" xr3:uid="{3218355B-DD96-4FD9-8F84-1C1D80A38A0E}" name="Column4911"/>
    <tableColumn id="4931" xr3:uid="{064D6AC0-2D3E-4398-BF36-6480D7F81DFD}" name="Column4912"/>
    <tableColumn id="4932" xr3:uid="{1CB1E347-E1EC-47BE-B71E-6D75216A1000}" name="Column4913"/>
    <tableColumn id="4933" xr3:uid="{5A53D85E-12B6-4BED-803F-E9D190EA8582}" name="Column4914"/>
    <tableColumn id="4934" xr3:uid="{C97B1C6D-28F2-4E7C-B351-AA09150810D7}" name="Column4915"/>
    <tableColumn id="4935" xr3:uid="{CAABEB3F-74F1-45CE-A5EB-83924DD509D2}" name="Column4916"/>
    <tableColumn id="4936" xr3:uid="{C0B8FDEB-BA1B-4C0E-AB5A-D63DCFA92804}" name="Column4917"/>
    <tableColumn id="4937" xr3:uid="{3A201306-9449-4927-A7A7-32AA72385C4E}" name="Column4918"/>
    <tableColumn id="4938" xr3:uid="{B80E9C7B-A7FB-414C-8BA4-FF921B03C48F}" name="Column4919"/>
    <tableColumn id="4939" xr3:uid="{C52CB5A9-B779-4F6A-A4FE-F4ABDDB7ABF9}" name="Column4920"/>
    <tableColumn id="4940" xr3:uid="{64B9120D-531F-44F1-A014-AE91FB5C8BA0}" name="Column4921"/>
    <tableColumn id="4941" xr3:uid="{6CD88BD5-A10F-4A33-A836-F7F1E38B63D7}" name="Column4922"/>
    <tableColumn id="4942" xr3:uid="{E5F7795E-35F1-47C8-B620-4E01D2D0F26B}" name="Column4923"/>
    <tableColumn id="4943" xr3:uid="{04F670A5-0E5B-415E-9250-DEE914D2D7A9}" name="Column4924"/>
    <tableColumn id="4944" xr3:uid="{3F9DCBE8-D19C-4DD6-A4A3-1F397BA0382E}" name="Column4925"/>
    <tableColumn id="4945" xr3:uid="{07EA3C05-07FA-4F95-9C31-06273618B0FB}" name="Column4926"/>
    <tableColumn id="4946" xr3:uid="{CD0EECC6-3EBA-4A7F-B7DC-8974499CF3B6}" name="Column4927"/>
    <tableColumn id="4947" xr3:uid="{F0589326-D07C-43B6-8D25-4B3E050D7B02}" name="Column4928"/>
    <tableColumn id="4948" xr3:uid="{91FBF260-8B56-4D99-A4B3-80AF8282FEBD}" name="Column4929"/>
    <tableColumn id="4949" xr3:uid="{61464E2E-84C6-474D-B0B4-0D917F2234AA}" name="Column4930"/>
    <tableColumn id="4950" xr3:uid="{B588CD68-F924-401A-A607-3F0F52F03D70}" name="Column4931"/>
    <tableColumn id="4951" xr3:uid="{C2E2F723-97CB-4B85-BB32-CBF9B1256FF0}" name="Column4932"/>
    <tableColumn id="4952" xr3:uid="{59C52C2F-E967-4C0F-9079-89ED7B5765FA}" name="Column4933"/>
    <tableColumn id="4953" xr3:uid="{138778FC-0104-4FBB-A2BD-D3E4A9415BFE}" name="Column4934"/>
    <tableColumn id="4954" xr3:uid="{3E6CBC74-04A6-4623-ABA3-D3A75C0A0D1D}" name="Column4935"/>
    <tableColumn id="4955" xr3:uid="{40C827D0-C62F-453F-80E6-DCFBBBF6E484}" name="Column4936"/>
    <tableColumn id="4956" xr3:uid="{ADF97C63-FAA8-4F14-A504-80DD44B8A322}" name="Column4937"/>
    <tableColumn id="4957" xr3:uid="{B150AA40-DA14-493E-95EE-43D50851AD2E}" name="Column4938"/>
    <tableColumn id="4958" xr3:uid="{067FD0C2-6F2E-45DA-A12E-77AF259234BD}" name="Column4939"/>
    <tableColumn id="4959" xr3:uid="{B5245C1C-8684-42F7-ACF4-D92EE7B381B4}" name="Column4940"/>
    <tableColumn id="4960" xr3:uid="{46F9118C-184D-439E-8E62-9E315CA3F628}" name="Column4941"/>
    <tableColumn id="4961" xr3:uid="{32D3A83B-0525-408F-BBB2-86D50A6F737F}" name="Column4942"/>
    <tableColumn id="4962" xr3:uid="{E865F463-CE8C-4DF4-BC07-A9C049075AFF}" name="Column4943"/>
    <tableColumn id="4963" xr3:uid="{1C10E7FB-D8AF-4D1F-B52F-1D0711DF2D31}" name="Column4944"/>
    <tableColumn id="4964" xr3:uid="{749D9954-C587-4849-B324-8352841DC277}" name="Column4945"/>
    <tableColumn id="4965" xr3:uid="{E6811703-F01B-4047-81CE-7C25922D0488}" name="Column4946"/>
    <tableColumn id="4966" xr3:uid="{F5CC13B2-AE90-4F5F-A88F-4EFA487FB77F}" name="Column4947"/>
    <tableColumn id="4967" xr3:uid="{2A3F2444-DAA9-4C0E-934A-67C9DA26632C}" name="Column4948"/>
    <tableColumn id="4968" xr3:uid="{37F5DC48-117A-4ECE-9B32-B9CB409CC34C}" name="Column4949"/>
    <tableColumn id="4969" xr3:uid="{442F169D-6A1F-48FE-B316-8CF4D07B3296}" name="Column4950"/>
    <tableColumn id="4970" xr3:uid="{6A6DAAE4-8BF6-42D5-A21D-8F186A386C28}" name="Column4951"/>
    <tableColumn id="4971" xr3:uid="{5016A367-8CA1-4E43-B583-200BBACA45F7}" name="Column4952"/>
    <tableColumn id="4972" xr3:uid="{CE20E450-1449-48AF-B9FB-C5E38EC9A70A}" name="Column4953"/>
    <tableColumn id="4973" xr3:uid="{E6EC88C8-EE61-4EA1-9F9A-48D2C59EDCAD}" name="Column4954"/>
    <tableColumn id="4974" xr3:uid="{B713168E-6517-4BE5-9C2F-D549CFC7AF14}" name="Column4955"/>
    <tableColumn id="4975" xr3:uid="{7DA1E212-1CA0-450B-88A6-C6CBD3A1A975}" name="Column4956"/>
    <tableColumn id="4976" xr3:uid="{28B5BDF8-53F5-4B12-892B-7BF8A4B3E660}" name="Column4957"/>
    <tableColumn id="4977" xr3:uid="{9569D64D-B3E2-4EC5-A2DD-6DFD4DAA7F89}" name="Column4958"/>
    <tableColumn id="4978" xr3:uid="{0F73A896-7470-40B5-9696-7307B5E92D84}" name="Column4959"/>
    <tableColumn id="4979" xr3:uid="{1C073207-B300-434D-9CEC-C6B22C8A0061}" name="Column4960"/>
    <tableColumn id="4980" xr3:uid="{60B08F26-1AB5-4653-BCAA-74113C19A352}" name="Column4961"/>
    <tableColumn id="4981" xr3:uid="{34C5F24F-4A57-42EE-A59A-4D006672B07C}" name="Column4962"/>
    <tableColumn id="4982" xr3:uid="{3D6A9BED-0601-498A-83C4-A5233E6A076B}" name="Column4963"/>
    <tableColumn id="4983" xr3:uid="{2DA8EDDA-D1AC-4B79-8066-EC774EB80B74}" name="Column4964"/>
    <tableColumn id="4984" xr3:uid="{FE420B2A-E9FF-488A-BA54-520B4B8A7A2D}" name="Column4965"/>
    <tableColumn id="4985" xr3:uid="{2DA86FC1-EA40-46FF-BCC1-830829B4F6EB}" name="Column4966"/>
    <tableColumn id="4986" xr3:uid="{25C15621-0DEC-44AC-9D86-7E82ED059BC9}" name="Column4967"/>
    <tableColumn id="4987" xr3:uid="{E1310F3B-95B4-4059-B8CB-0186F06C78FB}" name="Column4968"/>
    <tableColumn id="4988" xr3:uid="{86538599-A551-4889-8888-06ED629F43E8}" name="Column4969"/>
    <tableColumn id="4989" xr3:uid="{F629B1FF-38FE-4B95-8E23-A4F643904C99}" name="Column4970"/>
    <tableColumn id="4990" xr3:uid="{D488B9D5-C167-48E4-8422-0BBCE74231F7}" name="Column4971"/>
    <tableColumn id="4991" xr3:uid="{75FDF56E-6BC7-4B63-B8E2-01066E474F2F}" name="Column4972"/>
    <tableColumn id="4992" xr3:uid="{90C1AFB7-321E-45A8-9F48-73F443FAD20E}" name="Column4973"/>
    <tableColumn id="4993" xr3:uid="{B6F5BDAE-DA16-40BC-8566-F83B273CC52A}" name="Column4974"/>
    <tableColumn id="4994" xr3:uid="{B5F7EA37-07E1-4C97-8AC7-31895188952C}" name="Column4975"/>
    <tableColumn id="4995" xr3:uid="{879F648F-DCB5-41B7-8935-A04121E05BE3}" name="Column4976"/>
    <tableColumn id="4996" xr3:uid="{7AD6AB7A-27A0-4C43-8B4F-E9DBE8BF69E1}" name="Column4977"/>
    <tableColumn id="4997" xr3:uid="{AC871364-46C6-4FC9-BB47-095916BC50E6}" name="Column4978"/>
    <tableColumn id="4998" xr3:uid="{9965280F-B775-4BEB-BAB3-D2615E340089}" name="Column4979"/>
    <tableColumn id="4999" xr3:uid="{D37E6736-5785-46F4-9FCB-FE14321E1633}" name="Column4980"/>
    <tableColumn id="5000" xr3:uid="{4BAF893B-4F08-4F26-8B91-42B4F8F071B8}" name="Column4981"/>
    <tableColumn id="5001" xr3:uid="{5C43D3BC-B789-4E9B-BCC3-BD7BA85173DC}" name="Column4982"/>
    <tableColumn id="5002" xr3:uid="{63818863-74BE-486C-9492-495DA58826FC}" name="Column4983"/>
    <tableColumn id="5003" xr3:uid="{0CCFC26F-8E55-4A1F-9DFC-5665FB4BBCE1}" name="Column4984"/>
    <tableColumn id="5004" xr3:uid="{9623151F-C6C2-49C0-8C43-5C5CA30D54E1}" name="Column4985"/>
    <tableColumn id="5005" xr3:uid="{5F58B5BF-DF12-42F5-A51F-32D09AE7A5F5}" name="Column4986"/>
    <tableColumn id="5006" xr3:uid="{CFE50681-DC60-454D-9BF7-A0D2397F546E}" name="Column4987"/>
    <tableColumn id="5007" xr3:uid="{4F548258-D631-476C-B3C8-A17476DA5D26}" name="Column4988"/>
    <tableColumn id="5008" xr3:uid="{407306CD-E752-4807-8CB9-5646576E98D2}" name="Column4989"/>
    <tableColumn id="5009" xr3:uid="{CF190453-920D-4D19-866C-4A98EA4509D7}" name="Column4990"/>
    <tableColumn id="5010" xr3:uid="{F7D50EEC-6605-41C9-8524-D5C47D0F26DF}" name="Column4991"/>
    <tableColumn id="5011" xr3:uid="{75DE116D-9D0C-4050-936A-739EDC3C88FF}" name="Column4992"/>
    <tableColumn id="5012" xr3:uid="{EFA1B7FE-6839-49BE-B3E9-D565E8014B7E}" name="Column4993"/>
    <tableColumn id="5013" xr3:uid="{4FE5412B-0251-40A0-9BF2-365C7EF287B7}" name="Column4994"/>
    <tableColumn id="5014" xr3:uid="{6B3B38EE-7EC4-4CBC-801C-2810BDE8E7EC}" name="Column4995"/>
    <tableColumn id="5015" xr3:uid="{D1678FC7-ACD6-44E3-929B-79D7C5A96491}" name="Column4996"/>
    <tableColumn id="5016" xr3:uid="{AE93E660-F371-4E34-A07F-FFCA4E42E210}" name="Column4997"/>
    <tableColumn id="5017" xr3:uid="{CA998CBE-7912-4A16-BCBF-E0487311CBEF}" name="Column4998"/>
    <tableColumn id="5018" xr3:uid="{3E7AD0F2-4AA4-40C4-A50A-9E3AC4F9DACB}" name="Column4999"/>
    <tableColumn id="5019" xr3:uid="{BF7AE551-448D-4288-B70A-6E7C7BC1E2D5}" name="Column5000"/>
    <tableColumn id="5020" xr3:uid="{3F4DF930-400D-41C5-AC90-5F8804266E6E}" name="Column5001"/>
    <tableColumn id="5021" xr3:uid="{11A794EC-3158-4D3E-88C6-C9886246C1D5}" name="Column5002"/>
    <tableColumn id="5022" xr3:uid="{730ACCAC-B604-42E6-86B4-1141CF966F63}" name="Column5003"/>
    <tableColumn id="5023" xr3:uid="{44D29F9D-E6FB-42B1-820F-315CA95D27C1}" name="Column5004"/>
    <tableColumn id="5024" xr3:uid="{EBD7B385-A298-4652-8325-14915901071D}" name="Column5005"/>
    <tableColumn id="5025" xr3:uid="{C4417F9D-EE34-4EBB-83C1-B4142D097506}" name="Column5006"/>
    <tableColumn id="5026" xr3:uid="{00DCD2AA-6639-4326-A327-03E9F9B6A9E4}" name="Column5007"/>
    <tableColumn id="5027" xr3:uid="{8BEB56A3-59CB-48C1-B350-321FB1916325}" name="Column5008"/>
    <tableColumn id="5028" xr3:uid="{782EC679-F4C5-40E5-B769-F0D7B4CB5828}" name="Column5009"/>
    <tableColumn id="5029" xr3:uid="{7969E93E-54D6-4AB3-AABB-3608141F1E6D}" name="Column5010"/>
    <tableColumn id="5030" xr3:uid="{D55D45EF-4AAC-4872-AB7C-02072A6EF7AD}" name="Column5011"/>
    <tableColumn id="5031" xr3:uid="{4143A9A0-A4BA-4F31-987D-61EECC3AF7A7}" name="Column5012"/>
    <tableColumn id="5032" xr3:uid="{8CB5BD9D-9428-4BC5-9BD0-EDC1D8E289E8}" name="Column5013"/>
    <tableColumn id="5033" xr3:uid="{040A987D-F69B-4C74-A3F7-8B5EAA1B8276}" name="Column5014"/>
    <tableColumn id="5034" xr3:uid="{F38F606A-F52B-42AA-B4AD-CD7E094C38A7}" name="Column5015"/>
    <tableColumn id="5035" xr3:uid="{B3CEE344-02BB-4C66-8756-8C8DA99D09CA}" name="Column5016"/>
    <tableColumn id="5036" xr3:uid="{3979ACF0-3D6A-4504-9230-3E7B964D3949}" name="Column5017"/>
    <tableColumn id="5037" xr3:uid="{565FB608-C901-49CE-8D36-E003BCAB6503}" name="Column5018"/>
    <tableColumn id="5038" xr3:uid="{60C2AF98-B702-49D8-9779-9F7B699925D2}" name="Column5019"/>
    <tableColumn id="5039" xr3:uid="{18AFB9FB-38ED-4A25-84F9-6036AF5D57A0}" name="Column5020"/>
    <tableColumn id="5040" xr3:uid="{FFAEB9B7-41D0-4C44-81D4-58501BAEEF5C}" name="Column5021"/>
    <tableColumn id="5041" xr3:uid="{2E1B236C-BA41-4162-AEF4-78CE59DC0466}" name="Column5022"/>
    <tableColumn id="5042" xr3:uid="{EA1550E3-821E-4198-8D6C-AFCE704F8183}" name="Column5023"/>
    <tableColumn id="5043" xr3:uid="{DB7ED0AA-4424-4BBD-B55D-132B2CC03EE7}" name="Column5024"/>
    <tableColumn id="5044" xr3:uid="{AC3BF8F4-8EB7-4643-956A-7F03C2D4578B}" name="Column5025"/>
    <tableColumn id="5045" xr3:uid="{260C8E46-33F8-458A-BEFF-1372B403F155}" name="Column5026"/>
    <tableColumn id="5046" xr3:uid="{0F29BCEB-2ACF-497D-BA13-433792942A09}" name="Column5027"/>
    <tableColumn id="5047" xr3:uid="{B9299CAE-804C-4E7C-B9ED-3963CA8E74D1}" name="Column5028"/>
    <tableColumn id="5048" xr3:uid="{DD29D8FD-F7F4-4776-A470-98573219D651}" name="Column5029"/>
    <tableColumn id="5049" xr3:uid="{C9C82F15-DED2-44A5-A0F4-373F939E1869}" name="Column5030"/>
    <tableColumn id="5050" xr3:uid="{6CEA7945-2DC7-4A7A-BB0F-92618B6F1414}" name="Column5031"/>
    <tableColumn id="5051" xr3:uid="{C01BE423-4CB9-4F8B-82EC-BAECF34286D9}" name="Column5032"/>
    <tableColumn id="5052" xr3:uid="{BB7CB03B-08A8-46B6-A30B-E1E7500D79DC}" name="Column5033"/>
    <tableColumn id="5053" xr3:uid="{DB4AE6D1-7951-448F-B20E-8172CF43E57D}" name="Column5034"/>
    <tableColumn id="5054" xr3:uid="{89B0E2FB-8AC1-4A9B-AA8A-2A48E3E12B2A}" name="Column5035"/>
    <tableColumn id="5055" xr3:uid="{BC94213B-E7B8-4795-AED2-2FA681C23973}" name="Column5036"/>
    <tableColumn id="5056" xr3:uid="{F7338045-6E9E-4C35-8256-65E7B56E5B94}" name="Column5037"/>
    <tableColumn id="5057" xr3:uid="{EF6768A3-7918-40A3-9941-B237726DB8C6}" name="Column5038"/>
    <tableColumn id="5058" xr3:uid="{1DE1A13C-891C-42D1-947B-406041EC1A2E}" name="Column5039"/>
    <tableColumn id="5059" xr3:uid="{5038946A-EB54-4938-AB2A-204C526460BE}" name="Column5040"/>
    <tableColumn id="5060" xr3:uid="{D7BD17EB-7629-4DE9-B8BA-B5447D9A5E97}" name="Column5041"/>
    <tableColumn id="5061" xr3:uid="{71D57298-5496-4D0D-B82B-A2C233BA5603}" name="Column5042"/>
    <tableColumn id="5062" xr3:uid="{D8CFD7BD-6FDB-45D5-A812-9A369E1ED07C}" name="Column5043"/>
    <tableColumn id="5063" xr3:uid="{0CFC9325-B958-4B21-A700-49CA6991CE16}" name="Column5044"/>
    <tableColumn id="5064" xr3:uid="{EE256A13-15D9-4039-8181-A19AC9D795E6}" name="Column5045"/>
    <tableColumn id="5065" xr3:uid="{6CF9FEB7-63EC-4812-BC0D-CFAD32ADF40B}" name="Column5046"/>
    <tableColumn id="5066" xr3:uid="{60F87D6B-7AA4-4BA8-B54A-D0E29602FD69}" name="Column5047"/>
    <tableColumn id="5067" xr3:uid="{83C12C01-5563-492C-BF54-8427F000D5A0}" name="Column5048"/>
    <tableColumn id="5068" xr3:uid="{A63AC835-C580-4A0B-860B-B7083FB8B2B7}" name="Column5049"/>
    <tableColumn id="5069" xr3:uid="{E686B00C-0D54-412F-AACF-867BB7DED162}" name="Column5050"/>
    <tableColumn id="5070" xr3:uid="{0F4F3D57-AE9C-47E2-881A-FF452529E503}" name="Column5051"/>
    <tableColumn id="5071" xr3:uid="{0161C483-97AE-4C9C-962B-CA022164D26C}" name="Column5052"/>
    <tableColumn id="5072" xr3:uid="{2BD73FF9-4ED8-464B-AEEC-5E74CCD5DB59}" name="Column5053"/>
    <tableColumn id="5073" xr3:uid="{88C91F73-851F-42CF-A54D-3E0E44113C9A}" name="Column5054"/>
    <tableColumn id="5074" xr3:uid="{3012D992-DCE9-4802-BEDF-5DA39AC2406C}" name="Column5055"/>
    <tableColumn id="5075" xr3:uid="{F51152D7-69F1-4A6E-B0D8-D7EEF7517F5A}" name="Column5056"/>
    <tableColumn id="5076" xr3:uid="{B3145986-8226-453C-922F-C9412720A6DF}" name="Column5057"/>
    <tableColumn id="5077" xr3:uid="{7A7A35BF-7398-4687-84A4-065280EFEA33}" name="Column5058"/>
    <tableColumn id="5078" xr3:uid="{4E590A5B-6FB6-4B1C-9A2B-F7CBA4AC2352}" name="Column5059"/>
    <tableColumn id="5079" xr3:uid="{4E53A976-DD1F-4D79-B75B-163582C08DE1}" name="Column5060"/>
    <tableColumn id="5080" xr3:uid="{65756DE4-CDE4-4A16-A1A4-FE51FE9BC3FD}" name="Column5061"/>
    <tableColumn id="5081" xr3:uid="{085F27FE-7B4D-4710-A470-69C3C53E0244}" name="Column5062"/>
    <tableColumn id="5082" xr3:uid="{B78FFFB4-24C8-4756-A645-8C580CA6113C}" name="Column5063"/>
    <tableColumn id="5083" xr3:uid="{0B9D8C4D-0410-4773-AF00-DA4199E68834}" name="Column5064"/>
    <tableColumn id="5084" xr3:uid="{D29FB888-45AB-4949-B0F9-7489815AFFCE}" name="Column5065"/>
    <tableColumn id="5085" xr3:uid="{EEC59BCD-714A-434A-9F53-B5B9A3FE3346}" name="Column5066"/>
    <tableColumn id="5086" xr3:uid="{2B2E5BCB-752D-4AEE-81C6-7CF1493AFB09}" name="Column5067"/>
    <tableColumn id="5087" xr3:uid="{9C9D584F-77E2-4E21-B65F-C085A181D6AF}" name="Column5068"/>
    <tableColumn id="5088" xr3:uid="{D1D37868-B80B-4AD7-8410-96C16327C63C}" name="Column5069"/>
    <tableColumn id="5089" xr3:uid="{3CE26D83-572F-4676-8308-2391FA89F983}" name="Column5070"/>
    <tableColumn id="5090" xr3:uid="{C5932F10-6C6C-4D4E-83E4-B1F06472C9A1}" name="Column5071"/>
    <tableColumn id="5091" xr3:uid="{33DFCC32-2050-46F6-B805-51410D464A01}" name="Column5072"/>
    <tableColumn id="5092" xr3:uid="{7A4AD9E2-C1CA-4679-B89C-A0E49FBA4460}" name="Column5073"/>
    <tableColumn id="5093" xr3:uid="{A6199E28-4535-4828-A3FF-EB85FC7F20F0}" name="Column5074"/>
    <tableColumn id="5094" xr3:uid="{5F649184-EC38-4BA7-861A-CC1C1FC466E2}" name="Column5075"/>
    <tableColumn id="5095" xr3:uid="{19419F9F-99C7-4385-9EDA-7CC30BA3DFE6}" name="Column5076"/>
    <tableColumn id="5096" xr3:uid="{E9E48329-F837-4A65-9264-2182BD1A50F3}" name="Column5077"/>
    <tableColumn id="5097" xr3:uid="{A73A77F0-B783-4B45-8F54-93087DAA032C}" name="Column5078"/>
    <tableColumn id="5098" xr3:uid="{824B06B5-EBC5-4C9C-ADF0-BFB5B59C2F26}" name="Column5079"/>
    <tableColumn id="5099" xr3:uid="{5D0C198D-C38C-4B82-9091-EE96A47A647E}" name="Column5080"/>
    <tableColumn id="5100" xr3:uid="{91A22F5D-A755-4AF2-B673-8A822DE893B5}" name="Column5081"/>
    <tableColumn id="5101" xr3:uid="{183DA28C-1BAC-4BE7-B6F2-B71B1EFA65B1}" name="Column5082"/>
    <tableColumn id="5102" xr3:uid="{E412F7D8-0107-4804-B92C-65924A4FE2A3}" name="Column5083"/>
    <tableColumn id="5103" xr3:uid="{BFD1A7ED-2068-4087-AAFD-EC8018840FE6}" name="Column5084"/>
    <tableColumn id="5104" xr3:uid="{305192A1-9EF0-4379-AF08-778EBEB98BD5}" name="Column5085"/>
    <tableColumn id="5105" xr3:uid="{FCE13AF7-170D-4C8A-94C9-FEE88D4856D8}" name="Column5086"/>
    <tableColumn id="5106" xr3:uid="{DAA356E0-F49D-4E6A-967D-F7EE6A49935C}" name="Column5087"/>
    <tableColumn id="5107" xr3:uid="{F1FD4098-8B88-4694-86D2-F48D346E75E8}" name="Column5088"/>
    <tableColumn id="5108" xr3:uid="{3DA2F0AE-AE2C-4FF9-902A-D476B9461418}" name="Column5089"/>
    <tableColumn id="5109" xr3:uid="{6A460250-61A0-411D-99B7-47C3121B571D}" name="Column5090"/>
    <tableColumn id="5110" xr3:uid="{D5238C3A-5F7A-4825-91CA-6A7F4250C562}" name="Column5091"/>
    <tableColumn id="5111" xr3:uid="{EA781C43-5BEC-48DE-B254-24DCBA507689}" name="Column5092"/>
    <tableColumn id="5112" xr3:uid="{91A0DCDA-5BF4-4642-B8BC-F9EC9225C8E9}" name="Column5093"/>
    <tableColumn id="5113" xr3:uid="{492BAF37-5EB4-4E22-A8AB-194C9FFA73B0}" name="Column5094"/>
    <tableColumn id="5114" xr3:uid="{4BED772B-B3CB-4F34-A613-ADD9B9681E95}" name="Column5095"/>
    <tableColumn id="5115" xr3:uid="{44864AFD-67C2-4A74-AF8E-3FC9B1716410}" name="Column5096"/>
    <tableColumn id="5116" xr3:uid="{F7B44DF6-CF60-4BB8-A4B3-0C8C4C831220}" name="Column5097"/>
    <tableColumn id="5117" xr3:uid="{979299E1-A734-4BF5-8AFE-76228BA03EA3}" name="Column5098"/>
    <tableColumn id="5118" xr3:uid="{1BB611D4-040F-4DA0-A3DA-27B0084EC38B}" name="Column5099"/>
    <tableColumn id="5119" xr3:uid="{B9FB8193-335B-4374-B957-70A6905FB238}" name="Column5100"/>
    <tableColumn id="5120" xr3:uid="{E1E1D5FB-761E-4A04-A11C-145AB0F3881D}" name="Column5101"/>
    <tableColumn id="5121" xr3:uid="{A79CFBCF-DD18-4B2E-90B1-705F4F8EC5AA}" name="Column5102"/>
    <tableColumn id="5122" xr3:uid="{F046E973-5FF5-4461-9217-133CAAF5EC5B}" name="Column5103"/>
    <tableColumn id="5123" xr3:uid="{F0EB9899-74CE-4A86-B8A5-1F8800F46F69}" name="Column5104"/>
    <tableColumn id="5124" xr3:uid="{D9EE4251-DD64-43F8-AF4C-CA5EFBE73B60}" name="Column5105"/>
    <tableColumn id="5125" xr3:uid="{8FD94CF2-89E7-4FC4-81A5-B79C26EA71B4}" name="Column5106"/>
    <tableColumn id="5126" xr3:uid="{E297F068-B2AE-400E-BFFA-E9E511CCCE88}" name="Column5107"/>
    <tableColumn id="5127" xr3:uid="{550587D5-A558-4765-BEB0-76B069F44C13}" name="Column5108"/>
    <tableColumn id="5128" xr3:uid="{1A92BD40-4D99-4B68-8D80-9F12F88E9F39}" name="Column5109"/>
    <tableColumn id="5129" xr3:uid="{A98C88A8-9902-4290-8C21-1F82E56ECD6C}" name="Column5110"/>
    <tableColumn id="5130" xr3:uid="{9BE64AB9-E000-4A71-8F45-4B311E2BDDBB}" name="Column5111"/>
    <tableColumn id="5131" xr3:uid="{29CD4C21-46D2-445B-9040-2704293B27BF}" name="Column5112"/>
    <tableColumn id="5132" xr3:uid="{47FC2DDB-5C71-4E5E-B7CE-C0C2478D02DA}" name="Column5113"/>
    <tableColumn id="5133" xr3:uid="{F3929D1A-E0B8-4F61-928B-CFC1797BE303}" name="Column5114"/>
    <tableColumn id="5134" xr3:uid="{7BE5161C-CDF3-4612-B069-F9A2286D82DB}" name="Column5115"/>
    <tableColumn id="5135" xr3:uid="{3C7DDA3F-5AB7-4DE2-AB8B-34FA3F34B340}" name="Column5116"/>
    <tableColumn id="5136" xr3:uid="{AAB0440D-56E3-4081-A6E6-FD2C57E405CA}" name="Column5117"/>
    <tableColumn id="5137" xr3:uid="{8DF9ECE7-5786-4B9C-9C7E-1A82BDB0EDC3}" name="Column5118"/>
    <tableColumn id="5138" xr3:uid="{349DCD52-C0EA-4747-BAC8-528AEE3A4799}" name="Column5119"/>
    <tableColumn id="5139" xr3:uid="{46557BAE-0457-4A5A-ACCA-7C2A447D9D01}" name="Column5120"/>
    <tableColumn id="5140" xr3:uid="{737A3FB6-1E77-4C70-939B-4E0BE8F216D1}" name="Column5121"/>
    <tableColumn id="5141" xr3:uid="{26F7DA6B-8EB7-4D7D-85DE-C5B197E44D96}" name="Column5122"/>
    <tableColumn id="5142" xr3:uid="{B113FA49-1B21-4130-AD93-D6AC2CA56F6F}" name="Column5123"/>
    <tableColumn id="5143" xr3:uid="{3F3269E9-4906-4BB2-A177-40B31C63ED86}" name="Column5124"/>
    <tableColumn id="5144" xr3:uid="{427FA490-D46F-46A3-8950-38B9A2C344CF}" name="Column5125"/>
    <tableColumn id="5145" xr3:uid="{2672B534-302C-4069-A090-236723A9A14D}" name="Column5126"/>
    <tableColumn id="5146" xr3:uid="{9167EC36-0572-4CE7-A65D-2ADA91BBD7CF}" name="Column5127"/>
    <tableColumn id="5147" xr3:uid="{3B42FDFD-CBC9-4887-B6B0-354227683107}" name="Column5128"/>
    <tableColumn id="5148" xr3:uid="{39DB59E0-9A13-4B63-8E75-E292807D4B6B}" name="Column5129"/>
    <tableColumn id="5149" xr3:uid="{784BA1A3-9F4E-471B-9AC9-96B6F5ABB4EA}" name="Column5130"/>
    <tableColumn id="5150" xr3:uid="{6C1E716F-9799-4881-9FEF-757639BF649A}" name="Column5131"/>
    <tableColumn id="5151" xr3:uid="{899930DB-C18D-4824-BBF1-6490CD0A6385}" name="Column5132"/>
    <tableColumn id="5152" xr3:uid="{03158C63-8FAC-45FB-A823-729C3054130B}" name="Column5133"/>
    <tableColumn id="5153" xr3:uid="{1BC3853B-3C8A-44B2-BDD9-E36804E60F60}" name="Column5134"/>
    <tableColumn id="5154" xr3:uid="{9FAF8B90-056A-4EA0-A44F-04F5E0A9AB79}" name="Column5135"/>
    <tableColumn id="5155" xr3:uid="{98DEE8D0-8FD9-4E2F-ABFF-8D87DA1BB40B}" name="Column5136"/>
    <tableColumn id="5156" xr3:uid="{80BA54C2-5454-49D7-AF8C-948AEC59FF2D}" name="Column5137"/>
    <tableColumn id="5157" xr3:uid="{97D09EC0-B893-496B-976E-1B638E30894A}" name="Column5138"/>
    <tableColumn id="5158" xr3:uid="{2FC67CFB-57C9-4373-BCA0-263580E2C0D2}" name="Column5139"/>
    <tableColumn id="5159" xr3:uid="{94EA8B3C-CF32-425A-8E92-A9E2C4E1F666}" name="Column5140"/>
    <tableColumn id="5160" xr3:uid="{FD8B081B-9F47-4335-9733-C36AFFECE521}" name="Column5141"/>
    <tableColumn id="5161" xr3:uid="{646C8DF3-89B5-473C-AB9F-A33B79712257}" name="Column5142"/>
    <tableColumn id="5162" xr3:uid="{3951E418-E59E-4080-8AB0-24F0261E4510}" name="Column5143"/>
    <tableColumn id="5163" xr3:uid="{9200A9D9-5309-4362-91EA-F7F8363875FA}" name="Column5144"/>
    <tableColumn id="5164" xr3:uid="{2F59E0C2-FCB4-45BC-AAE8-53F261D5A4E7}" name="Column5145"/>
    <tableColumn id="5165" xr3:uid="{E4145D84-C6EA-4804-A821-A30EE1F9D78B}" name="Column5146"/>
    <tableColumn id="5166" xr3:uid="{63FCEB16-D21B-4D88-826C-B67F366DAE71}" name="Column5147"/>
    <tableColumn id="5167" xr3:uid="{97139EFF-D3A4-453C-B741-58B09835D55D}" name="Column5148"/>
    <tableColumn id="5168" xr3:uid="{1A05C1A4-5D70-403E-BD28-E51FB1D95456}" name="Column5149"/>
    <tableColumn id="5169" xr3:uid="{EB1B5169-E5BE-4D82-8B91-02E1DBAD5A15}" name="Column5150"/>
    <tableColumn id="5170" xr3:uid="{1529E26D-0FAC-4540-8240-CC1C4C2A7DAC}" name="Column5151"/>
    <tableColumn id="5171" xr3:uid="{081EF318-41D3-4B5D-B825-5FA1E4B13F08}" name="Column5152"/>
    <tableColumn id="5172" xr3:uid="{27FA77E8-253C-4985-BAE1-F340587031BC}" name="Column5153"/>
    <tableColumn id="5173" xr3:uid="{3B0920F9-94A1-4ADB-B8EF-FCEC4505EC0E}" name="Column5154"/>
    <tableColumn id="5174" xr3:uid="{F892879B-44FF-42DA-876D-785A359D2AE8}" name="Column5155"/>
    <tableColumn id="5175" xr3:uid="{28333180-EDEB-40DE-B1D1-E66ECC192FAE}" name="Column5156"/>
    <tableColumn id="5176" xr3:uid="{3A05854A-CD58-4393-A717-9F7CA3F3E74F}" name="Column5157"/>
    <tableColumn id="5177" xr3:uid="{3A86003D-680A-4318-AAEC-3AF26B62BC37}" name="Column5158"/>
    <tableColumn id="5178" xr3:uid="{3AFA5A74-F5A2-4A92-801F-25B9B037BBAE}" name="Column5159"/>
    <tableColumn id="5179" xr3:uid="{20B07F51-C486-49DA-BAB7-E9452D5E8ABA}" name="Column5160"/>
    <tableColumn id="5180" xr3:uid="{C578F7C9-CD17-421A-A27E-977D6CFC8581}" name="Column5161"/>
    <tableColumn id="5181" xr3:uid="{F0C6B862-021E-4778-BBF3-E0461F658326}" name="Column5162"/>
    <tableColumn id="5182" xr3:uid="{D12CAE4D-E9C9-4245-9891-E3554AF908B4}" name="Column5163"/>
    <tableColumn id="5183" xr3:uid="{8E21A460-4013-43F8-9149-59CAAD93E6F2}" name="Column5164"/>
    <tableColumn id="5184" xr3:uid="{4575AC55-FAA7-4DEB-8B4F-D94A99E4DB30}" name="Column5165"/>
    <tableColumn id="5185" xr3:uid="{0D841A22-3F63-470D-9193-899476B87F72}" name="Column5166"/>
    <tableColumn id="5186" xr3:uid="{B210546F-2C84-4348-BD2A-864471D27863}" name="Column5167"/>
    <tableColumn id="5187" xr3:uid="{BBD75253-99CF-476B-A630-F2A29CE2A879}" name="Column5168"/>
    <tableColumn id="5188" xr3:uid="{0BDD26AF-CD7B-430D-A21B-9A0D1FC1370E}" name="Column5169"/>
    <tableColumn id="5189" xr3:uid="{AC88BE2E-A6BA-47C2-AA26-E7FF8B2E66CD}" name="Column5170"/>
    <tableColumn id="5190" xr3:uid="{A5B6C052-B15F-449D-B9C6-57E5DCBECEE4}" name="Column5171"/>
    <tableColumn id="5191" xr3:uid="{069B2DA8-7CCD-4784-8740-5D0A789692DA}" name="Column5172"/>
    <tableColumn id="5192" xr3:uid="{4964C52E-0951-413A-A0A5-D1D636CB797D}" name="Column5173"/>
    <tableColumn id="5193" xr3:uid="{9908946F-8C1B-403E-A04C-2E1D21DC179D}" name="Column5174"/>
    <tableColumn id="5194" xr3:uid="{1E164F5D-03CF-49D1-8EC7-C9197662C2A3}" name="Column5175"/>
    <tableColumn id="5195" xr3:uid="{5AC9E775-438D-4DDB-B4AA-68A7012870CE}" name="Column5176"/>
    <tableColumn id="5196" xr3:uid="{172BD726-8B18-4659-BFBE-E912BABE7819}" name="Column5177"/>
    <tableColumn id="5197" xr3:uid="{34DAB9E6-4946-47FC-8F0B-31B84D74A8C8}" name="Column5178"/>
    <tableColumn id="5198" xr3:uid="{4FCB851C-A521-46FE-BBC5-51FB7D213BF4}" name="Column5179"/>
    <tableColumn id="5199" xr3:uid="{84FD7C1E-9C3B-4B46-9C6C-19398FA2A699}" name="Column5180"/>
    <tableColumn id="5200" xr3:uid="{96A4E44C-FD42-4206-B5EB-433849BA9307}" name="Column5181"/>
    <tableColumn id="5201" xr3:uid="{533729AD-A924-4517-B8F1-7FD147C22D57}" name="Column5182"/>
    <tableColumn id="5202" xr3:uid="{EE73A43E-D861-45C0-B52C-6DE3DB9A2365}" name="Column5183"/>
    <tableColumn id="5203" xr3:uid="{1878F78B-2752-426F-81D2-D596741A7C50}" name="Column5184"/>
    <tableColumn id="5204" xr3:uid="{F4782216-6548-46FB-885D-287FF259BBCE}" name="Column5185"/>
    <tableColumn id="5205" xr3:uid="{E7874884-D8BE-42DE-BEE9-F63F8126078C}" name="Column5186"/>
    <tableColumn id="5206" xr3:uid="{06FA2864-99E5-41D9-88EE-5B211CFFB56E}" name="Column5187"/>
    <tableColumn id="5207" xr3:uid="{120F1C8D-982A-4143-A0E2-404C878AC0BB}" name="Column5188"/>
    <tableColumn id="5208" xr3:uid="{AD3287AB-0138-400B-9353-2AAA8DDD57E7}" name="Column5189"/>
    <tableColumn id="5209" xr3:uid="{435E8538-B0D6-4FFA-9DFC-BE82730B599B}" name="Column5190"/>
    <tableColumn id="5210" xr3:uid="{64052F14-66DB-4FAD-89BB-A8EA77B8C5DB}" name="Column5191"/>
    <tableColumn id="5211" xr3:uid="{8D2CA781-9333-4951-AFDD-99F878C17009}" name="Column5192"/>
    <tableColumn id="5212" xr3:uid="{B77EABA8-758C-4EF0-B1B8-FFA8C65563B4}" name="Column5193"/>
    <tableColumn id="5213" xr3:uid="{1327C17D-508B-44FD-9AB3-75C70040B5BE}" name="Column5194"/>
    <tableColumn id="5214" xr3:uid="{969892AC-B4AE-49D1-9257-C288901BFF78}" name="Column5195"/>
    <tableColumn id="5215" xr3:uid="{0F002F0B-9EE7-4BAA-85F0-F0D17787C187}" name="Column5196"/>
    <tableColumn id="5216" xr3:uid="{633AE8E6-7ECD-4318-A9FB-D9FF5573E8F2}" name="Column5197"/>
    <tableColumn id="5217" xr3:uid="{3CA02C3D-8C6D-44AE-86C8-6038F2BEEA70}" name="Column5198"/>
    <tableColumn id="5218" xr3:uid="{08261309-FF9D-4A20-BEB9-EB6B8475DC75}" name="Column5199"/>
    <tableColumn id="5219" xr3:uid="{5DB230F1-8F78-4A2B-A1CC-97706E596540}" name="Column5200"/>
    <tableColumn id="5220" xr3:uid="{38FEB2D6-F412-4ACE-8BF7-148807823367}" name="Column5201"/>
    <tableColumn id="5221" xr3:uid="{2C21834E-B485-420B-9E18-A5F2B78CDE0C}" name="Column5202"/>
    <tableColumn id="5222" xr3:uid="{9683F103-18A1-4980-A5E6-B9571160B059}" name="Column5203"/>
    <tableColumn id="5223" xr3:uid="{D071EDD3-B6CC-4E88-8FBF-D2A30778CCAC}" name="Column5204"/>
    <tableColumn id="5224" xr3:uid="{205BBFD2-68F5-4783-8791-F4A3D27239D2}" name="Column5205"/>
    <tableColumn id="5225" xr3:uid="{6A728EA8-785D-4D0D-A9D5-35AB999A8F91}" name="Column5206"/>
    <tableColumn id="5226" xr3:uid="{B1F9EADC-E232-45E1-A241-64BB1D4F7E6D}" name="Column5207"/>
    <tableColumn id="5227" xr3:uid="{2D2F12F0-9FA9-4A16-A782-40209136E114}" name="Column5208"/>
    <tableColumn id="5228" xr3:uid="{5BD345C9-6685-4557-A55C-96E7A3272A24}" name="Column5209"/>
    <tableColumn id="5229" xr3:uid="{2713A657-7F69-4AD7-AEF2-9EF2B6C76E3A}" name="Column5210"/>
    <tableColumn id="5230" xr3:uid="{332EE198-9FB8-4C57-9AA6-D9F997DAFE71}" name="Column5211"/>
    <tableColumn id="5231" xr3:uid="{6BBFFE62-E5C6-4A75-9406-910E2C34098C}" name="Column5212"/>
    <tableColumn id="5232" xr3:uid="{BCC1A534-3653-4696-AA85-79E8767AD979}" name="Column5213"/>
    <tableColumn id="5233" xr3:uid="{782EE2A4-D984-49D8-8253-E4BDED0E71B8}" name="Column5214"/>
    <tableColumn id="5234" xr3:uid="{5A914090-6C92-470F-B9D7-24EC2D1EE3B8}" name="Column5215"/>
    <tableColumn id="5235" xr3:uid="{DC8C4737-FB4C-43F7-B365-478634BFFB6D}" name="Column5216"/>
    <tableColumn id="5236" xr3:uid="{A731E5B6-CD1C-4BBB-8D09-C72846953488}" name="Column5217"/>
    <tableColumn id="5237" xr3:uid="{43C0B6D6-0FF4-46BB-A117-B1A917A4A3E1}" name="Column5218"/>
    <tableColumn id="5238" xr3:uid="{067D74FC-221F-4AD5-8151-EA4B36F7B953}" name="Column5219"/>
    <tableColumn id="5239" xr3:uid="{8126A0F1-3444-4710-B88C-9A62F4F1C0C9}" name="Column5220"/>
    <tableColumn id="5240" xr3:uid="{D243B6DC-760B-4B88-BD78-3B7168B8C5AC}" name="Column5221"/>
    <tableColumn id="5241" xr3:uid="{5CE5B5BE-5672-4033-802B-0EE57B4DA2C4}" name="Column5222"/>
    <tableColumn id="5242" xr3:uid="{2C4B0F4F-0D5E-4A41-8D55-83FED5726D00}" name="Column5223"/>
    <tableColumn id="5243" xr3:uid="{573F3BD0-ED34-4EF9-900B-D3549B19C070}" name="Column5224"/>
    <tableColumn id="5244" xr3:uid="{21F26E9B-FCDB-4A3A-973B-FF13CD45A8C0}" name="Column5225"/>
    <tableColumn id="5245" xr3:uid="{C3B0AE70-7C20-4039-A8E8-50CF8BB27D12}" name="Column5226"/>
    <tableColumn id="5246" xr3:uid="{EF6E1010-3BCF-43A9-B871-800A979982A1}" name="Column5227"/>
    <tableColumn id="5247" xr3:uid="{5C1079A9-40BF-4E19-926D-456737F5F2F0}" name="Column5228"/>
    <tableColumn id="5248" xr3:uid="{8DA11C9D-CF23-40C8-9A65-FF44B8858107}" name="Column5229"/>
    <tableColumn id="5249" xr3:uid="{6DF9A9B3-4E81-463A-8324-EFE46446BB8A}" name="Column5230"/>
    <tableColumn id="5250" xr3:uid="{82DF5C82-9FF8-4CEE-AB48-3E8AF66947CE}" name="Column5231"/>
    <tableColumn id="5251" xr3:uid="{5ADD92B7-5C70-4DC6-BB05-8DB49DD7D722}" name="Column5232"/>
    <tableColumn id="5252" xr3:uid="{9C15B537-B662-40F9-8492-5A77679AC92E}" name="Column5233"/>
    <tableColumn id="5253" xr3:uid="{60C9A7C4-2F36-4ED0-815C-DB6C34DE3D64}" name="Column5234"/>
    <tableColumn id="5254" xr3:uid="{49A0B03D-3847-4829-883E-B51BB8DB5E22}" name="Column5235"/>
    <tableColumn id="5255" xr3:uid="{02BE3E39-67DB-4121-8CF9-E38411E79F1A}" name="Column5236"/>
    <tableColumn id="5256" xr3:uid="{5534E70E-8B88-4BFF-9E1B-8FEA99184B99}" name="Column5237"/>
    <tableColumn id="5257" xr3:uid="{0B8347FC-0A34-4D92-94E7-B32AF548A976}" name="Column5238"/>
    <tableColumn id="5258" xr3:uid="{767F39CC-7947-4E72-80DB-D94BDE6C3761}" name="Column5239"/>
    <tableColumn id="5259" xr3:uid="{9A343888-601E-40D0-96CC-8F6EAD1E0B34}" name="Column5240"/>
    <tableColumn id="5260" xr3:uid="{70E90F7E-2C81-4FE1-A5A1-DF76DD14455E}" name="Column5241"/>
    <tableColumn id="5261" xr3:uid="{AD09AF77-DAD0-4B75-9ABC-FA0CC04418AC}" name="Column5242"/>
    <tableColumn id="5262" xr3:uid="{3D9FC7F2-6988-4DA3-A40C-19992D2C7FF9}" name="Column5243"/>
    <tableColumn id="5263" xr3:uid="{1D7CE4A4-DE41-4D84-8D65-25CC9C1AF890}" name="Column5244"/>
    <tableColumn id="5264" xr3:uid="{60DB3580-171D-43C6-A270-E5AF7297DC13}" name="Column5245"/>
    <tableColumn id="5265" xr3:uid="{1FDFD591-4D99-4AB2-A0D8-AAD0E8861D5C}" name="Column5246"/>
    <tableColumn id="5266" xr3:uid="{51544ADA-122A-442C-BA86-FB640DC938F9}" name="Column5247"/>
    <tableColumn id="5267" xr3:uid="{6A1C4537-0B23-404C-BFB7-F8C7D454D142}" name="Column5248"/>
    <tableColumn id="5268" xr3:uid="{4A0B48A1-FFBB-43C3-AF89-AC391FA451BF}" name="Column5249"/>
    <tableColumn id="5269" xr3:uid="{9AE806BE-F1EC-479F-8463-E79DF8B0B9AB}" name="Column5250"/>
    <tableColumn id="5270" xr3:uid="{4D89A4E4-C42E-4878-B4E9-389FD68E7DE7}" name="Column5251"/>
    <tableColumn id="5271" xr3:uid="{03AFC5F7-F4CB-4DE3-A6C6-99FF4D2FBD64}" name="Column5252"/>
    <tableColumn id="5272" xr3:uid="{B4EE938D-2F7A-4AEE-B830-40BFB41DF03B}" name="Column5253"/>
    <tableColumn id="5273" xr3:uid="{D6A1D4D0-5F75-49E4-A22F-82CF421BA5CF}" name="Column5254"/>
    <tableColumn id="5274" xr3:uid="{DE8EB7EA-11DC-49C5-A02D-729384889A8E}" name="Column5255"/>
    <tableColumn id="5275" xr3:uid="{1D9A606A-B439-4A86-AE73-F771DF67A3CE}" name="Column5256"/>
    <tableColumn id="5276" xr3:uid="{E533342F-B2D7-4242-9F69-7CBE7E4F0E1D}" name="Column5257"/>
    <tableColumn id="5277" xr3:uid="{7B78BA22-856D-4B0F-95B4-3797681BF66E}" name="Column5258"/>
    <tableColumn id="5278" xr3:uid="{6CFD9D98-7778-4A07-BE09-C39C5AC0C90B}" name="Column5259"/>
    <tableColumn id="5279" xr3:uid="{718319B9-475E-4547-8D34-7532B5E04E92}" name="Column5260"/>
    <tableColumn id="5280" xr3:uid="{EA8F3265-E770-4309-8734-05E051B2813B}" name="Column5261"/>
    <tableColumn id="5281" xr3:uid="{F41F1DE8-574A-4966-BDFE-1C63FCFE74BC}" name="Column5262"/>
    <tableColumn id="5282" xr3:uid="{D190314A-61FA-4B41-99F7-153FF99C652F}" name="Column5263"/>
    <tableColumn id="5283" xr3:uid="{C60C1437-E201-4FCB-89C1-0ADCBDA768A0}" name="Column5264"/>
    <tableColumn id="5284" xr3:uid="{F7305681-56BC-43FA-B3CA-5902D1B9996B}" name="Column5265"/>
    <tableColumn id="5285" xr3:uid="{F5BA1C17-2D25-48B7-B145-1D32564C0451}" name="Column5266"/>
    <tableColumn id="5286" xr3:uid="{72452B62-99E2-4CBB-B366-A761686FCCD1}" name="Column5267"/>
    <tableColumn id="5287" xr3:uid="{A40A570F-3259-47D9-842D-4189FA8A84A9}" name="Column5268"/>
    <tableColumn id="5288" xr3:uid="{76217111-6CE7-48B8-8862-E207397F3B70}" name="Column5269"/>
    <tableColumn id="5289" xr3:uid="{7483577A-F046-46DF-8B3D-FF41A41A8DD2}" name="Column5270"/>
    <tableColumn id="5290" xr3:uid="{C06AEDB0-B6C8-423A-BC73-5AB745B4D519}" name="Column5271"/>
    <tableColumn id="5291" xr3:uid="{4D8F133B-EC92-4D0D-A23F-AB5136378560}" name="Column5272"/>
    <tableColumn id="5292" xr3:uid="{441DFA7B-9B91-477F-8A00-86C6AB6BE9F3}" name="Column5273"/>
    <tableColumn id="5293" xr3:uid="{0B3C1602-036C-48EB-B564-78E4D2CB4D85}" name="Column5274"/>
    <tableColumn id="5294" xr3:uid="{41B533E1-8914-4922-9162-46D9DAE3D1FF}" name="Column5275"/>
    <tableColumn id="5295" xr3:uid="{54C16291-C66F-4847-8EAB-9EFA32FA732D}" name="Column5276"/>
    <tableColumn id="5296" xr3:uid="{F5245836-8B56-4047-A966-9D7287A40577}" name="Column5277"/>
    <tableColumn id="5297" xr3:uid="{C90CB709-EBED-4F7D-BE94-993D64AB84B9}" name="Column5278"/>
    <tableColumn id="5298" xr3:uid="{B1032B0C-9B59-4B52-854D-88DB52387754}" name="Column5279"/>
    <tableColumn id="5299" xr3:uid="{7139E10E-7327-4666-B55D-0305840E0BC5}" name="Column5280"/>
    <tableColumn id="5300" xr3:uid="{2ACFE1FB-6EBD-4AE0-A5DA-0E06465EBE5D}" name="Column5281"/>
    <tableColumn id="5301" xr3:uid="{363C4806-7B3C-429B-BB15-6F734B26E89F}" name="Column5282"/>
    <tableColumn id="5302" xr3:uid="{B8EE86D5-FBED-4DCB-A7ED-A290CE427BA1}" name="Column5283"/>
    <tableColumn id="5303" xr3:uid="{AD7D5847-27A6-48E4-8079-52F58D7665E7}" name="Column5284"/>
    <tableColumn id="5304" xr3:uid="{67C83C15-CCB4-4F4B-BAFC-57C5474DF663}" name="Column5285"/>
    <tableColumn id="5305" xr3:uid="{99C253A5-2424-46EF-B431-C6EE9DD1C917}" name="Column5286"/>
    <tableColumn id="5306" xr3:uid="{3B9F0F35-9DDB-4E2B-8571-6E27A2543676}" name="Column5287"/>
    <tableColumn id="5307" xr3:uid="{D5F5AB28-82E3-4B0C-8F0E-457C0637D673}" name="Column5288"/>
    <tableColumn id="5308" xr3:uid="{7387AFF8-5141-4400-BEDE-3CF25EFAEE13}" name="Column5289"/>
    <tableColumn id="5309" xr3:uid="{3AD99B3A-0123-4EC8-B868-13665BE08FD3}" name="Column5290"/>
    <tableColumn id="5310" xr3:uid="{9E742A4B-1F76-4293-8C92-BF05ACBC3463}" name="Column5291"/>
    <tableColumn id="5311" xr3:uid="{D499525A-EC17-46AC-80AF-F5EF22E55928}" name="Column5292"/>
    <tableColumn id="5312" xr3:uid="{2B95D727-7161-4A16-AC07-F56FFB3EFB7F}" name="Column5293"/>
    <tableColumn id="5313" xr3:uid="{8B0BD65A-6C88-4121-B475-AEAEB07F7D21}" name="Column5294"/>
    <tableColumn id="5314" xr3:uid="{1FEFB664-8924-46CC-A29C-A495853C5688}" name="Column5295"/>
    <tableColumn id="5315" xr3:uid="{47D56A32-4141-4C1D-999B-645F224F57D2}" name="Column5296"/>
    <tableColumn id="5316" xr3:uid="{8581BCE2-E109-4E82-859F-0A004E38AA2C}" name="Column5297"/>
    <tableColumn id="5317" xr3:uid="{ADE0B7E3-3E7C-415E-B5B3-152C9A1E9B37}" name="Column5298"/>
    <tableColumn id="5318" xr3:uid="{FB9FA292-7627-462A-9C14-E7B10D13D06D}" name="Column5299"/>
    <tableColumn id="5319" xr3:uid="{A57B2D3D-D1A7-458C-977E-830AD5E5FD24}" name="Column5300"/>
    <tableColumn id="5320" xr3:uid="{174F627F-1337-4490-8744-085DD16ED411}" name="Column5301"/>
    <tableColumn id="5321" xr3:uid="{FA4F8640-6D81-464A-B340-10E83E34396C}" name="Column5302"/>
    <tableColumn id="5322" xr3:uid="{54EEA3B9-222A-41CC-90BA-3BAE8B9AA142}" name="Column5303"/>
    <tableColumn id="5323" xr3:uid="{FBBD0548-15F7-41D3-BFE7-F8C6A0CBEEF5}" name="Column5304"/>
    <tableColumn id="5324" xr3:uid="{1C4E3E26-9293-4D95-9C81-EF98A297EA4D}" name="Column5305"/>
    <tableColumn id="5325" xr3:uid="{610E7B1E-491B-4B5F-9BB5-630095BE68AB}" name="Column5306"/>
    <tableColumn id="5326" xr3:uid="{9D318ABF-8AE8-4579-9B64-A3987364A06F}" name="Column5307"/>
    <tableColumn id="5327" xr3:uid="{05C35215-CD19-41F5-B7A1-F1894FF86F37}" name="Column5308"/>
    <tableColumn id="5328" xr3:uid="{7AFC0986-F606-4254-BFA3-A44F66B3CA1E}" name="Column5309"/>
    <tableColumn id="5329" xr3:uid="{C185CCA5-CA6C-44BD-9641-C341B6D8688A}" name="Column5310"/>
    <tableColumn id="5330" xr3:uid="{5CAD908A-5D4C-46DA-9A5C-0B503017D7AA}" name="Column5311"/>
    <tableColumn id="5331" xr3:uid="{0F0F125A-C09A-4850-AC21-7FEF93137D43}" name="Column5312"/>
    <tableColumn id="5332" xr3:uid="{DFB93942-4F9B-459C-8D72-84FB0CA9633C}" name="Column5313"/>
    <tableColumn id="5333" xr3:uid="{9B89D48D-F85F-49D8-87DD-2057EC4CE7EB}" name="Column5314"/>
    <tableColumn id="5334" xr3:uid="{98C9DF86-379F-4498-B1AA-A6B9F6D7804F}" name="Column5315"/>
    <tableColumn id="5335" xr3:uid="{D3A3FA98-09BB-4FAA-AE04-61F2C88D21A0}" name="Column5316"/>
    <tableColumn id="5336" xr3:uid="{25A47920-F666-4A5A-9DBE-6FDA0DF9A143}" name="Column5317"/>
    <tableColumn id="5337" xr3:uid="{ED6B5AE3-FD54-416F-A9CD-A39ABEF8EE5B}" name="Column5318"/>
    <tableColumn id="5338" xr3:uid="{9C5A7A05-80CB-4782-B442-F9772B52BD51}" name="Column5319"/>
    <tableColumn id="5339" xr3:uid="{43921721-0885-436F-BE80-C13C3B2A40F2}" name="Column5320"/>
    <tableColumn id="5340" xr3:uid="{08E453DD-5151-4A6A-ADBC-B579193F63ED}" name="Column5321"/>
    <tableColumn id="5341" xr3:uid="{7085AE56-D77C-4A82-8D21-55BEA536B55F}" name="Column5322"/>
    <tableColumn id="5342" xr3:uid="{F181F66C-1249-432F-B026-D5BF91247902}" name="Column5323"/>
    <tableColumn id="5343" xr3:uid="{648C3423-21E6-4164-8A11-85D260A54E4C}" name="Column5324"/>
    <tableColumn id="5344" xr3:uid="{EA68F3D7-A320-426E-81B7-270085B334BD}" name="Column5325"/>
    <tableColumn id="5345" xr3:uid="{9098FAC4-42CF-436E-906E-478864B45A83}" name="Column5326"/>
    <tableColumn id="5346" xr3:uid="{14736B24-E016-4C97-89B1-93D6F74DCFC5}" name="Column5327"/>
    <tableColumn id="5347" xr3:uid="{FCE2EEC4-528E-4716-8D91-6E1E34DDBF74}" name="Column5328"/>
    <tableColumn id="5348" xr3:uid="{79B94714-5FAB-4241-9EA2-70FC0F49E166}" name="Column5329"/>
    <tableColumn id="5349" xr3:uid="{AD347A6F-E3FE-4435-944E-D9B9AE53029C}" name="Column5330"/>
    <tableColumn id="5350" xr3:uid="{40015521-BB60-4DE7-B45D-D3B0DEBE8F41}" name="Column5331"/>
    <tableColumn id="5351" xr3:uid="{76B6B221-A4FA-40EC-97A0-8DC70F62D289}" name="Column5332"/>
    <tableColumn id="5352" xr3:uid="{13875E1D-C168-4343-A625-26DB4FE409C9}" name="Column5333"/>
    <tableColumn id="5353" xr3:uid="{7815A15A-5E9F-4D90-B23F-F93108C18432}" name="Column5334"/>
    <tableColumn id="5354" xr3:uid="{B909B526-B3EC-4F67-8A95-6E52108239A4}" name="Column5335"/>
    <tableColumn id="5355" xr3:uid="{07ED5EA0-A8CF-40BE-BE46-DDCCAD0C5D60}" name="Column5336"/>
    <tableColumn id="5356" xr3:uid="{A463AEE2-8781-484A-8BB8-6F4C55F961F7}" name="Column5337"/>
    <tableColumn id="5357" xr3:uid="{6B09F347-F539-4BF6-9EF9-F00D7BAEDA6A}" name="Column5338"/>
    <tableColumn id="5358" xr3:uid="{3A299FE6-6A04-4DD7-9CF2-2BA268E82F7E}" name="Column5339"/>
    <tableColumn id="5359" xr3:uid="{2A913891-10FD-4351-AE8B-0CC3F6704594}" name="Column5340"/>
    <tableColumn id="5360" xr3:uid="{F721595F-AD90-4A88-BBDE-1222B7FC76E9}" name="Column5341"/>
    <tableColumn id="5361" xr3:uid="{8822782B-36C2-43EB-A5FA-014FEFEAE3C5}" name="Column5342"/>
    <tableColumn id="5362" xr3:uid="{3D70F469-7533-41A4-A394-ABB6B21C8292}" name="Column5343"/>
    <tableColumn id="5363" xr3:uid="{9E453527-9EA1-4EF4-8A29-83F8809B2067}" name="Column5344"/>
    <tableColumn id="5364" xr3:uid="{69F57169-A2A0-43BB-9246-0781CDBB81E2}" name="Column5345"/>
    <tableColumn id="5365" xr3:uid="{77775CC4-6090-4013-B7ED-106746BF3D6D}" name="Column5346"/>
    <tableColumn id="5366" xr3:uid="{256DAA6B-8BC4-4312-B7CE-B4A8D4451DE8}" name="Column5347"/>
    <tableColumn id="5367" xr3:uid="{6B47281B-498A-4271-941E-B4D9F74C7B5B}" name="Column5348"/>
    <tableColumn id="5368" xr3:uid="{48BCB86F-8217-4A67-976F-DD96E5CDD30E}" name="Column5349"/>
    <tableColumn id="5369" xr3:uid="{55ED1B4D-258D-4828-9B09-6060D39B7221}" name="Column5350"/>
    <tableColumn id="5370" xr3:uid="{82E368F7-C7C4-44AA-B018-A7E71F9910EE}" name="Column5351"/>
    <tableColumn id="5371" xr3:uid="{39390F08-EB0E-4499-B6F3-3BA8CD7F88B0}" name="Column5352"/>
    <tableColumn id="5372" xr3:uid="{7FE7F165-484E-41D8-82B1-1409569E9A2E}" name="Column5353"/>
    <tableColumn id="5373" xr3:uid="{AF5D43D5-A49C-43FB-991A-793B4D4C56A9}" name="Column5354"/>
    <tableColumn id="5374" xr3:uid="{D9022B27-FDC9-4196-A0BB-CAC633A87730}" name="Column5355"/>
    <tableColumn id="5375" xr3:uid="{0EFF538E-A199-4756-8C87-F021A132BF7C}" name="Column5356"/>
    <tableColumn id="5376" xr3:uid="{ECBEF910-DB58-4658-8D9A-4CB5278DB712}" name="Column5357"/>
    <tableColumn id="5377" xr3:uid="{1C43F45D-33C0-4EA5-B56A-E8FAA2E1CCB5}" name="Column5358"/>
    <tableColumn id="5378" xr3:uid="{8308204D-F569-4B84-BAC5-90EE1E914B5F}" name="Column5359"/>
    <tableColumn id="5379" xr3:uid="{6118BFFE-BE37-4B33-ACC4-754FCFD835C9}" name="Column5360"/>
    <tableColumn id="5380" xr3:uid="{2847E9B6-DB9C-46DD-90CB-662410EAC712}" name="Column5361"/>
    <tableColumn id="5381" xr3:uid="{3C433604-A3EC-4287-B88D-6617A8703AEF}" name="Column5362"/>
    <tableColumn id="5382" xr3:uid="{283C59E4-2CC7-4C8C-9995-E01BDA515A94}" name="Column5363"/>
    <tableColumn id="5383" xr3:uid="{422C6B57-85FA-46F5-8472-5624E7EFE092}" name="Column5364"/>
    <tableColumn id="5384" xr3:uid="{C7AECA32-2647-4E47-9261-4AF30A808BCA}" name="Column5365"/>
    <tableColumn id="5385" xr3:uid="{DDA1E13C-AECD-4730-8239-7B0F69C0E3FB}" name="Column5366"/>
    <tableColumn id="5386" xr3:uid="{9480FB49-A713-430F-A49A-A0970AC95652}" name="Column5367"/>
    <tableColumn id="5387" xr3:uid="{7C52A0D8-4300-42CA-9519-E1A16463FBC1}" name="Column5368"/>
    <tableColumn id="5388" xr3:uid="{567554AF-C7B4-4760-AD64-273A70134A16}" name="Column5369"/>
    <tableColumn id="5389" xr3:uid="{7BF38230-B136-4971-9990-34640A8237D9}" name="Column5370"/>
    <tableColumn id="5390" xr3:uid="{28E572D7-54B3-4FDE-9D99-1DE8B0B8FE45}" name="Column5371"/>
    <tableColumn id="5391" xr3:uid="{72BDB290-B805-4A84-BBD3-A060743660FF}" name="Column5372"/>
    <tableColumn id="5392" xr3:uid="{16FEE946-EAE0-4043-A053-76091DAEC2F9}" name="Column5373"/>
    <tableColumn id="5393" xr3:uid="{CD182AED-7E10-414A-92CB-32C355FA8EEF}" name="Column5374"/>
    <tableColumn id="5394" xr3:uid="{CD85A2FE-EECD-4AC0-BBDD-40C470DAEC53}" name="Column5375"/>
    <tableColumn id="5395" xr3:uid="{7D3B8D2E-2527-445A-BACB-490FF31434F1}" name="Column5376"/>
    <tableColumn id="5396" xr3:uid="{4D5F2305-2FBF-47EC-910D-252E3627E222}" name="Column5377"/>
    <tableColumn id="5397" xr3:uid="{3B0DFF64-B150-4BF8-BFE8-195BF3D7581E}" name="Column5378"/>
    <tableColumn id="5398" xr3:uid="{973E391C-B774-4724-9F7C-EAE759F6C25C}" name="Column5379"/>
    <tableColumn id="5399" xr3:uid="{E09E9816-E8A7-4E6B-9AFC-0814EA61B8BC}" name="Column5380"/>
    <tableColumn id="5400" xr3:uid="{BF70D194-EA70-47DE-AFAE-9FD5F4AD37B1}" name="Column5381"/>
    <tableColumn id="5401" xr3:uid="{21512BB9-EF6B-4991-AC1A-FB8B8881EE6F}" name="Column5382"/>
    <tableColumn id="5402" xr3:uid="{786F4F5A-54C4-4C07-B7C5-9B904AF2AE10}" name="Column5383"/>
    <tableColumn id="5403" xr3:uid="{A7A098C0-E7F7-4AF6-A13A-6BFFAA519B9D}" name="Column5384"/>
    <tableColumn id="5404" xr3:uid="{95E0883E-4572-448C-9C68-EAF316FF8FE4}" name="Column5385"/>
    <tableColumn id="5405" xr3:uid="{3A22E67F-B2AA-4FA2-BD03-A70C75015633}" name="Column5386"/>
    <tableColumn id="5406" xr3:uid="{07C7E047-7250-4BF2-B255-D2B7FDB83940}" name="Column5387"/>
    <tableColumn id="5407" xr3:uid="{83142F57-95C3-42EA-95EF-E219FC583062}" name="Column5388"/>
    <tableColumn id="5408" xr3:uid="{1FFC77FE-A488-443C-BE9F-6DF165A19EF5}" name="Column5389"/>
    <tableColumn id="5409" xr3:uid="{60D0CFD3-E139-4E9B-8CFA-D11583CDC2BD}" name="Column5390"/>
    <tableColumn id="5410" xr3:uid="{17FC6BBA-F953-4838-8AAC-5DEC0B6D4F0A}" name="Column5391"/>
    <tableColumn id="5411" xr3:uid="{7AA4BEFF-CB8E-415B-9703-5CDBF4078937}" name="Column5392"/>
    <tableColumn id="5412" xr3:uid="{2C71B8F9-BEF2-4F0A-8043-17235CBA5F32}" name="Column5393"/>
    <tableColumn id="5413" xr3:uid="{FCC623DD-0939-4324-9D43-0FA2D3E1049B}" name="Column5394"/>
    <tableColumn id="5414" xr3:uid="{85BE09F5-0341-427B-80EA-4CC4D280EF35}" name="Column5395"/>
    <tableColumn id="5415" xr3:uid="{21D8ADC1-1DD6-4EE2-AD7E-96462EB01E1D}" name="Column5396"/>
    <tableColumn id="5416" xr3:uid="{46C3A81D-BD4F-4B0B-9436-9972281BAFF6}" name="Column5397"/>
    <tableColumn id="5417" xr3:uid="{8FB73DA0-DB1C-4885-9C42-68E28D425124}" name="Column5398"/>
    <tableColumn id="5418" xr3:uid="{54015702-4CCA-4C62-94D2-9C9151B00F2B}" name="Column5399"/>
    <tableColumn id="5419" xr3:uid="{A8625C0A-027F-49E2-8F76-C1DB241CE1A3}" name="Column5400"/>
    <tableColumn id="5420" xr3:uid="{245BA15A-4A0D-43CC-ADE6-7CED1C84C628}" name="Column5401"/>
    <tableColumn id="5421" xr3:uid="{7A226D3F-0464-4A3E-B360-C029D9058DF0}" name="Column5402"/>
    <tableColumn id="5422" xr3:uid="{49867E21-523F-4B78-8AC0-1591305CA4BB}" name="Column5403"/>
    <tableColumn id="5423" xr3:uid="{9E169384-3A47-4D5B-AE57-0B09F04D1E21}" name="Column5404"/>
    <tableColumn id="5424" xr3:uid="{C635C41D-E1CD-4AF9-8625-FF01A6904591}" name="Column5405"/>
    <tableColumn id="5425" xr3:uid="{B3768D65-B7BF-41A3-AE77-A280F898E05E}" name="Column5406"/>
    <tableColumn id="5426" xr3:uid="{A94655A3-F906-4DA7-AFFC-E71CDC4FB871}" name="Column5407"/>
    <tableColumn id="5427" xr3:uid="{36F60727-9B0F-48BB-BA7D-881B625CCD97}" name="Column5408"/>
    <tableColumn id="5428" xr3:uid="{661FBF55-9FC9-42F7-A1BF-279E9F97FAF2}" name="Column5409"/>
    <tableColumn id="5429" xr3:uid="{7B561B0F-F425-4F31-A542-6473EC9840D2}" name="Column5410"/>
    <tableColumn id="5430" xr3:uid="{903FB6BF-634C-4EEF-B348-A63020D871AF}" name="Column5411"/>
    <tableColumn id="5431" xr3:uid="{B4D22330-EDBD-412D-A1FA-463F29EE9BAD}" name="Column5412"/>
    <tableColumn id="5432" xr3:uid="{51787A6E-A846-48FE-8737-6D15B057AB05}" name="Column5413"/>
    <tableColumn id="5433" xr3:uid="{29D9E70B-0A16-4BCF-B6F8-EE52ECA849BF}" name="Column5414"/>
    <tableColumn id="5434" xr3:uid="{0C35DE00-E43B-4785-881C-9FCDA8AA8CAF}" name="Column5415"/>
    <tableColumn id="5435" xr3:uid="{A6FABBF0-EDE6-4F00-B046-D7A063ADFDCC}" name="Column5416"/>
    <tableColumn id="5436" xr3:uid="{1DBEBA2F-E629-4BFD-9E10-A0859E48CB30}" name="Column5417"/>
    <tableColumn id="5437" xr3:uid="{42E159AE-8126-418B-AD0B-79C13BA1174C}" name="Column5418"/>
    <tableColumn id="5438" xr3:uid="{9F9CD3EA-8811-4D44-87C6-1432AF2091A2}" name="Column5419"/>
    <tableColumn id="5439" xr3:uid="{B164EF02-E220-48F0-80FB-F1EE00676208}" name="Column5420"/>
    <tableColumn id="5440" xr3:uid="{8482C1F5-762B-459D-B05E-C3A2D44BAC46}" name="Column5421"/>
    <tableColumn id="5441" xr3:uid="{F0785FD6-12B0-47BC-84A9-0DDB2204AB62}" name="Column5422"/>
    <tableColumn id="5442" xr3:uid="{0F88E443-50EA-4E51-8026-B4E5EA360784}" name="Column5423"/>
    <tableColumn id="5443" xr3:uid="{643E1AF0-1203-49F6-8592-74B8EE1443B7}" name="Column5424"/>
    <tableColumn id="5444" xr3:uid="{BCB634E0-D5BE-4714-BFF9-957EBA315F9E}" name="Column5425"/>
    <tableColumn id="5445" xr3:uid="{FE006D16-731A-4C33-9889-92F13C5005BA}" name="Column5426"/>
    <tableColumn id="5446" xr3:uid="{0FE4DAED-B3B3-488B-B5BE-A87CC1212432}" name="Column5427"/>
    <tableColumn id="5447" xr3:uid="{950DA051-733E-4B51-8E41-A25DBA6CC6B1}" name="Column5428"/>
    <tableColumn id="5448" xr3:uid="{FE460740-CB1C-4B2C-ABB9-EC30CB3989E5}" name="Column5429"/>
    <tableColumn id="5449" xr3:uid="{563965B4-8E2A-403A-A397-4D2B59C1CD94}" name="Column5430"/>
    <tableColumn id="5450" xr3:uid="{CB48899F-ABC4-48F6-BC6F-25FA28BDC7BD}" name="Column5431"/>
    <tableColumn id="5451" xr3:uid="{7899B518-C75E-4D4E-8FA5-8B26B8894C2D}" name="Column5432"/>
    <tableColumn id="5452" xr3:uid="{634B86A1-1171-43D0-8FCD-3307A446BB7A}" name="Column5433"/>
    <tableColumn id="5453" xr3:uid="{32505D3F-A209-4916-9F90-5A810D6FB58E}" name="Column5434"/>
    <tableColumn id="5454" xr3:uid="{F381999D-A74A-4045-8A4F-4A6990A13B22}" name="Column5435"/>
    <tableColumn id="5455" xr3:uid="{559E03EA-0F5F-4957-9330-B4EFA7C31C48}" name="Column5436"/>
    <tableColumn id="5456" xr3:uid="{2234EA83-675A-4700-80B0-FA0A2B205915}" name="Column5437"/>
    <tableColumn id="5457" xr3:uid="{7DF8B34B-5528-406F-9E29-509F454417D6}" name="Column5438"/>
    <tableColumn id="5458" xr3:uid="{95B40D63-6FCA-4186-9682-5C20E03761A9}" name="Column5439"/>
    <tableColumn id="5459" xr3:uid="{833EE50D-E5BD-4489-A62A-B08C485B32ED}" name="Column5440"/>
    <tableColumn id="5460" xr3:uid="{34386082-F4FF-4A2D-ABAE-F04C77439F97}" name="Column5441"/>
    <tableColumn id="5461" xr3:uid="{9E939580-9991-4620-AB1D-0E5947884E30}" name="Column5442"/>
    <tableColumn id="5462" xr3:uid="{EA94A86D-22CB-4583-83AD-54AA3E132A0D}" name="Column5443"/>
    <tableColumn id="5463" xr3:uid="{26CBD606-7FDF-410A-A142-8C75BEB6E32D}" name="Column5444"/>
    <tableColumn id="5464" xr3:uid="{C6668CD1-334F-4984-ABA5-10E36098AE60}" name="Column5445"/>
    <tableColumn id="5465" xr3:uid="{D7952830-3975-4159-ABD4-86B2F4A38078}" name="Column5446"/>
    <tableColumn id="5466" xr3:uid="{42DAD84C-46F5-491C-B531-1535C29C2173}" name="Column5447"/>
    <tableColumn id="5467" xr3:uid="{45225516-7D34-448E-8C58-107A771A45BA}" name="Column5448"/>
    <tableColumn id="5468" xr3:uid="{D3DE67CC-C8E3-437A-BD3B-CD5F65FB2BF3}" name="Column5449"/>
    <tableColumn id="5469" xr3:uid="{A8FAFB32-CFB0-4530-8693-3C34531BE4DB}" name="Column5450"/>
    <tableColumn id="5470" xr3:uid="{6E58D3F9-E1AA-4364-BA29-68B7236B59F4}" name="Column5451"/>
    <tableColumn id="5471" xr3:uid="{32749A81-C3EA-467D-82D3-8148E34F13F3}" name="Column5452"/>
    <tableColumn id="5472" xr3:uid="{B1E07888-0F5B-4D80-BC85-EC78CD47EB08}" name="Column5453"/>
    <tableColumn id="5473" xr3:uid="{26956E77-51A5-4C86-82C3-8F39B95AD960}" name="Column5454"/>
    <tableColumn id="5474" xr3:uid="{C87F2126-4D28-49B8-8A99-59478308CBE2}" name="Column5455"/>
    <tableColumn id="5475" xr3:uid="{9EF58E11-BF0C-4EE3-A1AF-4A90127900F4}" name="Column5456"/>
    <tableColumn id="5476" xr3:uid="{835DAD07-25EB-49B2-83B2-3C9E88C65608}" name="Column5457"/>
    <tableColumn id="5477" xr3:uid="{4DD11103-C40E-42C7-A9D0-3484435A8015}" name="Column5458"/>
    <tableColumn id="5478" xr3:uid="{BE9B78B7-5794-4175-9A7F-604645D73AD6}" name="Column5459"/>
    <tableColumn id="5479" xr3:uid="{95B4199E-E579-40D8-B572-096D08555D4F}" name="Column5460"/>
    <tableColumn id="5480" xr3:uid="{8CAC5058-FD38-47C1-B5FF-13AF9DE1CD2F}" name="Column5461"/>
    <tableColumn id="5481" xr3:uid="{175D3E7E-9868-4D6A-9739-30476A036967}" name="Column5462"/>
    <tableColumn id="5482" xr3:uid="{CC475379-E2DB-40F0-99EF-DD2BA4C33A0E}" name="Column5463"/>
    <tableColumn id="5483" xr3:uid="{4A15E196-34D2-427A-8B30-6E7257AFC96D}" name="Column5464"/>
    <tableColumn id="5484" xr3:uid="{D6AF515B-9C62-4C8F-9340-8EF2B2AE3878}" name="Column5465"/>
    <tableColumn id="5485" xr3:uid="{1E1CD347-64CF-4E7C-94EA-9898F64F9927}" name="Column5466"/>
    <tableColumn id="5486" xr3:uid="{63A38462-4175-458F-AF88-C92E140C2200}" name="Column5467"/>
    <tableColumn id="5487" xr3:uid="{A207F84D-FFAA-4B4A-92E0-930743A964AC}" name="Column5468"/>
    <tableColumn id="5488" xr3:uid="{E9D3E80A-4B22-4C6E-BEC3-DE62DEB06EE5}" name="Column5469"/>
    <tableColumn id="5489" xr3:uid="{B0EB3990-7259-43E4-9D48-28DCC8FC401F}" name="Column5470"/>
    <tableColumn id="5490" xr3:uid="{8E453061-3E4C-47E7-8755-1CC6B7FCDCAB}" name="Column5471"/>
    <tableColumn id="5491" xr3:uid="{06A5F48F-5C5B-447F-97A7-999BE3053617}" name="Column5472"/>
    <tableColumn id="5492" xr3:uid="{EDDAC8FD-5B84-464D-B931-A5AC3330A89C}" name="Column5473"/>
    <tableColumn id="5493" xr3:uid="{4EF8BE54-BE06-41FE-A826-DE42D3855562}" name="Column5474"/>
    <tableColumn id="5494" xr3:uid="{34302D6B-5DAD-4F17-80B8-5A823BB4C693}" name="Column5475"/>
    <tableColumn id="5495" xr3:uid="{662C1971-B70D-4B33-A36F-A2ED562DABB2}" name="Column5476"/>
    <tableColumn id="5496" xr3:uid="{E0275345-0DF3-4940-A5AA-934ABC9FD77E}" name="Column5477"/>
    <tableColumn id="5497" xr3:uid="{7551E426-BA12-4667-BA4D-4F294A21B2BC}" name="Column5478"/>
    <tableColumn id="5498" xr3:uid="{51AE706C-D258-4289-849D-25C97583F242}" name="Column5479"/>
    <tableColumn id="5499" xr3:uid="{645534CB-A8EF-415B-921E-764CE9AF2D1B}" name="Column5480"/>
    <tableColumn id="5500" xr3:uid="{5B4A8824-D303-4B7B-9305-7BF594653AD9}" name="Column5481"/>
    <tableColumn id="5501" xr3:uid="{AD4074F6-E5A4-49A5-9AA6-4AB1EDBBA603}" name="Column5482"/>
    <tableColumn id="5502" xr3:uid="{5288B124-60C6-44EE-A01A-EAE71D6B4A7F}" name="Column5483"/>
    <tableColumn id="5503" xr3:uid="{1EFD23F5-BE0E-46CB-942B-01EA84DEE51E}" name="Column5484"/>
    <tableColumn id="5504" xr3:uid="{C4D0C4DC-4B2E-43FD-B43B-CA868EF57CB3}" name="Column5485"/>
    <tableColumn id="5505" xr3:uid="{BB00E517-5CFF-46F8-9EC5-D86D5D0B1D76}" name="Column5486"/>
    <tableColumn id="5506" xr3:uid="{5DD1F9E7-64C2-4E7D-BFAC-0810C088C275}" name="Column5487"/>
    <tableColumn id="5507" xr3:uid="{EE6EC257-0B6C-46D1-A441-B3DB5B82C668}" name="Column5488"/>
    <tableColumn id="5508" xr3:uid="{8876C1D3-91E5-4F85-BAC3-CEE9EE760266}" name="Column5489"/>
    <tableColumn id="5509" xr3:uid="{1BC372AE-7F3F-4CDC-9532-B3C8BEEE9EF3}" name="Column5490"/>
    <tableColumn id="5510" xr3:uid="{F99CE724-0720-462F-9D47-32E0899CF0DE}" name="Column5491"/>
    <tableColumn id="5511" xr3:uid="{58259C52-1319-4028-AF9A-A81341E20B28}" name="Column5492"/>
    <tableColumn id="5512" xr3:uid="{54293FBE-FCC9-41E7-A20C-D18AFA1A9D7B}" name="Column5493"/>
    <tableColumn id="5513" xr3:uid="{B7E57596-F794-4013-8C5E-1DF52158CAF1}" name="Column5494"/>
    <tableColumn id="5514" xr3:uid="{885C7F77-89BA-460A-B9EB-C87FCD59AB25}" name="Column5495"/>
    <tableColumn id="5515" xr3:uid="{589B3309-C3A5-484F-A79D-381956B5F740}" name="Column5496"/>
    <tableColumn id="5516" xr3:uid="{F14697B0-A81D-4994-9D41-77118108B287}" name="Column5497"/>
    <tableColumn id="5517" xr3:uid="{1669A8F5-EAE4-4896-B56F-2AF2B77CB66A}" name="Column5498"/>
    <tableColumn id="5518" xr3:uid="{C5C02A9E-FAC4-4A06-A007-5FDC3B1EA4DB}" name="Column5499"/>
    <tableColumn id="5519" xr3:uid="{66BB1546-FC5E-48E3-8501-B161A2B29B62}" name="Column5500"/>
    <tableColumn id="5520" xr3:uid="{8159EA2C-E1F2-47F1-B43E-34F6A9C8702C}" name="Column5501"/>
    <tableColumn id="5521" xr3:uid="{D07E3E2C-6FB4-4594-BB4F-BC9017A22BAA}" name="Column5502"/>
    <tableColumn id="5522" xr3:uid="{3395B4FE-00D1-42EB-86FF-9647D2BF6A0A}" name="Column5503"/>
    <tableColumn id="5523" xr3:uid="{670526EF-05F8-4F5F-9D83-6EF8ADE63AFC}" name="Column5504"/>
    <tableColumn id="5524" xr3:uid="{9085412A-D652-40EA-B51E-D5CF7D15B9F4}" name="Column5505"/>
    <tableColumn id="5525" xr3:uid="{D03C403F-5C3B-4BCC-B61F-5A88F54AB981}" name="Column5506"/>
    <tableColumn id="5526" xr3:uid="{0208F669-E983-4B73-8789-BEFE94B6BE80}" name="Column5507"/>
    <tableColumn id="5527" xr3:uid="{C811308B-00BA-4D34-9C05-650DC36F2027}" name="Column5508"/>
    <tableColumn id="5528" xr3:uid="{0828D03C-53AD-47FA-B011-D510F55B163C}" name="Column5509"/>
    <tableColumn id="5529" xr3:uid="{DE213D4C-3A3C-492E-9995-3B32EF65FF6B}" name="Column5510"/>
    <tableColumn id="5530" xr3:uid="{9010F6E3-9FD9-4A11-8CCC-AC1E59FC7DC5}" name="Column5511"/>
    <tableColumn id="5531" xr3:uid="{57A324FE-BF87-411D-B5A2-BA7D907DD9EC}" name="Column5512"/>
    <tableColumn id="5532" xr3:uid="{0D2E7CD8-746A-4300-8A1C-058B810063FB}" name="Column5513"/>
    <tableColumn id="5533" xr3:uid="{13ADABB6-DCED-4387-B1A7-93DB205D5ADF}" name="Column5514"/>
    <tableColumn id="5534" xr3:uid="{E3B25FE3-2E22-439A-87DC-64FF31B9D35D}" name="Column5515"/>
    <tableColumn id="5535" xr3:uid="{CBD9431A-58C3-4440-A1EA-1DFF9C4B7138}" name="Column5516"/>
    <tableColumn id="5536" xr3:uid="{990C294B-E4A2-4399-AA2E-ECE76D0D05ED}" name="Column5517"/>
    <tableColumn id="5537" xr3:uid="{5B579091-7719-41F6-8D23-39C1CA800D6C}" name="Column5518"/>
    <tableColumn id="5538" xr3:uid="{2E27D395-F3A9-4535-A6E3-CBEC2F3C94B1}" name="Column5519"/>
    <tableColumn id="5539" xr3:uid="{C2EB4B1A-7ABD-4786-88F0-E72238D79A30}" name="Column5520"/>
    <tableColumn id="5540" xr3:uid="{D15E2B8C-7F7B-48D3-9F6F-B8584C26015F}" name="Column5521"/>
    <tableColumn id="5541" xr3:uid="{80D4B056-CE76-4755-A6BD-E8886FBBE35C}" name="Column5522"/>
    <tableColumn id="5542" xr3:uid="{C07C1E51-6199-4E8B-B6E4-7E7396F220FD}" name="Column5523"/>
    <tableColumn id="5543" xr3:uid="{F81A0FE5-7299-4A1D-BB46-188218A4BBC3}" name="Column5524"/>
    <tableColumn id="5544" xr3:uid="{DAB0A2A9-18C1-4B72-BF66-3A57C30CA662}" name="Column5525"/>
    <tableColumn id="5545" xr3:uid="{D6173BA4-5960-4F38-A717-9069967D2C8E}" name="Column5526"/>
    <tableColumn id="5546" xr3:uid="{3D2AABBE-9259-4738-B3AD-40A390B05F53}" name="Column5527"/>
    <tableColumn id="5547" xr3:uid="{16DD385E-883A-443D-AACE-604484945CE6}" name="Column5528"/>
    <tableColumn id="5548" xr3:uid="{F638B982-CEE2-4BCB-B5B6-1C6EC43E7D40}" name="Column5529"/>
    <tableColumn id="5549" xr3:uid="{1391A113-5DE3-42FC-A206-ACBFEA1F0C7D}" name="Column5530"/>
    <tableColumn id="5550" xr3:uid="{E0D269C6-60EE-4F1C-9A26-A18BE70DB8A9}" name="Column5531"/>
    <tableColumn id="5551" xr3:uid="{7BAD75A2-8B5A-443B-9C45-57FF7EA73067}" name="Column5532"/>
    <tableColumn id="5552" xr3:uid="{2DA0351E-9517-40D1-9186-FCF71A13BDFF}" name="Column5533"/>
    <tableColumn id="5553" xr3:uid="{3A4DA325-DC7A-4EC8-A7F8-8DB7504DF729}" name="Column5534"/>
    <tableColumn id="5554" xr3:uid="{31315F47-DF73-4736-BA53-3EFD3F26304B}" name="Column5535"/>
    <tableColumn id="5555" xr3:uid="{EA274390-B1FA-4AB5-8189-00326443A80C}" name="Column5536"/>
    <tableColumn id="5556" xr3:uid="{A637B405-FF00-4E8B-8A66-4B0467FDF270}" name="Column5537"/>
    <tableColumn id="5557" xr3:uid="{24622B92-E39C-4E1F-AE92-E7B1B284658C}" name="Column5538"/>
    <tableColumn id="5558" xr3:uid="{8E2CECEC-ECC2-47F4-B637-6201048B2C41}" name="Column5539"/>
    <tableColumn id="5559" xr3:uid="{B3086835-E8B7-4945-87E9-92068603AD53}" name="Column5540"/>
    <tableColumn id="5560" xr3:uid="{991E4D3D-4117-4FD9-85BA-B30E0E91E3B6}" name="Column5541"/>
    <tableColumn id="5561" xr3:uid="{E38B6AC5-F9C0-4BD5-99E4-825BC93124A3}" name="Column5542"/>
    <tableColumn id="5562" xr3:uid="{21B7D76D-0EEA-40EC-B84F-1F25DC7ED33A}" name="Column5543"/>
    <tableColumn id="5563" xr3:uid="{60616633-CCD8-4C74-99C1-54C0C8049C2C}" name="Column5544"/>
    <tableColumn id="5564" xr3:uid="{ED28A2E1-C123-40D0-93F3-6393266DF217}" name="Column5545"/>
    <tableColumn id="5565" xr3:uid="{3922B70E-8DF0-4956-81C5-871740A0DCB1}" name="Column5546"/>
    <tableColumn id="5566" xr3:uid="{0DAB5C5F-5875-489D-932A-90B3CC4F7664}" name="Column5547"/>
    <tableColumn id="5567" xr3:uid="{DAC14DC0-2F4B-43F1-949A-DE5F6CD9D618}" name="Column5548"/>
    <tableColumn id="5568" xr3:uid="{75BF5349-20A1-424E-B637-E4660090EA2B}" name="Column5549"/>
    <tableColumn id="5569" xr3:uid="{D38341D6-6ADC-4D80-9E66-1428ED63945C}" name="Column5550"/>
    <tableColumn id="5570" xr3:uid="{FB79AC07-C458-4A34-A6AE-EADF3BDB82AF}" name="Column5551"/>
    <tableColumn id="5571" xr3:uid="{EFD78037-23A1-4F28-8688-E3166853791F}" name="Column5552"/>
    <tableColumn id="5572" xr3:uid="{3883C680-51A9-4DCA-92B0-A9653B5E88F5}" name="Column5553"/>
    <tableColumn id="5573" xr3:uid="{1216A803-3E63-4677-88CC-CBE479DB35A8}" name="Column5554"/>
    <tableColumn id="5574" xr3:uid="{964CC654-7712-423E-940F-05A035739F9A}" name="Column5555"/>
    <tableColumn id="5575" xr3:uid="{779C5D46-8EEF-47DA-B877-187E7B35ED77}" name="Column5556"/>
    <tableColumn id="5576" xr3:uid="{55750026-DF4B-4104-9DCC-C0BEF50FE515}" name="Column5557"/>
    <tableColumn id="5577" xr3:uid="{74E5D5B9-3B03-4A7F-A2A6-D8AC1442E98B}" name="Column5558"/>
    <tableColumn id="5578" xr3:uid="{362DE743-2EEA-483A-84F9-9E93FE046928}" name="Column5559"/>
    <tableColumn id="5579" xr3:uid="{6EFBA815-EA6E-432C-8A1C-87A49731DC66}" name="Column5560"/>
    <tableColumn id="5580" xr3:uid="{D4ADB00B-20E3-48D7-8F2E-062E2A113A9F}" name="Column5561"/>
    <tableColumn id="5581" xr3:uid="{903084F2-4079-4C2E-B598-707585545D80}" name="Column5562"/>
    <tableColumn id="5582" xr3:uid="{9840CBF7-42AC-44E6-B9A1-9515B5758258}" name="Column5563"/>
    <tableColumn id="5583" xr3:uid="{43EA2FC9-0B07-45BF-842F-AB8CCD75AF8A}" name="Column5564"/>
    <tableColumn id="5584" xr3:uid="{6A5556E0-1FD5-4143-8236-8A22F15BD20F}" name="Column5565"/>
    <tableColumn id="5585" xr3:uid="{B868CB51-CE6F-4F6C-ADFF-86152FFC0B16}" name="Column5566"/>
    <tableColumn id="5586" xr3:uid="{3D74B91F-9131-4F64-A25C-F867EF67BA32}" name="Column5567"/>
    <tableColumn id="5587" xr3:uid="{5BBD0689-52A3-4AE4-B8E3-6D39B433C2EC}" name="Column5568"/>
    <tableColumn id="5588" xr3:uid="{10580606-830A-4A60-9805-120265B8658A}" name="Column5569"/>
    <tableColumn id="5589" xr3:uid="{87FA224F-77A1-4560-BC6E-FFF5A0BE90B7}" name="Column5570"/>
    <tableColumn id="5590" xr3:uid="{F63C84A5-3FC4-4F86-B7DD-579562325986}" name="Column5571"/>
    <tableColumn id="5591" xr3:uid="{58015B2B-9FD6-4181-A8A3-CA52ED93E441}" name="Column5572"/>
    <tableColumn id="5592" xr3:uid="{F2CFA9EF-3157-4905-9E5F-AC983B2E927D}" name="Column5573"/>
    <tableColumn id="5593" xr3:uid="{7CAE15AF-C38B-4896-9AF4-C455665895B3}" name="Column5574"/>
    <tableColumn id="5594" xr3:uid="{7717C126-D4F4-48CE-8791-3BEA9D2BC616}" name="Column5575"/>
    <tableColumn id="5595" xr3:uid="{D7ACFE49-21CF-4FCF-9F4D-DE64FCA06B82}" name="Column5576"/>
    <tableColumn id="5596" xr3:uid="{EDE1310C-6439-4775-9EED-11C60513173C}" name="Column5577"/>
    <tableColumn id="5597" xr3:uid="{B2E3A3E7-032A-49C9-927E-74929AA83091}" name="Column5578"/>
    <tableColumn id="5598" xr3:uid="{F2021568-8BC3-4CC0-B85C-7A592387C186}" name="Column5579"/>
    <tableColumn id="5599" xr3:uid="{64DADD59-C833-4CD6-AAC2-69D53E47D8CA}" name="Column5580"/>
    <tableColumn id="5600" xr3:uid="{CC2EBB16-C130-424F-A199-406B89B9C33C}" name="Column5581"/>
    <tableColumn id="5601" xr3:uid="{DBD59658-7C6D-4E83-A45C-EE19D2CE760B}" name="Column5582"/>
    <tableColumn id="5602" xr3:uid="{AD1C6152-9B17-478C-B676-5604261C83B0}" name="Column5583"/>
    <tableColumn id="5603" xr3:uid="{F2BB804A-36FC-480D-8ED8-58C6A632CEA4}" name="Column5584"/>
    <tableColumn id="5604" xr3:uid="{73CA67DA-2C43-48BF-B6D0-7AA539BFD070}" name="Column5585"/>
    <tableColumn id="5605" xr3:uid="{647369F0-05E6-400A-9BF6-50CAA8D13E05}" name="Column5586"/>
    <tableColumn id="5606" xr3:uid="{40408B66-6504-49FE-8F83-09466440223B}" name="Column5587"/>
    <tableColumn id="5607" xr3:uid="{37B6C54C-EC1F-4B38-9A43-B3F66503EACA}" name="Column5588"/>
    <tableColumn id="5608" xr3:uid="{84B0D7DF-9DF6-4BE1-B86B-C8BCB995A811}" name="Column5589"/>
    <tableColumn id="5609" xr3:uid="{3136125B-269C-4EA1-997A-94972249BB8C}" name="Column5590"/>
    <tableColumn id="5610" xr3:uid="{0F31DE40-1ECA-4E3B-842F-8C83D2468D5F}" name="Column5591"/>
    <tableColumn id="5611" xr3:uid="{DF12D6BC-F62D-445A-9C43-CA867B4B08C1}" name="Column5592"/>
    <tableColumn id="5612" xr3:uid="{7C1316CB-6B2B-464F-A319-F12ECC750D81}" name="Column5593"/>
    <tableColumn id="5613" xr3:uid="{73D9DA80-A0BA-4F6A-907E-A153B69824D9}" name="Column5594"/>
    <tableColumn id="5614" xr3:uid="{2B0CF9A0-C882-479A-998B-FE53C1EDA81E}" name="Column5595"/>
    <tableColumn id="5615" xr3:uid="{966D1F9A-B885-4333-928C-190B0D792D64}" name="Column5596"/>
    <tableColumn id="5616" xr3:uid="{148C3A2C-E60D-4FCB-B91A-D447485C709C}" name="Column5597"/>
    <tableColumn id="5617" xr3:uid="{705370D4-2B25-42DB-ADC5-702589CA2148}" name="Column5598"/>
    <tableColumn id="5618" xr3:uid="{96F5630D-0E90-46BE-87E3-96C4B020F7E6}" name="Column5599"/>
    <tableColumn id="5619" xr3:uid="{86E05951-0DEE-4320-A03D-2D063D4FDACA}" name="Column5600"/>
    <tableColumn id="5620" xr3:uid="{326C34DD-DE2C-4BBF-B1A8-7F9EB3FD962F}" name="Column5601"/>
    <tableColumn id="5621" xr3:uid="{68CE27B5-71E2-43E3-8C7D-4D8B83E92CF7}" name="Column5602"/>
    <tableColumn id="5622" xr3:uid="{05438D4F-9CEF-4881-847B-2AAE093FEDBF}" name="Column5603"/>
    <tableColumn id="5623" xr3:uid="{F01F0AD9-F0A9-4E9F-AEF4-C602B597D416}" name="Column5604"/>
    <tableColumn id="5624" xr3:uid="{7A4C7D06-458A-4AB0-AA33-015A83696707}" name="Column5605"/>
    <tableColumn id="5625" xr3:uid="{69EF016D-87E6-4544-8DFB-49E9E78238D5}" name="Column5606"/>
    <tableColumn id="5626" xr3:uid="{35C5571F-D05E-471A-8558-F608722B9667}" name="Column5607"/>
    <tableColumn id="5627" xr3:uid="{E06A2B2C-7EB3-426C-9238-1CC1E0F04553}" name="Column5608"/>
    <tableColumn id="5628" xr3:uid="{2CA8EC29-29E3-457F-9996-E6DD2BD594E6}" name="Column5609"/>
    <tableColumn id="5629" xr3:uid="{FDC07421-495B-403D-AC17-5A6EA2530206}" name="Column5610"/>
    <tableColumn id="5630" xr3:uid="{2EF2E8AF-A6CB-4B54-AEDE-A38D6C3AA476}" name="Column5611"/>
    <tableColumn id="5631" xr3:uid="{D63E3600-D01D-4398-B062-DAD50AF62254}" name="Column5612"/>
    <tableColumn id="5632" xr3:uid="{22BC4E3D-3B4F-4623-B6A0-28B0A6C0A0D2}" name="Column5613"/>
    <tableColumn id="5633" xr3:uid="{CEDD0D5B-D1F4-4AE3-8215-1A9C69DD8D81}" name="Column5614"/>
    <tableColumn id="5634" xr3:uid="{A2442AB0-8B23-461B-8CD5-2D14107D6954}" name="Column5615"/>
    <tableColumn id="5635" xr3:uid="{68C6ACBB-ACBF-4674-9FC9-32043F49ACBB}" name="Column5616"/>
    <tableColumn id="5636" xr3:uid="{5099643D-7E59-4E45-A734-43DCF53666F2}" name="Column5617"/>
    <tableColumn id="5637" xr3:uid="{64229D06-489F-4400-A9EF-FC4096ECF0C6}" name="Column5618"/>
    <tableColumn id="5638" xr3:uid="{554A85B7-F5C0-4346-B106-6D20268AA1D7}" name="Column5619"/>
    <tableColumn id="5639" xr3:uid="{171F1EF0-1D81-49B9-BAB8-76E6A62EA933}" name="Column5620"/>
    <tableColumn id="5640" xr3:uid="{ED3E1B2F-AC87-4C46-9751-3C7F2027D588}" name="Column5621"/>
    <tableColumn id="5641" xr3:uid="{024B226C-4683-4B6F-BBAF-C02F0D681F7E}" name="Column5622"/>
    <tableColumn id="5642" xr3:uid="{206A2F24-A467-42DF-BA50-8F95F1B62881}" name="Column5623"/>
    <tableColumn id="5643" xr3:uid="{4042DE20-E2CF-4A54-905A-A7E6BA6158FA}" name="Column5624"/>
    <tableColumn id="5644" xr3:uid="{95778DC8-D60A-41CE-BD4D-FE6CD5F6806B}" name="Column5625"/>
    <tableColumn id="5645" xr3:uid="{AE647B61-D9F6-44CE-9EB5-80A74E2A5691}" name="Column5626"/>
    <tableColumn id="5646" xr3:uid="{5CC7B0AA-E590-40E3-88D9-B8C1EE246D8F}" name="Column5627"/>
    <tableColumn id="5647" xr3:uid="{E03B4942-1893-4EA1-9356-B7F967708CB2}" name="Column5628"/>
    <tableColumn id="5648" xr3:uid="{6095AE8F-6ACB-4FD5-84D1-94C1E031F4AA}" name="Column5629"/>
    <tableColumn id="5649" xr3:uid="{2D81AE06-2FCA-4408-B6E2-6A1B0F443116}" name="Column5630"/>
    <tableColumn id="5650" xr3:uid="{849B6796-0BC2-426E-80E7-8ED1C6BEDEE0}" name="Column5631"/>
    <tableColumn id="5651" xr3:uid="{E78D4499-0319-416A-BBF7-93FB850D8AB4}" name="Column5632"/>
    <tableColumn id="5652" xr3:uid="{5E113E69-BACC-4D0E-81E1-81684035AD0F}" name="Column5633"/>
    <tableColumn id="5653" xr3:uid="{4A066CB4-FE26-4658-9D3F-C0F0B15EBF4F}" name="Column5634"/>
    <tableColumn id="5654" xr3:uid="{F46AAA28-E375-48A9-9D5C-9FA34D3A46A6}" name="Column5635"/>
    <tableColumn id="5655" xr3:uid="{4F428F80-3635-4384-A0C9-A21548A157B4}" name="Column5636"/>
    <tableColumn id="5656" xr3:uid="{33A15388-B9F0-4141-AD30-EA9BF35867B1}" name="Column5637"/>
    <tableColumn id="5657" xr3:uid="{2935A9C2-E8F9-4B93-834E-A1B5B33884D3}" name="Column5638"/>
    <tableColumn id="5658" xr3:uid="{9DB06FC1-37C8-4FE9-A54B-0496DE6C13AD}" name="Column5639"/>
    <tableColumn id="5659" xr3:uid="{EA302CC4-BC18-4E6C-93FC-3833E9D68442}" name="Column5640"/>
    <tableColumn id="5660" xr3:uid="{DBDEA625-2FB6-435F-81C8-50C09B9A42FF}" name="Column5641"/>
    <tableColumn id="5661" xr3:uid="{D348C1F7-D384-4BC1-9FEA-4043EA882EF5}" name="Column5642"/>
    <tableColumn id="5662" xr3:uid="{0AD16C7C-E8E8-4BEF-8EF8-D047BB42C27D}" name="Column5643"/>
    <tableColumn id="5663" xr3:uid="{33CBDE93-C368-415B-902F-1F13A42F2101}" name="Column5644"/>
    <tableColumn id="5664" xr3:uid="{AF511B70-22F5-404C-8A97-A551BE04AADE}" name="Column5645"/>
    <tableColumn id="5665" xr3:uid="{AD6F6CC8-50BD-44D5-8794-87626DEA2A29}" name="Column5646"/>
    <tableColumn id="5666" xr3:uid="{A1A80D60-178A-4764-BDB0-0FFE38898961}" name="Column5647"/>
    <tableColumn id="5667" xr3:uid="{99F5F79F-894B-42F3-820F-2640EA19C49C}" name="Column5648"/>
    <tableColumn id="5668" xr3:uid="{A206A499-99D3-4660-9561-5CDBA0D86EC9}" name="Column5649"/>
    <tableColumn id="5669" xr3:uid="{E9F397EA-735F-4F88-9AAB-D864949BF27E}" name="Column5650"/>
    <tableColumn id="5670" xr3:uid="{D808F10F-9DC2-4341-9BA6-80543C14434E}" name="Column5651"/>
    <tableColumn id="5671" xr3:uid="{E7B743F5-385A-4E04-91CD-393C1801D378}" name="Column5652"/>
    <tableColumn id="5672" xr3:uid="{E8D60252-B527-4EEF-BE3C-438D7E3E6D4A}" name="Column5653"/>
    <tableColumn id="5673" xr3:uid="{26E53BB7-7D38-4AED-8147-BFE8E199118A}" name="Column5654"/>
    <tableColumn id="5674" xr3:uid="{789E751C-8F51-4BF8-992B-2DA25CAF951C}" name="Column5655"/>
    <tableColumn id="5675" xr3:uid="{DA926DA2-29B1-4A7C-AEED-DF27EBD650E9}" name="Column5656"/>
    <tableColumn id="5676" xr3:uid="{7FE3F8F7-187D-4D01-990E-F7BF94DF6DEF}" name="Column5657"/>
    <tableColumn id="5677" xr3:uid="{4A014315-1E9A-4788-9C3B-15696B494DFE}" name="Column5658"/>
    <tableColumn id="5678" xr3:uid="{60947449-5BE0-4981-AB8D-83CB1FD17C7B}" name="Column5659"/>
    <tableColumn id="5679" xr3:uid="{060A1622-AD01-46C2-A101-D86F61D00120}" name="Column5660"/>
    <tableColumn id="5680" xr3:uid="{2C3C6890-050B-4BB2-9EDA-1D99A3F96814}" name="Column5661"/>
    <tableColumn id="5681" xr3:uid="{6C9C293B-6AFA-40C1-BD42-D4D14312E664}" name="Column5662"/>
    <tableColumn id="5682" xr3:uid="{6E363CF0-58B3-4BAA-96DC-88996C198C14}" name="Column5663"/>
    <tableColumn id="5683" xr3:uid="{C0AD81C8-3F1B-4721-9075-F5512E2A86D0}" name="Column5664"/>
    <tableColumn id="5684" xr3:uid="{1E893352-F42B-4DC8-9825-90A2AC598029}" name="Column5665"/>
    <tableColumn id="5685" xr3:uid="{0EA8B0CA-039D-444E-AC24-91B7690BE710}" name="Column5666"/>
    <tableColumn id="5686" xr3:uid="{2F896766-C928-4F80-A85A-32A0EC964BAA}" name="Column5667"/>
    <tableColumn id="5687" xr3:uid="{971550C8-979D-4E60-8C39-7F24F3DC7D07}" name="Column5668"/>
    <tableColumn id="5688" xr3:uid="{48D89543-FF74-4D6A-BCB7-AEC1FFFC7049}" name="Column5669"/>
    <tableColumn id="5689" xr3:uid="{23EA927E-93F1-4AB1-BFCE-30276A8F9A2A}" name="Column5670"/>
    <tableColumn id="5690" xr3:uid="{1847C42E-5F93-44B3-8BCD-CCB9E08B6EA0}" name="Column5671"/>
    <tableColumn id="5691" xr3:uid="{08898D2A-58E8-4F41-BF20-45822C3C5BB0}" name="Column5672"/>
    <tableColumn id="5692" xr3:uid="{4DB380F3-BF31-48B3-9968-051BD101047E}" name="Column5673"/>
    <tableColumn id="5693" xr3:uid="{24155568-CFDC-4AD2-B36A-78B77F7C28A6}" name="Column5674"/>
    <tableColumn id="5694" xr3:uid="{467BA752-7030-4576-99EA-3D29729AE430}" name="Column5675"/>
    <tableColumn id="5695" xr3:uid="{726EE463-CB76-46A5-864A-13096BEF3CE3}" name="Column5676"/>
    <tableColumn id="5696" xr3:uid="{7865EDE0-094A-44F6-9D8D-D3255832E8FF}" name="Column5677"/>
    <tableColumn id="5697" xr3:uid="{9876AC36-A3E0-440D-BB86-E1D0B86E8E59}" name="Column5678"/>
    <tableColumn id="5698" xr3:uid="{BDF8920A-FA02-4486-B2E7-0E255FE89487}" name="Column5679"/>
    <tableColumn id="5699" xr3:uid="{43CAEB44-68EF-4911-A08F-1666DF1216D2}" name="Column5680"/>
    <tableColumn id="5700" xr3:uid="{89D1A444-69DD-4BC4-947F-A6D841561002}" name="Column5681"/>
    <tableColumn id="5701" xr3:uid="{421E152B-F635-41A2-867A-C140D1D6922B}" name="Column5682"/>
    <tableColumn id="5702" xr3:uid="{5D2256C5-FBAD-49DB-A72A-5E02C09484A4}" name="Column5683"/>
    <tableColumn id="5703" xr3:uid="{FF99E510-D614-4AFC-9365-B933EECCFE4E}" name="Column5684"/>
    <tableColumn id="5704" xr3:uid="{EE5F7E4D-2914-4F05-918A-0B35584BC6D9}" name="Column5685"/>
    <tableColumn id="5705" xr3:uid="{6D62B3D5-C498-44C8-8691-A4262CE19E7E}" name="Column5686"/>
    <tableColumn id="5706" xr3:uid="{7B5154A0-C5DC-4622-9745-F36893E6F37F}" name="Column5687"/>
    <tableColumn id="5707" xr3:uid="{CEEEA998-C9DF-4113-905B-46E5CF8407BA}" name="Column5688"/>
    <tableColumn id="5708" xr3:uid="{8027D628-5F35-4B49-9197-30234E292DAA}" name="Column5689"/>
    <tableColumn id="5709" xr3:uid="{38370E34-3AC2-4BCC-9868-D32B03F3E6FC}" name="Column5690"/>
    <tableColumn id="5710" xr3:uid="{64756B57-F2B1-4B35-88A2-5827BC81AD70}" name="Column5691"/>
    <tableColumn id="5711" xr3:uid="{55EBD787-A557-4D5F-A9EB-FFDEEBA58228}" name="Column5692"/>
    <tableColumn id="5712" xr3:uid="{8A3F0850-FEA6-4759-BBCB-866596D5B42D}" name="Column5693"/>
    <tableColumn id="5713" xr3:uid="{27299DF0-5E20-4FC5-A2C8-7C8351FDC8A9}" name="Column5694"/>
    <tableColumn id="5714" xr3:uid="{3D186B62-E375-436A-8450-8A5EF379B43A}" name="Column5695"/>
    <tableColumn id="5715" xr3:uid="{DE536FA8-4744-4A93-B938-38FB50D0E383}" name="Column5696"/>
    <tableColumn id="5716" xr3:uid="{C69F6883-A186-4C2B-8B8C-58D5A3E81FC3}" name="Column5697"/>
    <tableColumn id="5717" xr3:uid="{8A0BED55-0DDC-4565-B943-B12590D5F868}" name="Column5698"/>
    <tableColumn id="5718" xr3:uid="{34DD1C0A-5EE3-4499-818B-28FACA82BAF4}" name="Column5699"/>
    <tableColumn id="5719" xr3:uid="{1EC97511-D2A3-4083-A60F-46BDE2C018BC}" name="Column5700"/>
    <tableColumn id="5720" xr3:uid="{A4D7AC54-21A7-43B3-84D6-17986FA243B9}" name="Column5701"/>
    <tableColumn id="5721" xr3:uid="{F73BE38B-D29B-4B85-8BE9-2D7E91DA4174}" name="Column5702"/>
    <tableColumn id="5722" xr3:uid="{181123E9-6C07-46F3-B6C2-7A733D73E41B}" name="Column5703"/>
    <tableColumn id="5723" xr3:uid="{4CB50807-941D-402B-B277-8D26538D411F}" name="Column5704"/>
    <tableColumn id="5724" xr3:uid="{CF2A0523-5F99-479F-A5E2-977894DF567E}" name="Column5705"/>
    <tableColumn id="5725" xr3:uid="{106B3648-2306-42F4-8C8C-6E85CA5D9EE0}" name="Column5706"/>
    <tableColumn id="5726" xr3:uid="{B6C90D32-A436-4FB5-9CDF-7369743FAE13}" name="Column5707"/>
    <tableColumn id="5727" xr3:uid="{98B059E3-106B-422E-B130-B6C0942054EA}" name="Column5708"/>
    <tableColumn id="5728" xr3:uid="{390E1E35-1868-41DC-BAB1-23A6DEBFA72A}" name="Column5709"/>
    <tableColumn id="5729" xr3:uid="{ECFD88D9-96DC-4E7D-8C7E-7058F73EA5CB}" name="Column5710"/>
    <tableColumn id="5730" xr3:uid="{54F9A4DB-66DD-45E6-98FF-65C8E990DA73}" name="Column5711"/>
    <tableColumn id="5731" xr3:uid="{1642C031-8DE8-42F0-8B42-7E091A59C788}" name="Column5712"/>
    <tableColumn id="5732" xr3:uid="{9893E740-10DD-4A23-A2DD-A761B30896C4}" name="Column5713"/>
    <tableColumn id="5733" xr3:uid="{7406E3FE-3674-494A-BA6F-FC889146C4EC}" name="Column5714"/>
    <tableColumn id="5734" xr3:uid="{7304B8FC-12A3-4D48-B7D5-CC4855DA0405}" name="Column5715"/>
    <tableColumn id="5735" xr3:uid="{9EC7C4D9-2EBC-4620-B1F7-53CF947FB33B}" name="Column5716"/>
    <tableColumn id="5736" xr3:uid="{AE937AE6-258C-40CA-B189-094E88E425D0}" name="Column5717"/>
    <tableColumn id="5737" xr3:uid="{DBA1252E-5717-4943-9F84-A133DE1AD3EA}" name="Column5718"/>
    <tableColumn id="5738" xr3:uid="{30487F0E-27D8-4BEB-97AF-0970E7FC6C5E}" name="Column5719"/>
    <tableColumn id="5739" xr3:uid="{3FF24361-2AED-4076-8042-2E93945A5168}" name="Column5720"/>
    <tableColumn id="5740" xr3:uid="{7BD04135-407C-41B4-B12C-8CE234148C5B}" name="Column5721"/>
    <tableColumn id="5741" xr3:uid="{F51AE804-F45B-426B-A5D3-A361319AB84D}" name="Column5722"/>
    <tableColumn id="5742" xr3:uid="{AD3AD2E2-03B3-44B8-A11F-06BE13B739D0}" name="Column5723"/>
    <tableColumn id="5743" xr3:uid="{5EACAF9D-9EA9-4FD2-B647-7321652DCA02}" name="Column5724"/>
    <tableColumn id="5744" xr3:uid="{C9BEA523-B109-4C82-A53D-439943017D96}" name="Column5725"/>
    <tableColumn id="5745" xr3:uid="{17A94C9A-0358-4388-A49F-57F66AFA70AA}" name="Column5726"/>
    <tableColumn id="5746" xr3:uid="{FAEA8FA8-45FB-42E8-BF9A-4094265A1576}" name="Column5727"/>
    <tableColumn id="5747" xr3:uid="{7B4F8572-C345-496E-B2A1-D93C4EE0472F}" name="Column5728"/>
    <tableColumn id="5748" xr3:uid="{FED53334-4AD6-49EF-AE7A-F6D9436D5003}" name="Column5729"/>
    <tableColumn id="5749" xr3:uid="{2DC2041E-1C5F-4772-B13C-4B425BE5FC4C}" name="Column5730"/>
    <tableColumn id="5750" xr3:uid="{DF19A50B-29CB-46B6-B45C-09B198B353F7}" name="Column5731"/>
    <tableColumn id="5751" xr3:uid="{81301624-89E2-460B-931F-EF17751527FD}" name="Column5732"/>
    <tableColumn id="5752" xr3:uid="{3E7A50B8-470B-4E70-957A-CB2B17D9506B}" name="Column5733"/>
    <tableColumn id="5753" xr3:uid="{81B1A4DA-260A-4575-AA09-9D382F7D6272}" name="Column5734"/>
    <tableColumn id="5754" xr3:uid="{9C5F4560-E0FA-450B-8680-E89750F0DFFF}" name="Column5735"/>
    <tableColumn id="5755" xr3:uid="{BAF51D70-CD1D-43DB-9C2A-009A8FF25D34}" name="Column5736"/>
    <tableColumn id="5756" xr3:uid="{9D2E4F5B-EAA2-47FB-8D18-DA3EC19AFF9F}" name="Column5737"/>
    <tableColumn id="5757" xr3:uid="{B28501C8-269C-4B2A-B8B6-E6312D779EB4}" name="Column5738"/>
    <tableColumn id="5758" xr3:uid="{1563073C-0C25-40AC-AB0C-F1C63E375A9E}" name="Column5739"/>
    <tableColumn id="5759" xr3:uid="{5BCB3157-629B-45D9-8728-D4FF94968689}" name="Column5740"/>
    <tableColumn id="5760" xr3:uid="{E914D02F-AE55-4FA4-AB89-2A8E7CBC30AC}" name="Column5741"/>
    <tableColumn id="5761" xr3:uid="{B4B92C40-AAEB-4E02-94CD-3D1F1D753ADB}" name="Column5742"/>
    <tableColumn id="5762" xr3:uid="{DF4B4B18-C999-4B67-B14F-0CBD9B121F68}" name="Column5743"/>
    <tableColumn id="5763" xr3:uid="{BEBDD263-B8B4-4825-B306-D35CD7F7BE11}" name="Column5744"/>
    <tableColumn id="5764" xr3:uid="{E8B3CCC0-8475-476B-8099-893CBA43458C}" name="Column5745"/>
    <tableColumn id="5765" xr3:uid="{330ED378-16EA-475A-A26D-BCA82876991B}" name="Column5746"/>
    <tableColumn id="5766" xr3:uid="{D23CF980-908D-4F23-9380-D0094F573710}" name="Column5747"/>
    <tableColumn id="5767" xr3:uid="{055A17C7-1941-412D-8862-428CB4445C8D}" name="Column5748"/>
    <tableColumn id="5768" xr3:uid="{56B66003-A1F4-4040-AA2E-5DCEDE8DE7EE}" name="Column5749"/>
    <tableColumn id="5769" xr3:uid="{C6A56DF2-EE03-4631-9761-1F325CEAFDEC}" name="Column5750"/>
    <tableColumn id="5770" xr3:uid="{5B3BF412-65EA-4601-B459-75055A65C92D}" name="Column5751"/>
    <tableColumn id="5771" xr3:uid="{FFEA1C70-6388-4FD6-B2FD-7E3BD96A63B0}" name="Column5752"/>
    <tableColumn id="5772" xr3:uid="{90558594-C8C7-4FFD-AB76-AA9E387ADAB4}" name="Column5753"/>
    <tableColumn id="5773" xr3:uid="{30C9B9F0-7A4A-4A6B-A412-DCF6872260CC}" name="Column5754"/>
    <tableColumn id="5774" xr3:uid="{229DD501-A7B2-4C77-8A8B-B2490BF1F836}" name="Column5755"/>
    <tableColumn id="5775" xr3:uid="{C6B69C55-A0FE-4D8E-B9F1-2E48FF70E356}" name="Column5756"/>
    <tableColumn id="5776" xr3:uid="{4D8FE747-06AE-4E59-AD48-1044BB4CC50F}" name="Column5757"/>
    <tableColumn id="5777" xr3:uid="{6D9B7D0B-94DA-4CAB-892E-20D74B3E12DC}" name="Column5758"/>
    <tableColumn id="5778" xr3:uid="{9F71125C-5670-43EA-ACB9-AFB12FA8B955}" name="Column5759"/>
    <tableColumn id="5779" xr3:uid="{30318549-4872-4911-AA29-278C422AC62D}" name="Column5760"/>
    <tableColumn id="5780" xr3:uid="{4C0DACCD-E2DD-4CAB-A967-B2CC729891E4}" name="Column5761"/>
    <tableColumn id="5781" xr3:uid="{B93AB38A-EF25-4611-B80E-9D9FAEC7BB6B}" name="Column5762"/>
    <tableColumn id="5782" xr3:uid="{3802A040-69E8-4A77-A349-D71610A3EE8E}" name="Column5763"/>
    <tableColumn id="5783" xr3:uid="{C59CFA61-3D4A-4CEB-93AE-1538C9620744}" name="Column5764"/>
    <tableColumn id="5784" xr3:uid="{0642DF7E-6F45-4040-830C-9D960828C282}" name="Column5765"/>
    <tableColumn id="5785" xr3:uid="{DF271297-4A5C-41C9-98E4-D21FE8F654C3}" name="Column5766"/>
    <tableColumn id="5786" xr3:uid="{22B529FD-104D-471B-A479-7F4AC8D3C1DA}" name="Column5767"/>
    <tableColumn id="5787" xr3:uid="{17E79C26-71AC-4E02-BD8C-660EC935FF97}" name="Column5768"/>
    <tableColumn id="5788" xr3:uid="{01B047AC-32A7-4AC1-9DDB-6503C645AA96}" name="Column5769"/>
    <tableColumn id="5789" xr3:uid="{152660FE-72EF-4F21-B450-A2090412C6E5}" name="Column5770"/>
    <tableColumn id="5790" xr3:uid="{C0518676-C3E4-434F-A3DC-15D763F1C1F3}" name="Column5771"/>
    <tableColumn id="5791" xr3:uid="{4440F929-E83A-4990-BB75-F69DD0A9FBF6}" name="Column5772"/>
    <tableColumn id="5792" xr3:uid="{AFB14DE1-0824-483A-81E5-7F38B27A4A08}" name="Column5773"/>
    <tableColumn id="5793" xr3:uid="{C7DF9191-7EC7-4AD4-B16A-078C4ACB0792}" name="Column5774"/>
    <tableColumn id="5794" xr3:uid="{29EBED05-21CA-4CA7-B9D5-360ADC494EF4}" name="Column5775"/>
    <tableColumn id="5795" xr3:uid="{5D79C52A-02F6-4DD2-8D66-079D40124C3C}" name="Column5776"/>
    <tableColumn id="5796" xr3:uid="{37CBBD2E-7A39-4298-8D4E-E37F615238B1}" name="Column5777"/>
    <tableColumn id="5797" xr3:uid="{F4EED4EF-38A1-41E8-80CB-1CD56C86F885}" name="Column5778"/>
    <tableColumn id="5798" xr3:uid="{8F0C1EA8-B5FA-4B54-8490-903AC56D78C4}" name="Column5779"/>
    <tableColumn id="5799" xr3:uid="{2DA4C597-E232-4AF9-B038-70B679837DD9}" name="Column5780"/>
    <tableColumn id="5800" xr3:uid="{64952EF3-D83B-4E6C-B8F6-A2E8250713CF}" name="Column5781"/>
    <tableColumn id="5801" xr3:uid="{C732C98D-AE79-44BE-A6D5-D628D76D908D}" name="Column5782"/>
    <tableColumn id="5802" xr3:uid="{91752007-59E2-4DD0-8A3C-BBA241534C9A}" name="Column5783"/>
    <tableColumn id="5803" xr3:uid="{682B1622-6E2C-4DE5-9929-6E391A03C6A3}" name="Column5784"/>
    <tableColumn id="5804" xr3:uid="{6A9857D3-BF60-4951-8F54-1825CFA8FA62}" name="Column5785"/>
    <tableColumn id="5805" xr3:uid="{31178AB7-32BF-4665-B591-29E073EC14EF}" name="Column5786"/>
    <tableColumn id="5806" xr3:uid="{64131BEE-807E-4C2B-8162-D0C0EC63A5D3}" name="Column5787"/>
    <tableColumn id="5807" xr3:uid="{AD96525E-AE7F-4265-9CEE-27756484950F}" name="Column5788"/>
    <tableColumn id="5808" xr3:uid="{E0067224-8B08-415B-A467-E29B72B44145}" name="Column5789"/>
    <tableColumn id="5809" xr3:uid="{3AEBF825-C4E1-4827-8979-E58851410C9E}" name="Column5790"/>
    <tableColumn id="5810" xr3:uid="{171B944F-59A7-4E63-9626-AA03BEA8D48F}" name="Column5791"/>
    <tableColumn id="5811" xr3:uid="{E48DFFE5-EEFD-4B57-9793-89B9B430DA41}" name="Column5792"/>
    <tableColumn id="5812" xr3:uid="{7A45B812-D6BB-40E8-A29B-D88B2A973F8E}" name="Column5793"/>
    <tableColumn id="5813" xr3:uid="{2D77531B-C263-49CA-8EF4-FF30A83F4AC8}" name="Column5794"/>
    <tableColumn id="5814" xr3:uid="{573D612A-D6FF-44D2-916B-3E6F7976603B}" name="Column5795"/>
    <tableColumn id="5815" xr3:uid="{238CAA6A-CF99-4320-8D35-F61742AF9B61}" name="Column5796"/>
    <tableColumn id="5816" xr3:uid="{6B59A38E-FF1F-472C-8E0B-35865375A8DE}" name="Column5797"/>
    <tableColumn id="5817" xr3:uid="{952883CB-8C8E-42C5-8D42-96CD2F53CBCD}" name="Column5798"/>
    <tableColumn id="5818" xr3:uid="{5560E20D-2A21-4333-8FA3-F9D0DA3A91BA}" name="Column5799"/>
    <tableColumn id="5819" xr3:uid="{A57E12C2-406D-4D1D-9732-0938864A72CC}" name="Column5800"/>
    <tableColumn id="5820" xr3:uid="{F78B1ED1-8844-4B84-B6F3-7E57490B6222}" name="Column5801"/>
    <tableColumn id="5821" xr3:uid="{41F47437-6250-4850-92D5-27487ADA7B9D}" name="Column5802"/>
    <tableColumn id="5822" xr3:uid="{E0C2F365-B058-4DA3-99D4-E397FE3486D3}" name="Column5803"/>
    <tableColumn id="5823" xr3:uid="{BC5D6972-E17B-4433-B3BF-418C49621775}" name="Column5804"/>
    <tableColumn id="5824" xr3:uid="{F8282A1E-FE6B-49FC-B0FD-E55E1AF10ED3}" name="Column5805"/>
    <tableColumn id="5825" xr3:uid="{3C386544-AEC4-4D2D-8DE0-83459DDACCB9}" name="Column5806"/>
    <tableColumn id="5826" xr3:uid="{E6FCC0E5-F096-4DD7-8C08-D5839F93390D}" name="Column5807"/>
    <tableColumn id="5827" xr3:uid="{A4DA597D-1690-4B24-95B6-8E5D7F4A1439}" name="Column5808"/>
    <tableColumn id="5828" xr3:uid="{703782E3-F170-448D-B97D-0EFD01FAA07B}" name="Column5809"/>
    <tableColumn id="5829" xr3:uid="{F5DC6F3B-4F43-44A9-BBBA-8A4AE73E0BAD}" name="Column5810"/>
    <tableColumn id="5830" xr3:uid="{D4997389-63A2-4C0E-A115-1524C7457C86}" name="Column5811"/>
    <tableColumn id="5831" xr3:uid="{BC48420B-F24E-45AB-851A-A78CADE1F9F3}" name="Column5812"/>
    <tableColumn id="5832" xr3:uid="{DC882701-A399-4C7F-88C0-9AC3631535AE}" name="Column5813"/>
    <tableColumn id="5833" xr3:uid="{87ACEFC7-4659-49C9-814F-5D3AFA84B269}" name="Column5814"/>
    <tableColumn id="5834" xr3:uid="{711FF822-B8FB-40B2-A352-91E40B52100C}" name="Column5815"/>
    <tableColumn id="5835" xr3:uid="{C439DD74-DBF6-417D-B2F9-E0ACC80DC823}" name="Column5816"/>
    <tableColumn id="5836" xr3:uid="{4B15CF20-7788-4CB3-94B7-DF907E42E075}" name="Column5817"/>
    <tableColumn id="5837" xr3:uid="{E0614F93-66A6-46EF-AD8E-F86111BD444A}" name="Column5818"/>
    <tableColumn id="5838" xr3:uid="{41D0A7E5-C21E-47DB-ABD2-B39586770BCF}" name="Column5819"/>
    <tableColumn id="5839" xr3:uid="{75381F39-7B6F-4924-B345-18C2CDC763FA}" name="Column5820"/>
    <tableColumn id="5840" xr3:uid="{BFE82F9F-E794-49CA-BAD0-C5A59C89FF6A}" name="Column5821"/>
    <tableColumn id="5841" xr3:uid="{0117C1B5-537F-4CCA-BEA7-87514C3B4233}" name="Column5822"/>
    <tableColumn id="5842" xr3:uid="{D71118CA-081F-435E-8D76-5388959953AD}" name="Column5823"/>
    <tableColumn id="5843" xr3:uid="{C5DFE335-1D32-454A-9C0E-37CACAE1B491}" name="Column5824"/>
    <tableColumn id="5844" xr3:uid="{E3634025-0E97-422C-9EB0-5F73B4F8E745}" name="Column5825"/>
    <tableColumn id="5845" xr3:uid="{AA7BD2BA-11AB-4628-926E-5E5DA6F9EFC9}" name="Column5826"/>
    <tableColumn id="5846" xr3:uid="{6A98A855-3085-4394-A053-3F86F62ACC66}" name="Column5827"/>
    <tableColumn id="5847" xr3:uid="{5C91CB35-FBAC-4636-9F08-27DD88224CDE}" name="Column5828"/>
    <tableColumn id="5848" xr3:uid="{5DEB215C-2882-46A6-A00E-62BFB2B48A9C}" name="Column5829"/>
    <tableColumn id="5849" xr3:uid="{E488AB9D-26AC-40C2-A992-234376AB546F}" name="Column5830"/>
    <tableColumn id="5850" xr3:uid="{A6E25648-E5B7-4DF4-863B-3CF0124A59AE}" name="Column5831"/>
    <tableColumn id="5851" xr3:uid="{CAA2BD58-68BD-4C38-B5D4-98A2B6591A6D}" name="Column5832"/>
    <tableColumn id="5852" xr3:uid="{3AA68D73-093A-4D2D-9E5F-31195781CD43}" name="Column5833"/>
    <tableColumn id="5853" xr3:uid="{4DC7A31E-6DC0-482A-B2F7-9460FC37EB3F}" name="Column5834"/>
    <tableColumn id="5854" xr3:uid="{5486A06B-9C39-49B5-9F9D-A79A006874B1}" name="Column5835"/>
    <tableColumn id="5855" xr3:uid="{E539AAB4-2901-480F-9524-B4E38395C208}" name="Column5836"/>
    <tableColumn id="5856" xr3:uid="{AE12D5D2-EA66-4F7F-81EB-C7A7C30D03AD}" name="Column5837"/>
    <tableColumn id="5857" xr3:uid="{B564DC13-BCDA-4FAD-B8FF-FFCCEAD91C00}" name="Column5838"/>
    <tableColumn id="5858" xr3:uid="{7B6EA8B2-1F4A-409D-8195-1EAFAB5396BF}" name="Column5839"/>
    <tableColumn id="5859" xr3:uid="{845FA356-27C9-4519-9C1E-FDE2D1FCCC6F}" name="Column5840"/>
    <tableColumn id="5860" xr3:uid="{3EDAA21E-A877-4291-8D3E-F7D7DD894778}" name="Column5841"/>
    <tableColumn id="5861" xr3:uid="{15708A0F-01E9-4F69-BCBB-EAEFBB9BAA24}" name="Column5842"/>
    <tableColumn id="5862" xr3:uid="{8773A44A-5A88-4927-ADBC-57717D5C834C}" name="Column5843"/>
    <tableColumn id="5863" xr3:uid="{A858398C-6885-4DD3-BD0A-BB739E662247}" name="Column5844"/>
    <tableColumn id="5864" xr3:uid="{9F2EB115-8011-4846-9BEE-CE389EE7C6D3}" name="Column5845"/>
    <tableColumn id="5865" xr3:uid="{9EE84C2F-4DCA-4AD4-A028-ED7EBB2C3773}" name="Column5846"/>
    <tableColumn id="5866" xr3:uid="{3FA92423-04AE-484B-95F3-A8D330E01C08}" name="Column5847"/>
    <tableColumn id="5867" xr3:uid="{EF8A4457-1980-46EF-972E-C01CE7FEC4C7}" name="Column5848"/>
    <tableColumn id="5868" xr3:uid="{144E37FD-4A9D-434C-BEC8-289B0ABC0755}" name="Column5849"/>
    <tableColumn id="5869" xr3:uid="{69511651-977A-44EE-BEFC-6D4234C8258C}" name="Column5850"/>
    <tableColumn id="5870" xr3:uid="{674DFEB2-AEB6-4DE0-B3B5-1C1234B3F282}" name="Column5851"/>
    <tableColumn id="5871" xr3:uid="{0B52291C-3779-4F5A-BAB9-BC1C1D0D9526}" name="Column5852"/>
    <tableColumn id="5872" xr3:uid="{2820A82F-042E-4D91-A57A-DF93DB04CEEE}" name="Column5853"/>
    <tableColumn id="5873" xr3:uid="{3236E881-720E-4D98-9018-E21598E4B2F8}" name="Column5854"/>
    <tableColumn id="5874" xr3:uid="{6E5138B2-DC9F-4C26-8EC8-051A6F7FD06C}" name="Column5855"/>
    <tableColumn id="5875" xr3:uid="{0ABBD6CA-3F4A-46BD-BAE2-6FE58B57A3CC}" name="Column5856"/>
    <tableColumn id="5876" xr3:uid="{82007C3C-DEF4-4053-8D92-F48DB0B6E54B}" name="Column5857"/>
    <tableColumn id="5877" xr3:uid="{0869E5EB-523B-40D1-B698-2B058587033A}" name="Column5858"/>
    <tableColumn id="5878" xr3:uid="{F56386CF-6EEA-411B-A513-CF8AD71A319D}" name="Column5859"/>
    <tableColumn id="5879" xr3:uid="{D1E4E641-2235-4551-AE99-7A45318D0E27}" name="Column5860"/>
    <tableColumn id="5880" xr3:uid="{E0ACD042-C23A-428D-82E7-86D7E591B50A}" name="Column5861"/>
    <tableColumn id="5881" xr3:uid="{9348BF16-B7E7-4027-B7BA-67D75659993D}" name="Column5862"/>
    <tableColumn id="5882" xr3:uid="{89EA5FC8-AFD2-4122-BA18-D31EB492C5A9}" name="Column5863"/>
    <tableColumn id="5883" xr3:uid="{4559F54E-E8A8-4E90-9000-6590348E492A}" name="Column5864"/>
    <tableColumn id="5884" xr3:uid="{EE27313B-287E-4053-A758-A3014AB777C4}" name="Column5865"/>
    <tableColumn id="5885" xr3:uid="{0782AA24-E05C-4F45-A9D2-702737D46E3A}" name="Column5866"/>
    <tableColumn id="5886" xr3:uid="{7E9C8129-70BD-4367-80EE-2B4D4FC69DB1}" name="Column5867"/>
    <tableColumn id="5887" xr3:uid="{17CE6E1F-D9A4-433C-B9FA-C15B8DB74E23}" name="Column5868"/>
    <tableColumn id="5888" xr3:uid="{CC74EC32-F2CF-47E3-A3A0-8FB71DE2B188}" name="Column5869"/>
    <tableColumn id="5889" xr3:uid="{E60AD408-26E6-42F4-B1FA-3F337F2FE4C9}" name="Column5870"/>
    <tableColumn id="5890" xr3:uid="{C9368BB1-9A17-4FC6-88E6-174AB6D70219}" name="Column5871"/>
    <tableColumn id="5891" xr3:uid="{BB61B670-95BF-4FA5-8B65-09D7EDC27BFF}" name="Column5872"/>
    <tableColumn id="5892" xr3:uid="{01F3D61B-511B-48CF-8227-04DE1BC78C1A}" name="Column5873"/>
    <tableColumn id="5893" xr3:uid="{7AD8D7D2-EF28-4EEB-8435-1F141BCC81C8}" name="Column5874"/>
    <tableColumn id="5894" xr3:uid="{69BE4187-28E4-44C5-9F84-1162F15CBEC3}" name="Column5875"/>
    <tableColumn id="5895" xr3:uid="{2ECE36FC-C566-40FC-942E-0C58C15DAD30}" name="Column5876"/>
    <tableColumn id="5896" xr3:uid="{F3B1C565-3D45-449A-BFC8-7E45E9FBADB9}" name="Column5877"/>
    <tableColumn id="5897" xr3:uid="{25E39F14-89ED-4B4F-BD83-62F06433E08B}" name="Column5878"/>
    <tableColumn id="5898" xr3:uid="{56754386-9A4E-4370-8369-24C19BBFCC6C}" name="Column5879"/>
    <tableColumn id="5899" xr3:uid="{CEE18226-51AC-402D-A812-38C9E9CC47CE}" name="Column5880"/>
    <tableColumn id="5900" xr3:uid="{7809B207-9C0A-4884-A962-2EF6559A45E9}" name="Column5881"/>
    <tableColumn id="5901" xr3:uid="{02631EE6-2539-4991-A91F-50437D738F61}" name="Column5882"/>
    <tableColumn id="5902" xr3:uid="{F3D23899-3F04-49E2-AE7F-BD8807FA5626}" name="Column5883"/>
    <tableColumn id="5903" xr3:uid="{C234C4B7-9457-4DBA-9D0B-45193D623FB5}" name="Column5884"/>
    <tableColumn id="5904" xr3:uid="{7B5232FC-89B0-4C99-B20F-FED1820A99F8}" name="Column5885"/>
    <tableColumn id="5905" xr3:uid="{06868C3E-545E-43C9-AAE9-353F478ED345}" name="Column5886"/>
    <tableColumn id="5906" xr3:uid="{721A9925-CB07-4082-BF2D-1924CFE619AF}" name="Column5887"/>
    <tableColumn id="5907" xr3:uid="{9F95AA47-EAB4-48DF-B73F-17CE936FEB63}" name="Column5888"/>
    <tableColumn id="5908" xr3:uid="{C2A84B2F-9E59-4A3F-B3A2-C2EA5284B45F}" name="Column5889"/>
    <tableColumn id="5909" xr3:uid="{A6AC0D52-513B-437E-A0B3-A30BFA42FC88}" name="Column5890"/>
    <tableColumn id="5910" xr3:uid="{48F47027-CF31-48E9-8FE7-3A72F44F8584}" name="Column5891"/>
    <tableColumn id="5911" xr3:uid="{F707BCE5-CE9A-4076-A1D0-1E365DDC9155}" name="Column5892"/>
    <tableColumn id="5912" xr3:uid="{4037C7F0-E134-4D3D-AC01-DE8C1A060FCE}" name="Column5893"/>
    <tableColumn id="5913" xr3:uid="{F756148F-F12D-44C8-8BB4-0A4C76A7A525}" name="Column5894"/>
    <tableColumn id="5914" xr3:uid="{81D588FB-185B-4C0E-961A-64061849C977}" name="Column5895"/>
    <tableColumn id="5915" xr3:uid="{ECB4DA3B-AE35-4B7E-93B7-4690795A41A2}" name="Column5896"/>
    <tableColumn id="5916" xr3:uid="{7826842A-9EB9-4D0E-8094-D29F2D759CF4}" name="Column5897"/>
    <tableColumn id="5917" xr3:uid="{39A91D20-242B-4D94-A1DF-BF6F26CB863C}" name="Column5898"/>
    <tableColumn id="5918" xr3:uid="{9A2B85F9-BBE6-435A-9CFE-8A5CB8041825}" name="Column5899"/>
    <tableColumn id="5919" xr3:uid="{36441E3F-F56B-4863-9480-1192F3528E8C}" name="Column5900"/>
    <tableColumn id="5920" xr3:uid="{DAFBC439-D587-4DEA-A849-AA651FFC61A2}" name="Column5901"/>
    <tableColumn id="5921" xr3:uid="{CDF14818-E6A9-45B0-8E86-9CE467C7A75F}" name="Column5902"/>
    <tableColumn id="5922" xr3:uid="{46CA05DD-AD20-4D57-BA12-098DE8EC7D9A}" name="Column5903"/>
    <tableColumn id="5923" xr3:uid="{13100C9C-C688-4949-A299-8F9BBD5794EA}" name="Column5904"/>
    <tableColumn id="5924" xr3:uid="{E00D59DC-5319-495E-995B-D4743CECD35E}" name="Column5905"/>
    <tableColumn id="5925" xr3:uid="{DAB50C40-8DCE-4760-8C26-5F92F4FFC117}" name="Column5906"/>
    <tableColumn id="5926" xr3:uid="{574AD632-F6B3-4DF1-B3CC-9FBF438D3C42}" name="Column5907"/>
    <tableColumn id="5927" xr3:uid="{97CA389C-9D11-4377-9FF8-0BB02AF51A6F}" name="Column5908"/>
    <tableColumn id="5928" xr3:uid="{D41FB9A2-B7D1-4FF2-A4F0-5E757447FFA8}" name="Column5909"/>
    <tableColumn id="5929" xr3:uid="{D56779BD-C18A-485D-8EFD-E71638C08C3E}" name="Column5910"/>
    <tableColumn id="5930" xr3:uid="{3603D069-E266-4332-ACB0-7496273F8B77}" name="Column5911"/>
    <tableColumn id="5931" xr3:uid="{22ED5237-923C-4DFC-9CAC-103A1334C055}" name="Column5912"/>
    <tableColumn id="5932" xr3:uid="{B74D4415-60BB-4F72-8D45-1AFEF7A5B9C2}" name="Column5913"/>
    <tableColumn id="5933" xr3:uid="{F85A37F5-C7FA-44DF-9E18-5DF25DB13C79}" name="Column5914"/>
    <tableColumn id="5934" xr3:uid="{52D9516D-6E24-4034-B35C-B394C2EBEECE}" name="Column5915"/>
    <tableColumn id="5935" xr3:uid="{C12B0699-5601-4A18-B44A-BAB78CF3924B}" name="Column5916"/>
    <tableColumn id="5936" xr3:uid="{2E46C5F8-C174-4BB1-BDC0-37372F9F5588}" name="Column5917"/>
    <tableColumn id="5937" xr3:uid="{FD4FF832-D84E-4ACF-93B3-9A52D4576799}" name="Column5918"/>
    <tableColumn id="5938" xr3:uid="{391C26A9-2D1D-45E5-8553-C1DE78BA63FA}" name="Column5919"/>
    <tableColumn id="5939" xr3:uid="{B0EC5F9F-C837-4850-B7C3-6543BFE285B7}" name="Column5920"/>
    <tableColumn id="5940" xr3:uid="{BACBFA2E-F52E-4E47-B1B7-358CD2567CF0}" name="Column5921"/>
    <tableColumn id="5941" xr3:uid="{47F1F652-A5BB-4E66-A4E6-D0D271902C4B}" name="Column5922"/>
    <tableColumn id="5942" xr3:uid="{7600ACBF-7D6E-43C3-BC71-1B3CBA930569}" name="Column5923"/>
    <tableColumn id="5943" xr3:uid="{8B218855-F8E1-4EB5-9184-13D1B8DF56E3}" name="Column5924"/>
    <tableColumn id="5944" xr3:uid="{E04123FA-F571-448E-B869-0B0E434F866F}" name="Column5925"/>
    <tableColumn id="5945" xr3:uid="{6850230D-B2FC-4347-A253-039C12910215}" name="Column5926"/>
    <tableColumn id="5946" xr3:uid="{15AF9A93-A810-4CC5-81CC-18D59C13FE60}" name="Column5927"/>
    <tableColumn id="5947" xr3:uid="{C8725A7D-710A-474F-906C-020F35545C60}" name="Column5928"/>
    <tableColumn id="5948" xr3:uid="{059E68F0-0BCE-4DB5-B707-9FA7580A96BA}" name="Column5929"/>
    <tableColumn id="5949" xr3:uid="{14A02A44-7DD9-43A6-978B-4C043E2F7879}" name="Column5930"/>
    <tableColumn id="5950" xr3:uid="{F2DAD057-EEBB-484E-A951-CA581ED771BE}" name="Column5931"/>
    <tableColumn id="5951" xr3:uid="{73EFEDFA-3D3F-4052-A1C6-E8B62EC397B0}" name="Column5932"/>
    <tableColumn id="5952" xr3:uid="{698568D0-86D8-49C9-B121-15C3D36D518A}" name="Column5933"/>
    <tableColumn id="5953" xr3:uid="{7CECCE14-EC56-4E32-BB3E-3EB25850ABD5}" name="Column5934"/>
    <tableColumn id="5954" xr3:uid="{ACC4717B-917E-4D3C-91A6-A7A68D19984C}" name="Column5935"/>
    <tableColumn id="5955" xr3:uid="{2BA54091-D75D-48CF-AD5B-E94BAA4DF793}" name="Column5936"/>
    <tableColumn id="5956" xr3:uid="{728AD8BF-560D-43F1-B38C-493B687F8EBD}" name="Column5937"/>
    <tableColumn id="5957" xr3:uid="{2227CD1D-BE29-4337-A004-BD73FD001467}" name="Column5938"/>
    <tableColumn id="5958" xr3:uid="{85C977F1-61E9-4C7E-B588-1C91226A2B54}" name="Column5939"/>
    <tableColumn id="5959" xr3:uid="{CCB080D0-B1F4-4977-91EB-FB9D36909025}" name="Column5940"/>
    <tableColumn id="5960" xr3:uid="{B6D7F8EB-7615-4C54-AA61-C6BB2BE80194}" name="Column5941"/>
    <tableColumn id="5961" xr3:uid="{6EB46F88-82BB-4F5B-A43A-6295B9E4F8E1}" name="Column5942"/>
    <tableColumn id="5962" xr3:uid="{EFC0F5BD-3656-4C36-B1D5-73927342DF90}" name="Column5943"/>
    <tableColumn id="5963" xr3:uid="{1FF57E28-8090-4CD2-9346-3BD960F01835}" name="Column5944"/>
    <tableColumn id="5964" xr3:uid="{CCF68699-2BCA-43BC-A7C4-E06F289EFACF}" name="Column5945"/>
    <tableColumn id="5965" xr3:uid="{AB17CDCA-174C-4654-B70A-031D2FC314F0}" name="Column5946"/>
    <tableColumn id="5966" xr3:uid="{1577EAF3-3A1A-491F-A427-4307416F8A69}" name="Column5947"/>
    <tableColumn id="5967" xr3:uid="{892DEA21-A600-4880-85B2-C6305F60F78D}" name="Column5948"/>
    <tableColumn id="5968" xr3:uid="{1A7F618A-A17F-4AB0-9620-345E71DBF254}" name="Column5949"/>
    <tableColumn id="5969" xr3:uid="{82926756-8FC6-4301-B5B3-13AEDE04A662}" name="Column5950"/>
    <tableColumn id="5970" xr3:uid="{B10B6488-077B-4D21-98B2-1272D6D24C71}" name="Column5951"/>
    <tableColumn id="5971" xr3:uid="{548E6E0D-6C97-4B56-9E66-6AC7FCEDE626}" name="Column5952"/>
    <tableColumn id="5972" xr3:uid="{03A40D5D-768B-4340-88D8-4F41F7F50C6A}" name="Column5953"/>
    <tableColumn id="5973" xr3:uid="{25C06978-991C-430E-B496-18ECB127F3D5}" name="Column5954"/>
    <tableColumn id="5974" xr3:uid="{3963EA70-A401-43E2-BA5E-293FB8C2B2D6}" name="Column5955"/>
    <tableColumn id="5975" xr3:uid="{699BCAB5-750C-49C1-BE11-E2DD926BE7CD}" name="Column5956"/>
    <tableColumn id="5976" xr3:uid="{D8072B2E-ED03-43C4-BD8B-E01E2DAA79C4}" name="Column5957"/>
    <tableColumn id="5977" xr3:uid="{0D5A4D05-0966-44FD-8C03-C70A54BE20CC}" name="Column5958"/>
    <tableColumn id="5978" xr3:uid="{00E53843-D6D5-4BB5-A347-AC9691BF1B1B}" name="Column5959"/>
    <tableColumn id="5979" xr3:uid="{39168D3E-0982-4FC9-9C04-227EE66EA028}" name="Column5960"/>
    <tableColumn id="5980" xr3:uid="{6858FB2F-2FFC-4CB9-A876-17F00CFDA712}" name="Column5961"/>
    <tableColumn id="5981" xr3:uid="{1DDEE14E-1688-493F-BBFF-B1B45019FFC6}" name="Column5962"/>
    <tableColumn id="5982" xr3:uid="{1AFE93B5-2063-45C3-8353-6DC2E585756B}" name="Column5963"/>
    <tableColumn id="5983" xr3:uid="{8DB0DB1E-0AEB-4700-88D7-9F3E59CDDAC5}" name="Column5964"/>
    <tableColumn id="5984" xr3:uid="{076C99B4-7649-43B9-A344-604A943553D0}" name="Column5965"/>
    <tableColumn id="5985" xr3:uid="{BC235A68-2208-4531-951A-B84BDC8FFF39}" name="Column5966"/>
    <tableColumn id="5986" xr3:uid="{9DB6917A-96FE-4239-8CA5-0E9A3E717380}" name="Column5967"/>
    <tableColumn id="5987" xr3:uid="{55C362A4-38C0-4123-AC0A-5B027328AEF9}" name="Column5968"/>
    <tableColumn id="5988" xr3:uid="{5D4C102A-1051-4F23-B446-1EF69D67651F}" name="Column5969"/>
    <tableColumn id="5989" xr3:uid="{D7A7052C-95E1-4D9B-8716-0EE96F4DCD61}" name="Column5970"/>
    <tableColumn id="5990" xr3:uid="{1EAC03E4-4483-4FE9-9970-0E6C8AFF31DC}" name="Column5971"/>
    <tableColumn id="5991" xr3:uid="{D5CA5548-E2C7-4196-83D8-46A5D4AB52FD}" name="Column5972"/>
    <tableColumn id="5992" xr3:uid="{9C2B7391-7602-4892-8D83-735F74C97DE4}" name="Column5973"/>
    <tableColumn id="5993" xr3:uid="{BBAFAFA1-27C0-4543-828D-C2AF48EF7DC5}" name="Column5974"/>
    <tableColumn id="5994" xr3:uid="{3BAED4DB-538F-42F5-844B-7B1D511550EB}" name="Column5975"/>
    <tableColumn id="5995" xr3:uid="{5E4C9DED-D394-4BF9-BC5F-DB942F400BC4}" name="Column5976"/>
    <tableColumn id="5996" xr3:uid="{8DFE40FA-2957-4FB6-8B56-B1D75AEDAA55}" name="Column5977"/>
    <tableColumn id="5997" xr3:uid="{29820726-5490-4614-BFFA-49430F5C7E28}" name="Column5978"/>
    <tableColumn id="5998" xr3:uid="{04A1D2EB-C4AE-4F53-918F-35E255EE625B}" name="Column5979"/>
    <tableColumn id="5999" xr3:uid="{4455F6BA-A07A-4981-9027-9FB7951A15D1}" name="Column5980"/>
    <tableColumn id="6000" xr3:uid="{5BC42C86-0154-43E9-810D-9FE65FD91925}" name="Column5981"/>
    <tableColumn id="6001" xr3:uid="{602BEE69-AB25-4F8F-82A6-AB7432E0E402}" name="Column5982"/>
    <tableColumn id="6002" xr3:uid="{DBDEEC30-F7DA-4384-B151-9829DFB272AE}" name="Column5983"/>
    <tableColumn id="6003" xr3:uid="{E0BA3CA8-CCA1-430D-9164-4A0336567E64}" name="Column5984"/>
    <tableColumn id="6004" xr3:uid="{8BEEBAD0-E49C-4DAF-8996-9086803BAE84}" name="Column5985"/>
    <tableColumn id="6005" xr3:uid="{C6F55CF1-9995-4465-AD8A-F68D71CF0889}" name="Column5986"/>
    <tableColumn id="6006" xr3:uid="{3B4296A0-D124-4DB6-AD33-5BA8AD58BA22}" name="Column5987"/>
    <tableColumn id="6007" xr3:uid="{CD245A8D-E86E-43E6-A5B9-1497DA6E4DE5}" name="Column5988"/>
    <tableColumn id="6008" xr3:uid="{9ACF50D7-2F1F-4B08-9D3E-F9AAC929685A}" name="Column5989"/>
    <tableColumn id="6009" xr3:uid="{B1A59BA9-DA12-4E5B-AE81-F110DE74E664}" name="Column5990"/>
    <tableColumn id="6010" xr3:uid="{24278D82-8F18-4C6C-B094-1312DEC111DB}" name="Column5991"/>
    <tableColumn id="6011" xr3:uid="{2774118A-7C05-4D9F-8A67-B5CB985FCBCE}" name="Column5992"/>
    <tableColumn id="6012" xr3:uid="{6F66F84A-EF65-4F23-AEE2-650E45F33BDF}" name="Column5993"/>
    <tableColumn id="6013" xr3:uid="{1A1511DA-7311-49FD-BBD3-D0346B158FE4}" name="Column5994"/>
    <tableColumn id="6014" xr3:uid="{8B83D128-E8C3-4C49-AD79-6A3D09206EC5}" name="Column5995"/>
    <tableColumn id="6015" xr3:uid="{C5FE995C-9C3A-4796-9F18-8E92CD0FFD35}" name="Column5996"/>
    <tableColumn id="6016" xr3:uid="{424ADE6E-D9EE-4709-84EE-3F83E5D1AF36}" name="Column5997"/>
    <tableColumn id="6017" xr3:uid="{487D74FC-1B21-4C6D-B34D-A037090151A9}" name="Column5998"/>
    <tableColumn id="6018" xr3:uid="{7A8FFC11-6772-4AC9-A16A-7D0824F51C34}" name="Column5999"/>
    <tableColumn id="6019" xr3:uid="{AC8345AE-B464-48C5-89F6-6D22EA68202C}" name="Column6000"/>
    <tableColumn id="6020" xr3:uid="{A5146A38-A812-437F-9E8E-A7BF7271635E}" name="Column6001"/>
    <tableColumn id="6021" xr3:uid="{290E8344-B83E-4C72-9434-ED96977DEA76}" name="Column6002"/>
    <tableColumn id="6022" xr3:uid="{665F920F-BD27-4D79-88DC-134B1DDAD61C}" name="Column6003"/>
    <tableColumn id="6023" xr3:uid="{6CAC6BAB-6AFB-4DB0-8578-62E679EA2DF1}" name="Column6004"/>
    <tableColumn id="6024" xr3:uid="{603CE7A7-9F55-4371-AAEF-E94AAE548ACE}" name="Column6005"/>
    <tableColumn id="6025" xr3:uid="{1A770FD9-6FC5-4E76-B031-4416B8805A1C}" name="Column6006"/>
    <tableColumn id="6026" xr3:uid="{B62F81E9-3246-46A9-8E2C-DBC32CBB7E22}" name="Column6007"/>
    <tableColumn id="6027" xr3:uid="{6BC44C0A-7F46-4699-8740-5F82A337A012}" name="Column6008"/>
    <tableColumn id="6028" xr3:uid="{A0AA10AA-3FE8-4ABB-8C5B-70B5FCD8B68D}" name="Column6009"/>
    <tableColumn id="6029" xr3:uid="{43C14DEA-DC14-48C3-808D-095FA29AFF8F}" name="Column6010"/>
    <tableColumn id="6030" xr3:uid="{B419A554-11C7-43B3-8FEB-C18E604323E4}" name="Column6011"/>
    <tableColumn id="6031" xr3:uid="{0147E360-E58B-4145-A363-4F4C557C05B3}" name="Column6012"/>
    <tableColumn id="6032" xr3:uid="{E02A95DC-D929-439A-909C-626CC378A158}" name="Column6013"/>
    <tableColumn id="6033" xr3:uid="{2DD7F5C7-4BC0-4B05-85B0-D50AA46139D4}" name="Column6014"/>
    <tableColumn id="6034" xr3:uid="{B2FB419D-1E53-44C6-BB08-08755FD24A67}" name="Column6015"/>
    <tableColumn id="6035" xr3:uid="{5F57883A-65EB-4640-9D42-9EEEC2FD3964}" name="Column6016"/>
    <tableColumn id="6036" xr3:uid="{F3CBD8FE-35A8-4B7A-9D81-FCFDE69EF27B}" name="Column6017"/>
    <tableColumn id="6037" xr3:uid="{BD64C9D9-8BA1-4446-9463-5779DD1A92FA}" name="Column6018"/>
    <tableColumn id="6038" xr3:uid="{290AC8A8-8525-48E6-A8D4-CF43E8442AC8}" name="Column6019"/>
    <tableColumn id="6039" xr3:uid="{4FF74015-128D-4DF5-990D-655EFAC40941}" name="Column6020"/>
    <tableColumn id="6040" xr3:uid="{7A655359-1A4C-4A67-97FF-CBEDC445C118}" name="Column6021"/>
    <tableColumn id="6041" xr3:uid="{EAEF1A5C-DC09-470D-9FAA-07741ADA78DA}" name="Column6022"/>
    <tableColumn id="6042" xr3:uid="{975CBAE5-603B-4DB2-9F4D-C053CC7055F3}" name="Column6023"/>
    <tableColumn id="6043" xr3:uid="{14C58C67-14A4-4643-9873-754A3D4A8BB5}" name="Column6024"/>
    <tableColumn id="6044" xr3:uid="{5CF1E165-3A55-47B2-B9C1-810AC7BFD376}" name="Column6025"/>
    <tableColumn id="6045" xr3:uid="{2BBAE2E0-16F0-419F-8DBB-0DF50EEB6515}" name="Column6026"/>
    <tableColumn id="6046" xr3:uid="{061064D0-84A1-4333-BF31-31799A3AF135}" name="Column6027"/>
    <tableColumn id="6047" xr3:uid="{E6C75353-C257-4205-8797-443F95036C04}" name="Column6028"/>
    <tableColumn id="6048" xr3:uid="{B68A112E-549A-42CD-89E6-C9420CA1E348}" name="Column6029"/>
    <tableColumn id="6049" xr3:uid="{05CA5B12-FDFB-4E1D-B7E8-ADACBD4AF83A}" name="Column6030"/>
    <tableColumn id="6050" xr3:uid="{2D6A1765-CB66-432A-B40C-348DD981FAA9}" name="Column6031"/>
    <tableColumn id="6051" xr3:uid="{04D608A0-45CE-49EC-A2A0-2FDAA00C311C}" name="Column6032"/>
    <tableColumn id="6052" xr3:uid="{E3E59738-7BA7-45D5-BC5F-9EC7FCF6F1EC}" name="Column6033"/>
    <tableColumn id="6053" xr3:uid="{BA8606A4-9515-44B8-B1FC-74EA749CF006}" name="Column6034"/>
    <tableColumn id="6054" xr3:uid="{D8816AD4-354A-4978-A9B4-C38D975C829A}" name="Column6035"/>
    <tableColumn id="6055" xr3:uid="{16AA0EF3-E22B-4F49-AB0A-DF433AACD151}" name="Column6036"/>
    <tableColumn id="6056" xr3:uid="{819FF06D-AA8A-4225-9F9C-9090B206FBA4}" name="Column6037"/>
    <tableColumn id="6057" xr3:uid="{91D51A2E-5833-40EB-81D7-C45D55B93FC3}" name="Column6038"/>
    <tableColumn id="6058" xr3:uid="{70A7EC51-9065-44B2-A86E-5A6D9AD27036}" name="Column6039"/>
    <tableColumn id="6059" xr3:uid="{37D197C7-4D6C-4FFD-BF65-6B9EA1CC87E0}" name="Column6040"/>
    <tableColumn id="6060" xr3:uid="{190D0EC6-B6C0-492C-9E8E-8C112424D857}" name="Column6041"/>
    <tableColumn id="6061" xr3:uid="{A7365138-1A1C-48D6-9FB7-8C17F445DDD5}" name="Column6042"/>
    <tableColumn id="6062" xr3:uid="{364C6FA1-B5C1-40A4-A02D-274D9EE2505D}" name="Column6043"/>
    <tableColumn id="6063" xr3:uid="{CE30D211-655A-426A-BF1C-3FE24971BEA7}" name="Column6044"/>
    <tableColumn id="6064" xr3:uid="{99A844AE-0947-434D-9624-702537871246}" name="Column6045"/>
    <tableColumn id="6065" xr3:uid="{AEF73CAD-6FF9-48BE-B733-C34FAC48F98E}" name="Column6046"/>
    <tableColumn id="6066" xr3:uid="{750B9009-EF41-46CA-8460-BE570294259F}" name="Column6047"/>
    <tableColumn id="6067" xr3:uid="{026489E7-60A5-4A4D-94E4-4B4F4DD6311F}" name="Column6048"/>
    <tableColumn id="6068" xr3:uid="{28D5F8EC-C389-4482-B083-F9609ABF2164}" name="Column6049"/>
    <tableColumn id="6069" xr3:uid="{3805F19F-7D11-49BD-A978-F2CF76DEF437}" name="Column6050"/>
    <tableColumn id="6070" xr3:uid="{3E04DD56-71EE-4857-848E-74D3F61E2239}" name="Column6051"/>
    <tableColumn id="6071" xr3:uid="{2C3BAFD1-B260-47B7-8BEE-EA88F03A064C}" name="Column6052"/>
    <tableColumn id="6072" xr3:uid="{BB300FB6-5DAC-4DD5-90CB-EBB2E2451EE4}" name="Column6053"/>
    <tableColumn id="6073" xr3:uid="{DDB98C49-8D36-4CE8-A2AB-64226F2101B6}" name="Column6054"/>
    <tableColumn id="6074" xr3:uid="{8D5B04A8-4134-4541-A31E-F7C451C02DFE}" name="Column6055"/>
    <tableColumn id="6075" xr3:uid="{D12CF164-F3EF-43BC-9894-41B1376EB77D}" name="Column6056"/>
    <tableColumn id="6076" xr3:uid="{54E3DBD0-B7EC-49CA-BB20-8F575C3B229F}" name="Column6057"/>
    <tableColumn id="6077" xr3:uid="{6AC00C4F-482A-466C-B904-39FB076214A4}" name="Column6058"/>
    <tableColumn id="6078" xr3:uid="{07DF9D8B-67A1-4B5B-8059-374E817C7311}" name="Column6059"/>
    <tableColumn id="6079" xr3:uid="{7A5B9DED-A08B-4A23-8D04-C5869432E9E2}" name="Column6060"/>
    <tableColumn id="6080" xr3:uid="{41AE2812-92A7-4F3E-9E0F-666E1854C6CB}" name="Column6061"/>
    <tableColumn id="6081" xr3:uid="{9D2E53BE-AA61-4673-9E6C-93872FA9A8F3}" name="Column6062"/>
    <tableColumn id="6082" xr3:uid="{0D5C29EA-D54F-420D-BAE6-0F822C3EFE18}" name="Column6063"/>
    <tableColumn id="6083" xr3:uid="{46526C93-BE3E-4B52-AA91-F955E024DA10}" name="Column6064"/>
    <tableColumn id="6084" xr3:uid="{49F68983-5A1F-4CC2-95B4-82F8156CEA87}" name="Column6065"/>
    <tableColumn id="6085" xr3:uid="{3FDAD796-E0B9-4620-8083-78568009AC8A}" name="Column6066"/>
    <tableColumn id="6086" xr3:uid="{ED64C729-3881-4FA3-901E-8C2EE017C8A6}" name="Column6067"/>
    <tableColumn id="6087" xr3:uid="{73D3F229-0B66-43FF-A8F1-1D092D48DBBC}" name="Column6068"/>
    <tableColumn id="6088" xr3:uid="{3B7A47AF-4BE1-4997-8BCD-0D2D95B3EA7B}" name="Column6069"/>
    <tableColumn id="6089" xr3:uid="{950EE6B3-921C-486F-8E30-908A54074D56}" name="Column6070"/>
    <tableColumn id="6090" xr3:uid="{2DEC0118-E973-42C5-93A7-A73EAB7E9F98}" name="Column6071"/>
    <tableColumn id="6091" xr3:uid="{14753C44-9904-488D-B1F9-424979B77C53}" name="Column6072"/>
    <tableColumn id="6092" xr3:uid="{1E775E94-A357-4606-A062-19644EF0F22D}" name="Column6073"/>
    <tableColumn id="6093" xr3:uid="{22406E87-3E6A-4375-BC7A-025B67259CCC}" name="Column6074"/>
    <tableColumn id="6094" xr3:uid="{C0E8951E-26FE-41BE-A7D6-AEF876E60883}" name="Column6075"/>
    <tableColumn id="6095" xr3:uid="{02E51393-7D24-466E-82B0-3547EB6FE760}" name="Column6076"/>
    <tableColumn id="6096" xr3:uid="{010FE4D9-160F-4821-AE4A-EA218A8A6B2C}" name="Column6077"/>
    <tableColumn id="6097" xr3:uid="{800E8009-C7BA-496C-BB63-CB66D7DC08C6}" name="Column6078"/>
    <tableColumn id="6098" xr3:uid="{4222E1EF-9AE0-4362-BBE1-A3CE7C7A3C2A}" name="Column6079"/>
    <tableColumn id="6099" xr3:uid="{8E4DD04C-87DB-4A94-9AF6-DFEEAD344AEF}" name="Column6080"/>
    <tableColumn id="6100" xr3:uid="{52366B94-4550-45D2-8CCB-ECC61BE868B6}" name="Column6081"/>
    <tableColumn id="6101" xr3:uid="{DB3DEB45-3C1A-4335-A61B-1FDBDDE8A013}" name="Column6082"/>
    <tableColumn id="6102" xr3:uid="{BA3F1DE5-27CE-439E-BD3E-8929F5226616}" name="Column6083"/>
    <tableColumn id="6103" xr3:uid="{C82816F4-C1E9-41D9-9C51-B898C000389A}" name="Column6084"/>
    <tableColumn id="6104" xr3:uid="{3F12BB01-FCD7-4852-B2AB-07D751EB11FE}" name="Column6085"/>
    <tableColumn id="6105" xr3:uid="{3CB78A46-DCE9-478B-BE56-394FAA35B7E1}" name="Column6086"/>
    <tableColumn id="6106" xr3:uid="{0E0BC793-7BE0-48A4-83D9-A24B035F6F58}" name="Column6087"/>
    <tableColumn id="6107" xr3:uid="{F187D3CB-64B4-4527-8237-755E77AFDC67}" name="Column6088"/>
    <tableColumn id="6108" xr3:uid="{A6CFD1E0-C52C-4256-A011-7663A79A1E36}" name="Column6089"/>
    <tableColumn id="6109" xr3:uid="{C30E0D07-3325-4DEE-B777-489831060882}" name="Column6090"/>
    <tableColumn id="6110" xr3:uid="{0C2C20E8-75BC-4482-A7AE-723332E6EE32}" name="Column6091"/>
    <tableColumn id="6111" xr3:uid="{1BD1A7E2-1B0F-4375-870C-BE523B264D13}" name="Column6092"/>
    <tableColumn id="6112" xr3:uid="{85B00F8D-794C-49A1-888A-263FAA287E5B}" name="Column6093"/>
    <tableColumn id="6113" xr3:uid="{FF468E1F-C8A0-4F75-BD30-7456A39CB236}" name="Column6094"/>
    <tableColumn id="6114" xr3:uid="{AAEC484C-47D9-4D13-B057-018F0DEFC968}" name="Column6095"/>
    <tableColumn id="6115" xr3:uid="{6319F6D2-8285-40B6-8602-39173495C3F2}" name="Column6096"/>
    <tableColumn id="6116" xr3:uid="{711F0975-5ED4-40D7-A018-F1FD20D069FF}" name="Column6097"/>
    <tableColumn id="6117" xr3:uid="{CB233BC5-E3F1-46D5-85BB-60A99FE30944}" name="Column6098"/>
    <tableColumn id="6118" xr3:uid="{3D29C270-DB9F-42A1-9927-4C260D29D1E1}" name="Column6099"/>
    <tableColumn id="6119" xr3:uid="{14AB49D3-7E71-413E-9B55-DA107FD6EB1F}" name="Column6100"/>
    <tableColumn id="6120" xr3:uid="{C5374E9E-668C-40D8-A92D-C1AC53EDB053}" name="Column6101"/>
    <tableColumn id="6121" xr3:uid="{323A8DBB-5755-43CA-9672-4F5A0E4C0293}" name="Column6102"/>
    <tableColumn id="6122" xr3:uid="{C5E838D3-4B3C-4527-855B-6DB8E399A9BE}" name="Column6103"/>
    <tableColumn id="6123" xr3:uid="{D914D240-D612-4AE3-BE3B-536588DBCDD7}" name="Column6104"/>
    <tableColumn id="6124" xr3:uid="{E52E8F85-76F0-4FAA-90E1-9ADA1E58BB35}" name="Column6105"/>
    <tableColumn id="6125" xr3:uid="{4A70B43D-E437-45E6-9B80-660D35D5A16A}" name="Column6106"/>
    <tableColumn id="6126" xr3:uid="{352F3FD3-CE82-40DD-A923-30D90CCCCB22}" name="Column6107"/>
    <tableColumn id="6127" xr3:uid="{DE937106-83CC-41AD-85E5-47F8BEDB9B2A}" name="Column6108"/>
    <tableColumn id="6128" xr3:uid="{77194412-9C21-4D3E-8236-E60C0C2A4142}" name="Column6109"/>
    <tableColumn id="6129" xr3:uid="{5B51AA4E-BE2D-4EDE-8982-6DE72E318C25}" name="Column6110"/>
    <tableColumn id="6130" xr3:uid="{A839A2FE-9526-4E16-9A45-9DB5BC7F25E2}" name="Column6111"/>
    <tableColumn id="6131" xr3:uid="{25FC8F74-5A1E-4E81-AA90-2BDE68076AD4}" name="Column6112"/>
    <tableColumn id="6132" xr3:uid="{48FF8BF4-4839-4B6D-9B27-A5972058215C}" name="Column6113"/>
    <tableColumn id="6133" xr3:uid="{D31AFD89-CF5F-48DA-85F3-28E1B7254D50}" name="Column6114"/>
    <tableColumn id="6134" xr3:uid="{477E4E86-3990-41E8-B98F-629E8D11F0F7}" name="Column6115"/>
    <tableColumn id="6135" xr3:uid="{0E62799C-9352-4644-AD8F-3AD2F3FEDF46}" name="Column6116"/>
    <tableColumn id="6136" xr3:uid="{B07934C0-E1D6-4907-9FD6-0C210950F4EB}" name="Column6117"/>
    <tableColumn id="6137" xr3:uid="{F105C992-A379-46F4-8B79-A3DD855D0BD8}" name="Column6118"/>
    <tableColumn id="6138" xr3:uid="{AB4B79E4-5E11-4C35-96FF-D756B78F21FB}" name="Column6119"/>
    <tableColumn id="6139" xr3:uid="{13CA757E-4892-487B-92E5-FBAEDE532E68}" name="Column6120"/>
    <tableColumn id="6140" xr3:uid="{EB20D732-EC8F-41BF-A36A-8D49248A9FBE}" name="Column6121"/>
    <tableColumn id="6141" xr3:uid="{24961323-28E1-4C97-9C5A-C076E26C2A49}" name="Column6122"/>
    <tableColumn id="6142" xr3:uid="{18260B7A-4D0C-4688-BF29-85ECB66F9987}" name="Column6123"/>
    <tableColumn id="6143" xr3:uid="{E34F43C3-EAE7-49C7-B81A-E5612DB23459}" name="Column6124"/>
    <tableColumn id="6144" xr3:uid="{593EA2F0-2254-42BE-A558-3A8EC869DD95}" name="Column6125"/>
    <tableColumn id="6145" xr3:uid="{B76BBC7E-05B0-4466-B400-C53A410342AC}" name="Column6126"/>
    <tableColumn id="6146" xr3:uid="{0267C121-DB02-47FD-AE98-C8575AD840AD}" name="Column6127"/>
    <tableColumn id="6147" xr3:uid="{5421BC2E-DA9D-4FD1-BB3B-656F3D444671}" name="Column6128"/>
    <tableColumn id="6148" xr3:uid="{B9D633C7-E6F8-43C5-8387-474ED377C866}" name="Column6129"/>
    <tableColumn id="6149" xr3:uid="{8FA698BD-B34C-41BD-8B3D-6CBFA2F011CF}" name="Column6130"/>
    <tableColumn id="6150" xr3:uid="{EFA14A2F-CD6A-4779-B37D-07F23757E1C7}" name="Column6131"/>
    <tableColumn id="6151" xr3:uid="{FB96447E-6193-406D-B1F1-8E105997827A}" name="Column6132"/>
    <tableColumn id="6152" xr3:uid="{365F2EE1-D101-4D11-B45D-499772C8F815}" name="Column6133"/>
    <tableColumn id="6153" xr3:uid="{8BD8234E-345B-485D-86D9-183E4E5FB562}" name="Column6134"/>
    <tableColumn id="6154" xr3:uid="{A7880B67-1434-4E2E-891D-A3669B7BB53B}" name="Column6135"/>
    <tableColumn id="6155" xr3:uid="{587785D6-4B35-41C9-803D-0DA3E748DBF4}" name="Column6136"/>
    <tableColumn id="6156" xr3:uid="{3988DE64-D2DF-4F07-87AD-959AD57C0D14}" name="Column6137"/>
    <tableColumn id="6157" xr3:uid="{AD64895B-B86F-4569-AB60-FF362982F5F6}" name="Column6138"/>
    <tableColumn id="6158" xr3:uid="{D85D5B0E-D40F-4E2D-9BE2-C2F12999FB7D}" name="Column6139"/>
    <tableColumn id="6159" xr3:uid="{4E0567AF-EFF4-4B28-AAA2-FA015B52C640}" name="Column6140"/>
    <tableColumn id="6160" xr3:uid="{CDFADBCB-FB64-491B-823C-69F0827A9F98}" name="Column6141"/>
    <tableColumn id="6161" xr3:uid="{53C2A66D-B676-4EC3-9111-B53CE8FCB938}" name="Column6142"/>
    <tableColumn id="6162" xr3:uid="{CA844F06-C5A4-4FF4-8EA7-73F3044930B4}" name="Column6143"/>
    <tableColumn id="6163" xr3:uid="{81168D4A-514C-418F-A8A8-F6C9173C7BA2}" name="Column6144"/>
    <tableColumn id="6164" xr3:uid="{3C53DD44-0689-42A7-8827-C928566D4D98}" name="Column6145"/>
    <tableColumn id="6165" xr3:uid="{CDFE6032-B427-46FE-946A-04C89FDBAD01}" name="Column6146"/>
    <tableColumn id="6166" xr3:uid="{FE17B75B-FBC3-47B7-8FF1-C0EA2515D5F6}" name="Column6147"/>
    <tableColumn id="6167" xr3:uid="{4A8E0929-11A6-4956-B36E-B1D32049F178}" name="Column6148"/>
    <tableColumn id="6168" xr3:uid="{B9A432B2-2A5E-4D7B-B98A-34213A77C48A}" name="Column6149"/>
    <tableColumn id="6169" xr3:uid="{2501A1BC-1A49-45E4-95FF-73BF9E0CF599}" name="Column6150"/>
    <tableColumn id="6170" xr3:uid="{F0DCAF2D-A896-4640-9B17-36B64445E91C}" name="Column6151"/>
    <tableColumn id="6171" xr3:uid="{19938870-6638-4F7E-A62F-3E9313CDD9A1}" name="Column6152"/>
    <tableColumn id="6172" xr3:uid="{2C22E36B-74C2-4F4D-8460-7A1F0C849AE0}" name="Column6153"/>
    <tableColumn id="6173" xr3:uid="{8BA73E26-50C6-4531-A534-DA7635221BA7}" name="Column6154"/>
    <tableColumn id="6174" xr3:uid="{08033A93-64EE-424A-8BB1-85954EF29DD7}" name="Column6155"/>
    <tableColumn id="6175" xr3:uid="{B32FE391-7982-4DEA-95AB-388093C610E4}" name="Column6156"/>
    <tableColumn id="6176" xr3:uid="{395DCE67-2221-49F3-94D5-B28203B4BF18}" name="Column6157"/>
    <tableColumn id="6177" xr3:uid="{01B90C1D-1602-407C-A446-AC0C47CDA438}" name="Column6158"/>
    <tableColumn id="6178" xr3:uid="{DFE460A1-486C-4F80-8ED2-58B4154CBCB8}" name="Column6159"/>
    <tableColumn id="6179" xr3:uid="{8F08CC67-A19C-46AC-A982-4407489DCDF9}" name="Column6160"/>
    <tableColumn id="6180" xr3:uid="{425DFBDB-E1E1-4E34-A98A-5DEFE1472DF8}" name="Column6161"/>
    <tableColumn id="6181" xr3:uid="{692266AD-3C95-4384-91F8-C02BBC150ABE}" name="Column6162"/>
    <tableColumn id="6182" xr3:uid="{9D47EFFB-97FC-4059-A843-EFD1EC295ABE}" name="Column6163"/>
    <tableColumn id="6183" xr3:uid="{630C940A-AED0-44B2-911D-184495429933}" name="Column6164"/>
    <tableColumn id="6184" xr3:uid="{E4EA0FB0-C819-4252-9974-85FDE955B197}" name="Column6165"/>
    <tableColumn id="6185" xr3:uid="{FF45D34B-4CFD-453F-A4DA-49F3BDBD0FB1}" name="Column6166"/>
    <tableColumn id="6186" xr3:uid="{ABAA1178-E388-4782-AE63-4BCB0E303AF4}" name="Column6167"/>
    <tableColumn id="6187" xr3:uid="{75C3E9F1-87E5-4F57-81AA-43973E3543E7}" name="Column6168"/>
    <tableColumn id="6188" xr3:uid="{49A52755-EA81-47C7-BB4A-DA9EF5DE6593}" name="Column6169"/>
    <tableColumn id="6189" xr3:uid="{0DBD6ABC-68E3-42E7-81F4-B4E9A928F707}" name="Column6170"/>
    <tableColumn id="6190" xr3:uid="{F6AA1169-BB7F-4559-9E1D-0821A9E8B4DB}" name="Column6171"/>
    <tableColumn id="6191" xr3:uid="{6C2BEBE4-6FC6-4A09-B1B5-3C8A6F0209C6}" name="Column6172"/>
    <tableColumn id="6192" xr3:uid="{649CD4B4-2FF5-4966-859C-FA2DFAFF9B6E}" name="Column6173"/>
    <tableColumn id="6193" xr3:uid="{D9C6A797-DA02-4780-A4B8-E7D4FD3847D5}" name="Column6174"/>
    <tableColumn id="6194" xr3:uid="{E8768EB7-4941-4AFE-998F-85BFFE9F351E}" name="Column6175"/>
    <tableColumn id="6195" xr3:uid="{56A2C7C5-1AEF-4F14-B153-6EE99349E24B}" name="Column6176"/>
    <tableColumn id="6196" xr3:uid="{C69A4646-EC6D-4D73-99E6-055C0D573FA1}" name="Column6177"/>
    <tableColumn id="6197" xr3:uid="{ADA2F60D-C810-486D-86A4-4E70C02B1E62}" name="Column6178"/>
    <tableColumn id="6198" xr3:uid="{9AEE1A33-375E-4850-8D42-13C4EDA9A4BE}" name="Column6179"/>
    <tableColumn id="6199" xr3:uid="{2B789476-EB8F-428A-AD43-347BEEE78E15}" name="Column6180"/>
    <tableColumn id="6200" xr3:uid="{2E445B40-4397-4ACA-86BB-44E48864AC0E}" name="Column6181"/>
    <tableColumn id="6201" xr3:uid="{A64828B0-5522-4B0E-B755-5B7B60100280}" name="Column6182"/>
    <tableColumn id="6202" xr3:uid="{DC74DECA-E721-4C39-87B9-E354191F33C4}" name="Column6183"/>
    <tableColumn id="6203" xr3:uid="{6417F071-0E07-4BCC-BE70-14D40A0613D5}" name="Column6184"/>
    <tableColumn id="6204" xr3:uid="{1503E2E4-11F4-40CA-B938-B01B861AA7C1}" name="Column6185"/>
    <tableColumn id="6205" xr3:uid="{7374C4AC-47DF-460B-B809-62510E417C2D}" name="Column6186"/>
    <tableColumn id="6206" xr3:uid="{CB5417ED-9A52-4953-A486-71914A85A1D3}" name="Column6187"/>
    <tableColumn id="6207" xr3:uid="{CBFFE705-ACD7-4AE8-87DA-0B7375951A22}" name="Column6188"/>
    <tableColumn id="6208" xr3:uid="{070DAEBA-6209-4A88-B7FA-5231CDB15B4D}" name="Column6189"/>
    <tableColumn id="6209" xr3:uid="{834698BF-2084-4B77-8C49-94C8016B445D}" name="Column6190"/>
    <tableColumn id="6210" xr3:uid="{1EA2FEB7-A152-4BB1-826C-AD8B0D268DB8}" name="Column6191"/>
    <tableColumn id="6211" xr3:uid="{08BFACE7-A3BF-463E-9F76-355AE52EFC7B}" name="Column6192"/>
    <tableColumn id="6212" xr3:uid="{452F449D-1DC4-4767-A28A-7E1A4D351E93}" name="Column6193"/>
    <tableColumn id="6213" xr3:uid="{EFBA36B2-C536-43DC-A753-D20ACC61F619}" name="Column6194"/>
    <tableColumn id="6214" xr3:uid="{F6CCB773-7368-438D-98AB-708F2869854E}" name="Column6195"/>
    <tableColumn id="6215" xr3:uid="{F6D06F5A-9EF4-4307-8830-DA8AD3E303E5}" name="Column6196"/>
    <tableColumn id="6216" xr3:uid="{C0C3E143-8D0D-415F-8FC0-8EA6C33E2B07}" name="Column6197"/>
    <tableColumn id="6217" xr3:uid="{5BB9D482-1222-45E8-AD2D-3EE78FF390E4}" name="Column6198"/>
    <tableColumn id="6218" xr3:uid="{2FA0266E-A079-4564-8B3A-6E465673544F}" name="Column6199"/>
    <tableColumn id="6219" xr3:uid="{D877397A-4719-4B0E-8DE4-23AADC689D42}" name="Column6200"/>
    <tableColumn id="6220" xr3:uid="{F5AB0455-1724-4DFD-B4D5-BE5D07F3C6B1}" name="Column6201"/>
    <tableColumn id="6221" xr3:uid="{9E87D918-0775-4529-8D4C-93F272F7D775}" name="Column6202"/>
    <tableColumn id="6222" xr3:uid="{7EB4513F-8CEE-4D68-924D-B8E2670F21F8}" name="Column6203"/>
    <tableColumn id="6223" xr3:uid="{082B2435-FEA7-45B5-BCD5-FBC735BA2558}" name="Column6204"/>
    <tableColumn id="6224" xr3:uid="{FE474CED-76BF-4738-A57F-2A9AD8D6001E}" name="Column6205"/>
    <tableColumn id="6225" xr3:uid="{A3B4D213-3D00-48DA-B1D3-68AE716949D8}" name="Column6206"/>
    <tableColumn id="6226" xr3:uid="{FB2F2C44-74F8-4D55-8A1F-7789DF668A02}" name="Column6207"/>
    <tableColumn id="6227" xr3:uid="{50228AA1-D4ED-408A-89EE-1968D7664919}" name="Column6208"/>
    <tableColumn id="6228" xr3:uid="{55B6BFA0-433B-435E-B81F-01C190E9ACA2}" name="Column6209"/>
    <tableColumn id="6229" xr3:uid="{2D8086FD-0FB4-4580-AAEB-AB839AACA951}" name="Column6210"/>
    <tableColumn id="6230" xr3:uid="{5A53BA45-FE3E-40E5-A259-56CB051CB917}" name="Column6211"/>
    <tableColumn id="6231" xr3:uid="{8DABD49C-1451-4303-A27D-C3070EFFAE6F}" name="Column6212"/>
    <tableColumn id="6232" xr3:uid="{18FD0AE0-1470-4CEE-A665-CB0796B3360F}" name="Column6213"/>
    <tableColumn id="6233" xr3:uid="{BC6070BD-7A6A-4A23-8E21-26B4582C8249}" name="Column6214"/>
    <tableColumn id="6234" xr3:uid="{B3D3CBD6-328C-40BC-8810-70DF949BEE43}" name="Column6215"/>
    <tableColumn id="6235" xr3:uid="{9FFFDC79-3FCC-433B-9D00-36BB8A4B2AF0}" name="Column6216"/>
    <tableColumn id="6236" xr3:uid="{9E2B96FF-0D3F-479F-ACEA-9CF20618F37C}" name="Column6217"/>
    <tableColumn id="6237" xr3:uid="{0E0FCBC3-D4B9-44F7-9A85-D599E4F52E93}" name="Column6218"/>
    <tableColumn id="6238" xr3:uid="{2EB504B0-9BEA-4749-87EF-5C8B9DEDC1E2}" name="Column6219"/>
    <tableColumn id="6239" xr3:uid="{E13E6072-1ED4-4AC4-9728-54E9D3B6BA7E}" name="Column6220"/>
    <tableColumn id="6240" xr3:uid="{FD391970-573B-4738-8DE0-4D657EE7BA04}" name="Column6221"/>
    <tableColumn id="6241" xr3:uid="{0E64BD48-5ABF-468B-894F-A06DB4F493B0}" name="Column6222"/>
    <tableColumn id="6242" xr3:uid="{8D3A41D0-A36A-4794-941D-431C310251B0}" name="Column6223"/>
    <tableColumn id="6243" xr3:uid="{F7D70E80-9815-4439-9537-EDD55F98B274}" name="Column6224"/>
    <tableColumn id="6244" xr3:uid="{FA96BEA6-C7E0-4D79-9EA9-AFFECBAA3552}" name="Column6225"/>
    <tableColumn id="6245" xr3:uid="{C7A75F22-FE60-437B-B1FA-77CD622FFD44}" name="Column6226"/>
    <tableColumn id="6246" xr3:uid="{62983988-EA13-4DD9-B3B9-A23D73D7F223}" name="Column6227"/>
    <tableColumn id="6247" xr3:uid="{B85BB3B1-7125-4B7F-AD3A-53974DDC03C4}" name="Column6228"/>
    <tableColumn id="6248" xr3:uid="{4D000B71-1CAE-4A25-9778-3167E76AC2D5}" name="Column6229"/>
    <tableColumn id="6249" xr3:uid="{54572986-45AA-4439-BFAC-71AF907245B9}" name="Column6230"/>
    <tableColumn id="6250" xr3:uid="{08C2C7D7-F0BF-4165-9FF3-980CF680C339}" name="Column6231"/>
    <tableColumn id="6251" xr3:uid="{2A66278F-406B-46AA-B931-1E895E931549}" name="Column6232"/>
    <tableColumn id="6252" xr3:uid="{BC4E5DB0-506A-46C2-B658-144CBA480AFF}" name="Column6233"/>
    <tableColumn id="6253" xr3:uid="{0780A1C6-2499-4284-A30C-FF6FF7659C52}" name="Column6234"/>
    <tableColumn id="6254" xr3:uid="{2062AC77-E2DA-47D1-9E84-F2D6A5DDC6BF}" name="Column6235"/>
    <tableColumn id="6255" xr3:uid="{31619F6A-1F1A-4E31-962D-5807CC71D168}" name="Column6236"/>
    <tableColumn id="6256" xr3:uid="{1DB8917E-BD7F-4423-9B5B-E1F46A70D714}" name="Column6237"/>
    <tableColumn id="6257" xr3:uid="{66A9473F-7C26-4E68-A4E9-3C7B5E50B1A0}" name="Column6238"/>
    <tableColumn id="6258" xr3:uid="{BFA4E137-F4D3-4B99-AFF6-EA42713CA8AF}" name="Column6239"/>
    <tableColumn id="6259" xr3:uid="{4BC38125-62F8-40E0-B7A2-5B27A02356A2}" name="Column6240"/>
    <tableColumn id="6260" xr3:uid="{625D711B-76DE-4A7C-B9B2-2FDBD6B06E27}" name="Column6241"/>
    <tableColumn id="6261" xr3:uid="{5B44341F-8092-4FD6-9828-0F3B6738E357}" name="Column6242"/>
    <tableColumn id="6262" xr3:uid="{65755AD2-9789-4B23-BFF7-2C278EFAD2FD}" name="Column6243"/>
    <tableColumn id="6263" xr3:uid="{7C69B6FF-C2DC-4481-93BD-D7ADD00A9D93}" name="Column6244"/>
    <tableColumn id="6264" xr3:uid="{8A07AF98-0F30-4EDA-BC7E-AA86BA01B266}" name="Column6245"/>
    <tableColumn id="6265" xr3:uid="{75F663C2-B316-4DEF-BAF9-EC5FCCED1CB6}" name="Column6246"/>
    <tableColumn id="6266" xr3:uid="{8A47BA06-18EF-4432-BA89-84EADA8BBB4B}" name="Column6247"/>
    <tableColumn id="6267" xr3:uid="{C3B33BEE-25B9-43A2-9E32-269CC86201CB}" name="Column6248"/>
    <tableColumn id="6268" xr3:uid="{B76879FC-910C-4415-ADCB-02264BA7828B}" name="Column6249"/>
    <tableColumn id="6269" xr3:uid="{65F21FD5-49F0-4EC2-9A5F-3B5EE853F588}" name="Column6250"/>
    <tableColumn id="6270" xr3:uid="{E3916741-78CC-4758-861B-527FF11E7485}" name="Column6251"/>
    <tableColumn id="6271" xr3:uid="{A1EBE76E-5C70-41F3-9B97-51268E69F7EB}" name="Column6252"/>
    <tableColumn id="6272" xr3:uid="{6C164A51-1AEB-41DF-877C-7BB3FC4A1598}" name="Column6253"/>
    <tableColumn id="6273" xr3:uid="{1D693EC4-EF49-4322-91E7-D180C27AF371}" name="Column6254"/>
    <tableColumn id="6274" xr3:uid="{2B9258CB-2F0C-463C-8EF5-1BDE98E9447B}" name="Column6255"/>
    <tableColumn id="6275" xr3:uid="{22AE0B25-DFC2-4DD4-8BFB-24E3256403DF}" name="Column6256"/>
    <tableColumn id="6276" xr3:uid="{91037AB5-3CA8-4F4C-9AF3-CB5E1C847F6B}" name="Column6257"/>
    <tableColumn id="6277" xr3:uid="{B0604663-4D1A-44D8-ABE5-F2950623C314}" name="Column6258"/>
    <tableColumn id="6278" xr3:uid="{132665F2-F951-4244-A544-4CB960E55CBA}" name="Column6259"/>
    <tableColumn id="6279" xr3:uid="{3EB04535-4BC1-4E2A-A53E-F54499EC9228}" name="Column6260"/>
    <tableColumn id="6280" xr3:uid="{72772235-0EA9-4865-9274-4E51776901F8}" name="Column6261"/>
    <tableColumn id="6281" xr3:uid="{3CD40ADD-F325-4810-B19E-434F61E68FB4}" name="Column6262"/>
    <tableColumn id="6282" xr3:uid="{8E541715-9130-47D4-9A12-15D54D531B49}" name="Column6263"/>
    <tableColumn id="6283" xr3:uid="{3E3E060D-FC4B-4EEC-BCBC-5E5BA832FA7D}" name="Column6264"/>
    <tableColumn id="6284" xr3:uid="{51141BBD-148B-4AAE-B848-C77AF3904A53}" name="Column6265"/>
    <tableColumn id="6285" xr3:uid="{560D709C-AD1A-4D63-A2DE-1B0068E45367}" name="Column6266"/>
    <tableColumn id="6286" xr3:uid="{BFA65107-6901-442A-A843-46D4A86DBD61}" name="Column6267"/>
    <tableColumn id="6287" xr3:uid="{A8004A1B-1CF8-4061-8991-5EC2EB7640C4}" name="Column6268"/>
    <tableColumn id="6288" xr3:uid="{8A71707C-49DA-4417-940A-A2628DD563C7}" name="Column6269"/>
    <tableColumn id="6289" xr3:uid="{4FD6852E-0070-4B62-A2DE-5E971877E76B}" name="Column6270"/>
    <tableColumn id="6290" xr3:uid="{7C82F912-E7BC-40BE-B058-90B906A45DAA}" name="Column6271"/>
    <tableColumn id="6291" xr3:uid="{5ABAA29A-2D1E-4B23-B33F-2FCA403D03A1}" name="Column6272"/>
    <tableColumn id="6292" xr3:uid="{D2D403EF-D783-4579-8698-A64A9ED20A61}" name="Column6273"/>
    <tableColumn id="6293" xr3:uid="{7DC22123-C06E-4654-8156-B09DC6F6DBC3}" name="Column6274"/>
    <tableColumn id="6294" xr3:uid="{DAD6416F-6E14-45E1-ABE4-6692300B2563}" name="Column6275"/>
    <tableColumn id="6295" xr3:uid="{ED2FE1D7-8BCD-48DB-8390-4FA557E5DA70}" name="Column6276"/>
    <tableColumn id="6296" xr3:uid="{30037674-5809-4B2D-8C99-ABDF8EAA1412}" name="Column6277"/>
    <tableColumn id="6297" xr3:uid="{0B276EC4-6AD0-4C23-ACEA-4A4E4C49B738}" name="Column6278"/>
    <tableColumn id="6298" xr3:uid="{9C10C209-9AA2-4EFD-8D3F-DEF3B91F9D31}" name="Column6279"/>
    <tableColumn id="6299" xr3:uid="{20EA7C18-4247-4A8A-97A8-365CE0991C4A}" name="Column6280"/>
    <tableColumn id="6300" xr3:uid="{42C39A13-F7DC-4496-9B3A-D1DC83F9BD4E}" name="Column6281"/>
    <tableColumn id="6301" xr3:uid="{A8DD162E-BF77-4136-A18E-0317197A354C}" name="Column6282"/>
    <tableColumn id="6302" xr3:uid="{1C03E781-3499-4905-BC6B-AF0AE0C6F5B3}" name="Column6283"/>
    <tableColumn id="6303" xr3:uid="{67C7425B-7315-480E-AB1A-12A394AF7C69}" name="Column6284"/>
    <tableColumn id="6304" xr3:uid="{F4700B3B-6CAD-441B-9E0D-1C205037DA91}" name="Column6285"/>
    <tableColumn id="6305" xr3:uid="{161FCF6C-5E25-4D8A-ACB9-6BA1C7B7F3D8}" name="Column6286"/>
    <tableColumn id="6306" xr3:uid="{529FB1CB-91C7-4895-A6ED-0FAD7D808011}" name="Column6287"/>
    <tableColumn id="6307" xr3:uid="{96E622C4-9B74-4917-B816-55E735FC9BA4}" name="Column6288"/>
    <tableColumn id="6308" xr3:uid="{1AD96979-DABC-40C5-B0C5-CB4BAC15BF98}" name="Column6289"/>
    <tableColumn id="6309" xr3:uid="{E2EDCD25-BB49-4EA5-BBAF-7A08F7696FEE}" name="Column6290"/>
    <tableColumn id="6310" xr3:uid="{ACE06C73-6E69-44A3-B121-6C625AD44803}" name="Column6291"/>
    <tableColumn id="6311" xr3:uid="{0710F610-0548-49D1-86F1-346D2DCA6AD9}" name="Column6292"/>
    <tableColumn id="6312" xr3:uid="{B3B691F4-70C6-4254-B54A-E038831B0B4D}" name="Column6293"/>
    <tableColumn id="6313" xr3:uid="{E6F9C6A7-A08C-4A0D-AEF8-77AC6AFA8268}" name="Column6294"/>
    <tableColumn id="6314" xr3:uid="{8225AF75-BE8D-46BD-A349-989142FC6663}" name="Column6295"/>
    <tableColumn id="6315" xr3:uid="{7E95D2A2-4F65-4AE1-82CD-6001B5E868C9}" name="Column6296"/>
    <tableColumn id="6316" xr3:uid="{F18D80BF-E5E3-48A4-8694-18577EB2E06B}" name="Column6297"/>
    <tableColumn id="6317" xr3:uid="{E4B34C55-DA91-4A41-B6D5-FB473FE873A4}" name="Column6298"/>
    <tableColumn id="6318" xr3:uid="{0A61293D-773C-41C4-9075-709A0AEB59F7}" name="Column6299"/>
    <tableColumn id="6319" xr3:uid="{2FAA9316-A3C4-4FB8-B58D-1135EB306CB8}" name="Column6300"/>
    <tableColumn id="6320" xr3:uid="{6C931E57-F7FD-4E18-B40F-BCDC07B84B2B}" name="Column6301"/>
    <tableColumn id="6321" xr3:uid="{DA595479-15EA-44DF-AC66-6C1EC2BEE975}" name="Column6302"/>
    <tableColumn id="6322" xr3:uid="{AC569B89-5038-4785-B0F1-0B45718E3AA4}" name="Column6303"/>
    <tableColumn id="6323" xr3:uid="{C4BE4F86-AE5F-4795-AB1D-A53DD364AC7F}" name="Column6304"/>
    <tableColumn id="6324" xr3:uid="{75E22302-EEB7-4412-88FE-FE707330BA59}" name="Column6305"/>
    <tableColumn id="6325" xr3:uid="{8CB5DE8C-95AE-4FC8-91B6-5D29449265C2}" name="Column6306"/>
    <tableColumn id="6326" xr3:uid="{823BA510-67F7-4D07-A7B4-B6FFE4CC1B9B}" name="Column6307"/>
    <tableColumn id="6327" xr3:uid="{AD4FCA81-274B-4D6C-91AC-264F2DDCB12B}" name="Column6308"/>
    <tableColumn id="6328" xr3:uid="{A0F27B17-2BBA-4B09-9A45-7A9C93A6DC19}" name="Column6309"/>
    <tableColumn id="6329" xr3:uid="{71E2B1AC-A456-4BC0-9DDC-9AF6D7D2474A}" name="Column6310"/>
    <tableColumn id="6330" xr3:uid="{1E93FED4-6482-4008-8EE8-998ED0A56323}" name="Column6311"/>
    <tableColumn id="6331" xr3:uid="{6504FC60-074E-4430-BBD5-273730122DFB}" name="Column6312"/>
    <tableColumn id="6332" xr3:uid="{76D78577-9F14-4491-BF89-84FAAAF8E85F}" name="Column6313"/>
    <tableColumn id="6333" xr3:uid="{40D04028-9DA5-4D95-9E0B-EE1CB2BFC9A7}" name="Column6314"/>
    <tableColumn id="6334" xr3:uid="{C0F91BAE-B98B-4D91-A987-F7A3D42F81EB}" name="Column6315"/>
    <tableColumn id="6335" xr3:uid="{39EE7E0A-DF1C-4A62-9550-BEFEF16E030E}" name="Column6316"/>
    <tableColumn id="6336" xr3:uid="{5C6A933E-D78A-413C-B02D-6C6A482462A7}" name="Column6317"/>
    <tableColumn id="6337" xr3:uid="{ADB8919C-C64F-4B47-9B67-1BA966B4475A}" name="Column6318"/>
    <tableColumn id="6338" xr3:uid="{C3435EE9-93BD-4A64-B273-EF1E052D78B0}" name="Column6319"/>
    <tableColumn id="6339" xr3:uid="{B04ABCCD-5B2F-4A6C-806C-26C43D3C862D}" name="Column6320"/>
    <tableColumn id="6340" xr3:uid="{56B14DCD-4CDB-47BF-B959-D51F2D8F557B}" name="Column6321"/>
    <tableColumn id="6341" xr3:uid="{BE6A0A1D-EEF6-4C3C-9B28-AD27AA523B47}" name="Column6322"/>
    <tableColumn id="6342" xr3:uid="{1D1BFE28-6B02-4F2E-9294-921CD669C818}" name="Column6323"/>
    <tableColumn id="6343" xr3:uid="{9069A62D-19BA-4989-9452-26182E84D2C1}" name="Column6324"/>
    <tableColumn id="6344" xr3:uid="{F74697EF-1E07-4F55-97E5-4FF0AA5BAEE2}" name="Column6325"/>
    <tableColumn id="6345" xr3:uid="{45777093-7831-4DC6-8024-440A9C2E9904}" name="Column6326"/>
    <tableColumn id="6346" xr3:uid="{0721921B-098C-4DCB-8B37-E39090436377}" name="Column6327"/>
    <tableColumn id="6347" xr3:uid="{BD83492F-7D75-4876-B02C-90A7D7090975}" name="Column6328"/>
    <tableColumn id="6348" xr3:uid="{92C9CD25-CA4C-4E52-A0B0-43AD5C3056F0}" name="Column6329"/>
    <tableColumn id="6349" xr3:uid="{4059D0F4-1CA0-4AFE-A1EF-48D8BE8AC9A3}" name="Column6330"/>
    <tableColumn id="6350" xr3:uid="{84875343-4DF7-4B75-AF0F-5D00B8248B5B}" name="Column6331"/>
    <tableColumn id="6351" xr3:uid="{E63CA412-562B-465F-B6C9-FDFBDA7087A0}" name="Column6332"/>
    <tableColumn id="6352" xr3:uid="{B2EEF98E-5A6E-4A45-837B-66F32A1A9490}" name="Column6333"/>
    <tableColumn id="6353" xr3:uid="{565EAC49-4AFA-41A5-8DE9-92711C83AA56}" name="Column6334"/>
    <tableColumn id="6354" xr3:uid="{FD16DC2A-39DF-43A1-B9FB-53CD7089E208}" name="Column6335"/>
    <tableColumn id="6355" xr3:uid="{27EE1005-31F7-4EEC-9D19-91D213EDB1BA}" name="Column6336"/>
    <tableColumn id="6356" xr3:uid="{98820525-8168-4CEC-8A51-EA948C1600FB}" name="Column6337"/>
    <tableColumn id="6357" xr3:uid="{4BA38C6B-8B2B-4C9E-8066-F4FAA123A8ED}" name="Column6338"/>
    <tableColumn id="6358" xr3:uid="{62964232-676F-48C0-AF7F-29F34F47AF4C}" name="Column6339"/>
    <tableColumn id="6359" xr3:uid="{CCCD3F5E-D59C-48D2-9AA9-22E33514CE02}" name="Column6340"/>
    <tableColumn id="6360" xr3:uid="{54A86278-8A5A-4874-B7F0-A47781531540}" name="Column6341"/>
    <tableColumn id="6361" xr3:uid="{BE50CD1D-7C61-4103-A623-6C1F13FD0254}" name="Column6342"/>
    <tableColumn id="6362" xr3:uid="{0AE4EF1E-6BD7-4295-856A-2DEF8F08852D}" name="Column6343"/>
    <tableColumn id="6363" xr3:uid="{36E6E8EC-FA2A-4F84-8AF2-53EA47AB3DFE}" name="Column6344"/>
    <tableColumn id="6364" xr3:uid="{BF4FC383-FFCE-41E3-B935-2EAE4283ACB3}" name="Column6345"/>
    <tableColumn id="6365" xr3:uid="{D4A20953-DC4C-4C89-B4CB-67CDDB293304}" name="Column6346"/>
    <tableColumn id="6366" xr3:uid="{AFE42A4F-8FCC-4689-948B-0B1C81F1BF5F}" name="Column6347"/>
    <tableColumn id="6367" xr3:uid="{CEB9EE3E-E184-4E2B-A9C4-25EF04E92FCA}" name="Column6348"/>
    <tableColumn id="6368" xr3:uid="{97589BFC-773A-4FB4-91C1-A4123B75C14D}" name="Column6349"/>
    <tableColumn id="6369" xr3:uid="{68C6F95F-B69A-4315-9BF9-159AAF62FA53}" name="Column6350"/>
    <tableColumn id="6370" xr3:uid="{E75CDCFB-B2C0-4024-832D-9509D6867CBE}" name="Column6351"/>
    <tableColumn id="6371" xr3:uid="{5329432D-B0E4-4618-81A1-DC5B8EED6481}" name="Column6352"/>
    <tableColumn id="6372" xr3:uid="{2BE591B3-D9D8-42CB-ADBD-64AD9E5AD7ED}" name="Column6353"/>
    <tableColumn id="6373" xr3:uid="{96886B1F-3655-4DA8-83C2-68ED73306066}" name="Column6354"/>
    <tableColumn id="6374" xr3:uid="{5E841B7E-E9C2-49F0-962D-387E2DD898FC}" name="Column6355"/>
    <tableColumn id="6375" xr3:uid="{C0C63AA3-6B7D-4B07-B7A6-260E6879D065}" name="Column6356"/>
    <tableColumn id="6376" xr3:uid="{2BA2300B-F3C5-4469-8E4B-020EAF864378}" name="Column6357"/>
    <tableColumn id="6377" xr3:uid="{11DED265-44DC-4ABF-9196-2DD03B298B2F}" name="Column6358"/>
    <tableColumn id="6378" xr3:uid="{F3E59D8A-BA81-410A-8B4D-9C0C85AF3448}" name="Column6359"/>
    <tableColumn id="6379" xr3:uid="{156DD04D-8815-49D0-9DB6-6305375BEDCF}" name="Column6360"/>
    <tableColumn id="6380" xr3:uid="{EF715B44-6896-4735-AA8C-608451D6547C}" name="Column6361"/>
    <tableColumn id="6381" xr3:uid="{32792C3D-FED2-4841-BE2E-7ADF42A01C45}" name="Column6362"/>
    <tableColumn id="6382" xr3:uid="{7A01F4E1-9CEB-4FBE-BC34-1A232A4CD88B}" name="Column6363"/>
    <tableColumn id="6383" xr3:uid="{FF0B085E-FE59-4F8D-B84E-D266E50B49E0}" name="Column6364"/>
    <tableColumn id="6384" xr3:uid="{20F3AE03-690E-4EEA-A03D-E64470735678}" name="Column6365"/>
    <tableColumn id="6385" xr3:uid="{1143003C-4CA1-40F0-85E0-15AD33358D0C}" name="Column6366"/>
    <tableColumn id="6386" xr3:uid="{0731A2B5-9C64-4741-B9C7-4EFE70A157E0}" name="Column6367"/>
    <tableColumn id="6387" xr3:uid="{B3BC6035-A913-45D2-A64E-856B3CE4B0D5}" name="Column6368"/>
    <tableColumn id="6388" xr3:uid="{42F0A4DA-4D11-417D-898B-09EE7F76FD6E}" name="Column6369"/>
    <tableColumn id="6389" xr3:uid="{068228A0-C0D0-4476-8E2B-1D2944CB5177}" name="Column6370"/>
    <tableColumn id="6390" xr3:uid="{07862D66-8446-4C60-853D-518B772D87E5}" name="Column6371"/>
    <tableColumn id="6391" xr3:uid="{0AE1044A-B9F4-4866-B8F6-FC218F4BF33D}" name="Column6372"/>
    <tableColumn id="6392" xr3:uid="{2815113F-DB93-4D0B-8766-EBEC4EEFD09C}" name="Column6373"/>
    <tableColumn id="6393" xr3:uid="{32B33841-BC43-4600-93D0-3A45E9A8A9CA}" name="Column6374"/>
    <tableColumn id="6394" xr3:uid="{AC842DAC-E79B-4A2B-810B-0B3F958CE6DC}" name="Column6375"/>
    <tableColumn id="6395" xr3:uid="{523DDBAA-2A2F-439C-B5BA-5B198A0827E7}" name="Column6376"/>
    <tableColumn id="6396" xr3:uid="{C64EEB90-DD6F-406F-82B5-DF74049E78B6}" name="Column6377"/>
    <tableColumn id="6397" xr3:uid="{E640E1BF-C2DF-46C4-9D14-3226C7CF00C4}" name="Column6378"/>
    <tableColumn id="6398" xr3:uid="{35442279-18C6-47CF-96E8-8605B903E4F3}" name="Column6379"/>
    <tableColumn id="6399" xr3:uid="{2DA51C25-3284-4712-A49B-28B8B357B9E6}" name="Column6380"/>
    <tableColumn id="6400" xr3:uid="{E49F8438-5500-4788-8985-990E9EBF846A}" name="Column6381"/>
    <tableColumn id="6401" xr3:uid="{C835665C-1A3D-4782-8537-00571249D332}" name="Column6382"/>
    <tableColumn id="6402" xr3:uid="{2F1F8A3D-F63D-416F-B9D3-241F623EE305}" name="Column6383"/>
    <tableColumn id="6403" xr3:uid="{0F75234F-F560-47AA-A7BC-6FC2B38092F3}" name="Column6384"/>
    <tableColumn id="6404" xr3:uid="{D4132985-D04D-4F6D-8A39-5F6E5A7F69BF}" name="Column6385"/>
    <tableColumn id="6405" xr3:uid="{E9E2A427-AD73-4106-9473-501A88AC11A9}" name="Column6386"/>
    <tableColumn id="6406" xr3:uid="{C2B26D58-3D7E-45C3-97DB-5BBBDE87A83D}" name="Column6387"/>
    <tableColumn id="6407" xr3:uid="{91B11D67-2058-472E-B115-D407486B4268}" name="Column6388"/>
    <tableColumn id="6408" xr3:uid="{4EA03C07-17AA-4440-804C-914203321829}" name="Column6389"/>
    <tableColumn id="6409" xr3:uid="{7579CF04-63FE-47FA-93A0-841DFA3238F0}" name="Column6390"/>
    <tableColumn id="6410" xr3:uid="{5667B576-F1F0-4700-AF17-68C5703E1540}" name="Column6391"/>
    <tableColumn id="6411" xr3:uid="{56DFF0C2-3267-4007-8DC3-EE5DBB4E9222}" name="Column6392"/>
    <tableColumn id="6412" xr3:uid="{334A6142-48A6-4A54-AB9A-07A754809E64}" name="Column6393"/>
    <tableColumn id="6413" xr3:uid="{A338D25C-2513-44FA-A0BA-C044BAF04FF2}" name="Column6394"/>
    <tableColumn id="6414" xr3:uid="{25B4FD27-22EC-4961-A92E-6DF0E8DABDCE}" name="Column6395"/>
    <tableColumn id="6415" xr3:uid="{82168D63-D183-429F-82BA-A52390B2EE14}" name="Column6396"/>
    <tableColumn id="6416" xr3:uid="{AA97A6BA-AD3E-4675-9CFC-70565B1DDCB0}" name="Column6397"/>
    <tableColumn id="6417" xr3:uid="{F8ECD92E-48B4-4185-AFE2-865D911543FA}" name="Column6398"/>
    <tableColumn id="6418" xr3:uid="{C70816D6-3831-46AF-BE9A-6AE66F91A132}" name="Column6399"/>
    <tableColumn id="6419" xr3:uid="{8C9E6B37-454F-4ACA-9281-237FCE8EF41E}" name="Column6400"/>
    <tableColumn id="6420" xr3:uid="{92874B50-9B46-4A5E-8EC3-B3EFC543ADF1}" name="Column6401"/>
    <tableColumn id="6421" xr3:uid="{B68FEB9C-D2DC-4299-9032-1A818C879427}" name="Column6402"/>
    <tableColumn id="6422" xr3:uid="{2DD8B7B2-45EA-433F-AEC7-16D630C4E364}" name="Column6403"/>
    <tableColumn id="6423" xr3:uid="{0B900F9A-52DF-4FD4-ACD1-14FA4D1EBF05}" name="Column6404"/>
    <tableColumn id="6424" xr3:uid="{7F540844-63A5-4871-BC3E-4305BDD150EE}" name="Column6405"/>
    <tableColumn id="6425" xr3:uid="{10B4ECC7-6578-43ED-8CB1-339392720BD9}" name="Column6406"/>
    <tableColumn id="6426" xr3:uid="{44768039-6CA1-453C-90B6-1EC7C4AF5236}" name="Column6407"/>
    <tableColumn id="6427" xr3:uid="{2B848376-E50E-49CC-BF39-A65F641F97B5}" name="Column6408"/>
    <tableColumn id="6428" xr3:uid="{9F623AA0-5CC7-48EA-9928-F345C8445822}" name="Column6409"/>
    <tableColumn id="6429" xr3:uid="{CD4C285B-4FBD-48C1-BDFB-37055F812FEC}" name="Column6410"/>
    <tableColumn id="6430" xr3:uid="{FB3C24A5-8093-4791-9645-7AAC48E9BC62}" name="Column6411"/>
    <tableColumn id="6431" xr3:uid="{E5A6C603-21FA-48DF-BF67-C3EC893F4A9F}" name="Column6412"/>
    <tableColumn id="6432" xr3:uid="{979F4391-5DCE-4B92-99C3-92F197C3267C}" name="Column6413"/>
    <tableColumn id="6433" xr3:uid="{9B6E2EF0-F8BE-47A8-BE8C-2FA78160D000}" name="Column6414"/>
    <tableColumn id="6434" xr3:uid="{89E3B008-7CF4-4862-B6BB-0F2AE31FAD89}" name="Column6415"/>
    <tableColumn id="6435" xr3:uid="{C5335DD8-3224-4C66-93EB-B3117F90D392}" name="Column6416"/>
    <tableColumn id="6436" xr3:uid="{5B054B6F-14FA-4507-BBC6-6ED301223D90}" name="Column6417"/>
    <tableColumn id="6437" xr3:uid="{1696C304-D8B9-4E3E-9042-A4722886C0DD}" name="Column6418"/>
    <tableColumn id="6438" xr3:uid="{4DCF9BFB-6F51-430E-9D20-041536FB05A5}" name="Column6419"/>
    <tableColumn id="6439" xr3:uid="{7FB93A43-D923-40E7-8B7A-30FCAED9E65D}" name="Column6420"/>
    <tableColumn id="6440" xr3:uid="{971D97E3-34D9-488C-84FE-11929EBDF606}" name="Column6421"/>
    <tableColumn id="6441" xr3:uid="{224682BD-4759-487A-B184-C84A62E62889}" name="Column6422"/>
    <tableColumn id="6442" xr3:uid="{F8F70936-EED0-4A47-80D4-B75305E9A9AF}" name="Column6423"/>
    <tableColumn id="6443" xr3:uid="{BDAC0ED4-17CF-45D7-935A-DDC384251240}" name="Column6424"/>
    <tableColumn id="6444" xr3:uid="{091EFE81-7D9E-44C0-B787-5A7E2939FFFA}" name="Column6425"/>
    <tableColumn id="6445" xr3:uid="{ED2B8D96-6339-4462-8087-51DF6CE800A9}" name="Column6426"/>
    <tableColumn id="6446" xr3:uid="{9C289536-43ED-4384-A6F8-19632FACADBA}" name="Column6427"/>
    <tableColumn id="6447" xr3:uid="{937A3C6C-4658-4928-BF99-7512ED114839}" name="Column6428"/>
    <tableColumn id="6448" xr3:uid="{DE03E0AC-20B9-498B-BE51-32D0C8071B45}" name="Column6429"/>
    <tableColumn id="6449" xr3:uid="{FB6AA051-7184-4DA1-B801-CF11941FC80E}" name="Column6430"/>
    <tableColumn id="6450" xr3:uid="{804018A6-F98E-48F3-92E5-B1C691A13CF9}" name="Column6431"/>
    <tableColumn id="6451" xr3:uid="{037BBE01-93AC-4451-B111-2EE5BD1A6931}" name="Column6432"/>
    <tableColumn id="6452" xr3:uid="{E356FCFC-C84D-4AE8-9D24-A474A9F11F51}" name="Column6433"/>
    <tableColumn id="6453" xr3:uid="{209702B0-B124-4D48-A86A-CDA1D2787BBC}" name="Column6434"/>
    <tableColumn id="6454" xr3:uid="{9517BF53-9149-4EA7-A6B7-49499FF63F81}" name="Column6435"/>
    <tableColumn id="6455" xr3:uid="{A1081603-A538-4000-B7F5-2425A8D8B1E5}" name="Column6436"/>
    <tableColumn id="6456" xr3:uid="{6B88142A-FFB2-4690-9E26-867B1FCEA762}" name="Column6437"/>
    <tableColumn id="6457" xr3:uid="{A61FB45E-4E74-4130-AB95-649FC82F32C3}" name="Column6438"/>
    <tableColumn id="6458" xr3:uid="{8560E97D-9AF2-4450-A529-F3D872B5779C}" name="Column6439"/>
    <tableColumn id="6459" xr3:uid="{73477F01-788F-4CE6-B8B7-B7C369A76130}" name="Column6440"/>
    <tableColumn id="6460" xr3:uid="{129F8289-7AC6-41A0-A878-BDA52166D980}" name="Column6441"/>
    <tableColumn id="6461" xr3:uid="{B38B70C6-32F8-4034-B4F5-CB7ADD1BF2A3}" name="Column6442"/>
    <tableColumn id="6462" xr3:uid="{7713F7DF-683E-4855-8BDE-BE1C882EF220}" name="Column6443"/>
    <tableColumn id="6463" xr3:uid="{F0769100-FE77-48F6-9FC0-9274177389CB}" name="Column6444"/>
    <tableColumn id="6464" xr3:uid="{D8F76F97-37B4-43D1-8163-17FDB5BEE66A}" name="Column6445"/>
    <tableColumn id="6465" xr3:uid="{0A99BAF7-DF4C-470D-8C23-8478B6002E3E}" name="Column6446"/>
    <tableColumn id="6466" xr3:uid="{B74F5D29-7BF1-4EF8-826F-953EFF3BC130}" name="Column6447"/>
    <tableColumn id="6467" xr3:uid="{6E2D0394-60BF-4314-88B7-B09E4EE5BA57}" name="Column6448"/>
    <tableColumn id="6468" xr3:uid="{008FBA64-2F2F-4F1D-99B7-413C6AF3FFA9}" name="Column6449"/>
    <tableColumn id="6469" xr3:uid="{E41BD00B-CB29-44CD-BFFB-415FEB98FB4E}" name="Column6450"/>
    <tableColumn id="6470" xr3:uid="{63D73A31-AC0E-4A91-B3C8-9983C8E5DCC1}" name="Column6451"/>
    <tableColumn id="6471" xr3:uid="{DC9431D3-090E-4ABC-B090-8B883F848AAF}" name="Column6452"/>
    <tableColumn id="6472" xr3:uid="{9073357D-CE9A-4D9E-933C-81D125B425DA}" name="Column6453"/>
    <tableColumn id="6473" xr3:uid="{9FDCB681-75AA-4A74-80E6-01D515B54FE6}" name="Column6454"/>
    <tableColumn id="6474" xr3:uid="{EB81830A-0AC7-47F6-99C6-0A94DA63631E}" name="Column6455"/>
    <tableColumn id="6475" xr3:uid="{D2224296-18CD-45A0-8902-E4CCA4C50E89}" name="Column6456"/>
    <tableColumn id="6476" xr3:uid="{8A7B6AE4-BA19-49E6-B9B0-F455A5B75282}" name="Column6457"/>
    <tableColumn id="6477" xr3:uid="{152768C1-3ED8-4C67-915E-7FBE2656BB26}" name="Column6458"/>
    <tableColumn id="6478" xr3:uid="{B52D2838-F54A-4215-9755-FCA6E8633640}" name="Column6459"/>
    <tableColumn id="6479" xr3:uid="{28CE7B7B-F87C-4E50-90E7-709E86FF3220}" name="Column6460"/>
    <tableColumn id="6480" xr3:uid="{83DBE287-C932-47E1-9C23-987D0161CC7E}" name="Column6461"/>
    <tableColumn id="6481" xr3:uid="{FB945335-268E-4F0A-AA9D-702BD42C8EA9}" name="Column6462"/>
    <tableColumn id="6482" xr3:uid="{3B036A64-F9B0-49B0-8C36-4EA1990C265C}" name="Column6463"/>
    <tableColumn id="6483" xr3:uid="{AEC10C2F-F485-41EB-98D2-60E0671D1C9A}" name="Column6464"/>
    <tableColumn id="6484" xr3:uid="{16ABA257-227F-468B-80BE-06540E69C76C}" name="Column6465"/>
    <tableColumn id="6485" xr3:uid="{5F3A7582-AFC2-42D6-80C0-A9F753D653A4}" name="Column6466"/>
    <tableColumn id="6486" xr3:uid="{87964296-93FE-4299-9547-566066189DA9}" name="Column6467"/>
    <tableColumn id="6487" xr3:uid="{A038CB91-21A2-497F-9486-0870F2E1AD27}" name="Column6468"/>
    <tableColumn id="6488" xr3:uid="{907A93B0-8572-49EB-AE4E-E87C93C5A835}" name="Column6469"/>
    <tableColumn id="6489" xr3:uid="{329BB863-09B3-4B57-A7A1-82C43117D61D}" name="Column6470"/>
    <tableColumn id="6490" xr3:uid="{5767D9DE-0118-4AB3-9810-C112079C672F}" name="Column6471"/>
    <tableColumn id="6491" xr3:uid="{0B45DE63-7651-44F9-B355-F789B6F9CB7D}" name="Column6472"/>
    <tableColumn id="6492" xr3:uid="{73869723-54FC-4159-AC3F-168478CD697A}" name="Column6473"/>
    <tableColumn id="6493" xr3:uid="{246C619A-A815-4DD3-BDA2-728AA47EBE11}" name="Column6474"/>
    <tableColumn id="6494" xr3:uid="{A73798AC-4D9C-4F37-AE88-C6421B11EC54}" name="Column6475"/>
    <tableColumn id="6495" xr3:uid="{1C91B0FE-3D51-4A5B-BD0C-9EC79CB99A63}" name="Column6476"/>
    <tableColumn id="6496" xr3:uid="{26DD3926-6BA2-44EF-837F-E5F38A464AF1}" name="Column6477"/>
    <tableColumn id="6497" xr3:uid="{27197CDF-7068-4A97-AC18-30CDD3A17559}" name="Column6478"/>
    <tableColumn id="6498" xr3:uid="{5CDF061B-6519-4F1E-9978-0F1C747EFB2F}" name="Column6479"/>
    <tableColumn id="6499" xr3:uid="{E295C146-4B0C-416B-BEE3-D4959FF0295B}" name="Column6480"/>
    <tableColumn id="6500" xr3:uid="{5E0A0B0E-40CF-435F-9D3B-460ACCD5087D}" name="Column6481"/>
    <tableColumn id="6501" xr3:uid="{D2D3EC9E-7703-4380-B46B-57AB7A536D15}" name="Column6482"/>
    <tableColumn id="6502" xr3:uid="{3C63627D-6280-4752-8841-1250B9B79627}" name="Column6483"/>
    <tableColumn id="6503" xr3:uid="{B63C4981-8E46-42AA-A5FC-C922238F6C97}" name="Column6484"/>
    <tableColumn id="6504" xr3:uid="{8F872B5C-EAF9-44FF-BBD1-F848F81A94E3}" name="Column6485"/>
    <tableColumn id="6505" xr3:uid="{E1BC36C4-2A68-4EB3-A0F4-49541C856E28}" name="Column6486"/>
    <tableColumn id="6506" xr3:uid="{707283C6-33A0-4344-9140-A6707C05E6D3}" name="Column6487"/>
    <tableColumn id="6507" xr3:uid="{3025A359-01BA-4FD5-BB9D-9D80CFA2C442}" name="Column6488"/>
    <tableColumn id="6508" xr3:uid="{D8323D1B-80DF-4E98-9507-FCB2A14CBE83}" name="Column6489"/>
    <tableColumn id="6509" xr3:uid="{8FADB24A-363A-49A6-8576-CC062AE6D715}" name="Column6490"/>
    <tableColumn id="6510" xr3:uid="{03E73600-F91A-4506-9438-34FD05940C00}" name="Column6491"/>
    <tableColumn id="6511" xr3:uid="{FAB5FBD2-AD9E-4512-A36D-EDC887A45299}" name="Column6492"/>
    <tableColumn id="6512" xr3:uid="{92C7A5E3-2DD0-4290-AB2A-0DBF00FF1D1A}" name="Column6493"/>
    <tableColumn id="6513" xr3:uid="{DE1083E3-745D-4173-B70A-C4E7A7802109}" name="Column6494"/>
    <tableColumn id="6514" xr3:uid="{D83B9091-1ADA-4997-911D-000656B9B841}" name="Column6495"/>
    <tableColumn id="6515" xr3:uid="{83757F63-5951-4B33-B98D-D86CA9508860}" name="Column6496"/>
    <tableColumn id="6516" xr3:uid="{76273A0B-941D-4957-827C-B0564EDB0C5A}" name="Column6497"/>
    <tableColumn id="6517" xr3:uid="{50FF971F-6918-49AC-85D0-960C99731637}" name="Column6498"/>
    <tableColumn id="6518" xr3:uid="{9FE0B105-3B69-4EF6-9057-4ABA8C804F67}" name="Column6499"/>
    <tableColumn id="6519" xr3:uid="{EBB8546B-3CDB-4F30-A3DB-50CCE290D345}" name="Column6500"/>
    <tableColumn id="6520" xr3:uid="{860D4FF9-7730-4D02-9551-8C0C02598706}" name="Column6501"/>
    <tableColumn id="6521" xr3:uid="{7DB76DC5-C303-406D-9FB4-DB13118DD004}" name="Column6502"/>
    <tableColumn id="6522" xr3:uid="{DAD3A112-CF35-45B7-80F3-B3BEE2688BE2}" name="Column6503"/>
    <tableColumn id="6523" xr3:uid="{71055552-BFF7-45FB-BB52-6D27108DBEE1}" name="Column6504"/>
    <tableColumn id="6524" xr3:uid="{7C62AAD6-A0FE-40CB-A1AF-6CF4785866B1}" name="Column6505"/>
    <tableColumn id="6525" xr3:uid="{351BAD74-F1E7-4D39-A0B0-8F9CC41764B6}" name="Column6506"/>
    <tableColumn id="6526" xr3:uid="{BD1B9A9F-BB3F-4624-8D5C-49E10AE4AE2A}" name="Column6507"/>
    <tableColumn id="6527" xr3:uid="{64305B1A-A011-4714-8379-532772E9DD05}" name="Column6508"/>
    <tableColumn id="6528" xr3:uid="{AECEB215-5F77-4217-87E1-42395061EC97}" name="Column6509"/>
    <tableColumn id="6529" xr3:uid="{CAE6BACD-08E1-4381-8B2D-56B414FB45A3}" name="Column6510"/>
    <tableColumn id="6530" xr3:uid="{73C50A2A-B9AD-489E-883F-A10D49E11ED2}" name="Column6511"/>
    <tableColumn id="6531" xr3:uid="{01536AE2-1204-4463-ADA0-CC921ACA6631}" name="Column6512"/>
    <tableColumn id="6532" xr3:uid="{85490512-9626-4492-BB09-94BC3693B747}" name="Column6513"/>
    <tableColumn id="6533" xr3:uid="{2496D62F-55C9-4637-A25E-F876DAE48C88}" name="Column6514"/>
    <tableColumn id="6534" xr3:uid="{82C24183-7822-41E1-9DA7-C3752409CA81}" name="Column6515"/>
    <tableColumn id="6535" xr3:uid="{C767988F-C3F5-49E1-8451-F17D164013CD}" name="Column6516"/>
    <tableColumn id="6536" xr3:uid="{737CF05F-F301-4005-98FB-02BEFBD794B6}" name="Column6517"/>
    <tableColumn id="6537" xr3:uid="{C25D8D25-0C54-4984-BAD3-99EADDC0244E}" name="Column6518"/>
    <tableColumn id="6538" xr3:uid="{612A059F-F705-477A-8417-555BD6FD3DF0}" name="Column6519"/>
    <tableColumn id="6539" xr3:uid="{8E9DC03D-0344-4F45-B93C-208F82851D9E}" name="Column6520"/>
    <tableColumn id="6540" xr3:uid="{2199B28C-906F-43AA-8C31-91FF37A5EC7C}" name="Column6521"/>
    <tableColumn id="6541" xr3:uid="{07DBF64F-C4D1-4A7C-9BBC-8427ED8BDF03}" name="Column6522"/>
    <tableColumn id="6542" xr3:uid="{98DFAC78-E3C5-4C11-A4E3-50C8E86B1228}" name="Column6523"/>
    <tableColumn id="6543" xr3:uid="{B1A5122F-BABE-4374-A06D-3A05E5741CAA}" name="Column6524"/>
    <tableColumn id="6544" xr3:uid="{FAC6B1E4-A31E-4D19-93B5-EEB6FD03B3AB}" name="Column6525"/>
    <tableColumn id="6545" xr3:uid="{71498AC1-FF98-43AB-8836-A4F035E499ED}" name="Column6526"/>
    <tableColumn id="6546" xr3:uid="{E6B436D8-3B41-4E55-8B0D-1D6F52C7B584}" name="Column6527"/>
    <tableColumn id="6547" xr3:uid="{7885357E-4E60-4D43-8C9D-999476CB5BC5}" name="Column6528"/>
    <tableColumn id="6548" xr3:uid="{9C637A5F-B811-4130-8BBC-23676CCB78CA}" name="Column6529"/>
    <tableColumn id="6549" xr3:uid="{C8BC2326-9216-4DBD-A0F5-9B1BBF582F07}" name="Column6530"/>
    <tableColumn id="6550" xr3:uid="{C3ED367A-0809-4B81-A86B-DFE921FD7A17}" name="Column6531"/>
    <tableColumn id="6551" xr3:uid="{4DB39372-9498-4EAC-A837-9677DFC0D1B3}" name="Column6532"/>
    <tableColumn id="6552" xr3:uid="{2E0A21B9-4D32-4163-A7F9-8C07EDDE218C}" name="Column6533"/>
    <tableColumn id="6553" xr3:uid="{5DC98BF0-6AC9-4DF9-8D53-A9B00C9C1340}" name="Column6534"/>
    <tableColumn id="6554" xr3:uid="{EB6623BE-78CC-4B2A-84F8-2FA867341170}" name="Column6535"/>
    <tableColumn id="6555" xr3:uid="{45E409AB-9604-4AE7-9012-790C2207FABA}" name="Column6536"/>
    <tableColumn id="6556" xr3:uid="{5A3FCBB5-6613-4374-978C-BDD700023E1E}" name="Column6537"/>
    <tableColumn id="6557" xr3:uid="{F5644F84-2BB1-4D7F-B979-8387AE9FE2AF}" name="Column6538"/>
    <tableColumn id="6558" xr3:uid="{A3F923C3-A3CE-4DB4-9B0F-D0C55CA91D1A}" name="Column6539"/>
    <tableColumn id="6559" xr3:uid="{626651F6-433A-4C62-AE39-38E12D76090D}" name="Column6540"/>
    <tableColumn id="6560" xr3:uid="{DF7049C2-9D76-4732-BFE9-B4FF48A75DF7}" name="Column6541"/>
    <tableColumn id="6561" xr3:uid="{4AD17644-DD84-4AF4-A646-358AF78BCFB7}" name="Column6542"/>
    <tableColumn id="6562" xr3:uid="{92C80836-8B44-4414-8B7D-3AA64289E0C4}" name="Column6543"/>
    <tableColumn id="6563" xr3:uid="{E9E278C0-05FE-4D20-8A3B-741A49F9E8AF}" name="Column6544"/>
    <tableColumn id="6564" xr3:uid="{6627612E-5CB2-4040-B1AF-7DD45885F48A}" name="Column6545"/>
    <tableColumn id="6565" xr3:uid="{70156DFD-1726-45D3-AD2B-B1E11B5A9B05}" name="Column6546"/>
    <tableColumn id="6566" xr3:uid="{4A565239-91FE-4124-B25E-12DACE46D0B2}" name="Column6547"/>
    <tableColumn id="6567" xr3:uid="{1F2640A2-3036-448C-8D6C-E9C8DE8258B6}" name="Column6548"/>
    <tableColumn id="6568" xr3:uid="{A5192EEE-6B1F-46E8-AEDF-12E4372D1E84}" name="Column6549"/>
    <tableColumn id="6569" xr3:uid="{72393755-FF0A-4B3F-B7A8-2CC7B85A687E}" name="Column6550"/>
    <tableColumn id="6570" xr3:uid="{FB8477BC-6929-4C44-B6F8-981198070100}" name="Column6551"/>
    <tableColumn id="6571" xr3:uid="{61244313-03B3-4138-B4AA-B3DB0A3A4EC1}" name="Column6552"/>
    <tableColumn id="6572" xr3:uid="{ABDA9907-9DE4-45B1-BCD5-274AC8DE1BE4}" name="Column6553"/>
    <tableColumn id="6573" xr3:uid="{76C3E7DE-F400-4153-AB5C-4207794781A9}" name="Column6554"/>
    <tableColumn id="6574" xr3:uid="{7ECAA845-7798-4BB4-AC5B-0C667B6B7EDF}" name="Column6555"/>
    <tableColumn id="6575" xr3:uid="{CF40591D-0231-4DB8-A6E4-8B796B7D907C}" name="Column6556"/>
    <tableColumn id="6576" xr3:uid="{862BA8C7-9442-4268-B788-72A3EC8E9613}" name="Column6557"/>
    <tableColumn id="6577" xr3:uid="{3886DB74-A1D5-4D18-8B43-E24A96023F95}" name="Column6558"/>
    <tableColumn id="6578" xr3:uid="{1E256863-ACBE-47C5-85C1-6FBD008938FA}" name="Column6559"/>
    <tableColumn id="6579" xr3:uid="{B696F88C-31DC-469B-B1C2-25F49DAF1FE9}" name="Column6560"/>
    <tableColumn id="6580" xr3:uid="{4D892EAB-6E6D-4D07-A2A2-5453F6A2FFFA}" name="Column6561"/>
    <tableColumn id="6581" xr3:uid="{6CF265B3-C1A7-44FD-A07C-0BFF3016853B}" name="Column6562"/>
    <tableColumn id="6582" xr3:uid="{876599BE-DAE4-45A0-8C30-630E27CCB1B7}" name="Column6563"/>
    <tableColumn id="6583" xr3:uid="{FC9A4FFC-7CD1-43B7-87FB-CAAD32293F50}" name="Column6564"/>
    <tableColumn id="6584" xr3:uid="{0383E518-F24D-4708-BA44-4EDCB37AFCDD}" name="Column6565"/>
    <tableColumn id="6585" xr3:uid="{3BEA68B8-E8FB-41F0-87B0-EAB6AC2241BB}" name="Column6566"/>
    <tableColumn id="6586" xr3:uid="{35CE9FA2-D980-487C-A885-C643B1FCD3F1}" name="Column6567"/>
    <tableColumn id="6587" xr3:uid="{FA09A11A-902A-4244-BF53-83D9518A6695}" name="Column6568"/>
    <tableColumn id="6588" xr3:uid="{8C365656-ED2D-4D1A-8FE2-59BED7A4B419}" name="Column6569"/>
    <tableColumn id="6589" xr3:uid="{3280EB89-C376-4EBE-B1CC-5007BB63CE10}" name="Column6570"/>
    <tableColumn id="6590" xr3:uid="{29BA2E82-9979-46D1-AEBC-04A9F18C7E4E}" name="Column6571"/>
    <tableColumn id="6591" xr3:uid="{468F7A82-CF37-4E95-B7F5-5D0A55821B79}" name="Column6572"/>
    <tableColumn id="6592" xr3:uid="{F026601A-2524-4B63-9C1C-2CD62D4BF088}" name="Column6573"/>
    <tableColumn id="6593" xr3:uid="{DAF64E9D-20F4-4805-885E-9D0BF009792B}" name="Column6574"/>
    <tableColumn id="6594" xr3:uid="{1D00B670-F7B4-4746-8D05-C4FF309FB38F}" name="Column6575"/>
    <tableColumn id="6595" xr3:uid="{161C6AF9-4FBB-486F-85D2-906590A47574}" name="Column6576"/>
    <tableColumn id="6596" xr3:uid="{85B33576-FE14-4BA4-A17C-103389AEB73C}" name="Column6577"/>
    <tableColumn id="6597" xr3:uid="{1012675F-2064-4223-9F96-0664CE417797}" name="Column6578"/>
    <tableColumn id="6598" xr3:uid="{49409D21-CC1D-4ABC-9600-85A7CCE3DC06}" name="Column6579"/>
    <tableColumn id="6599" xr3:uid="{6633CB14-4127-4E60-A985-995B9ACB05E3}" name="Column6580"/>
    <tableColumn id="6600" xr3:uid="{5A42191F-4BAE-4F93-B649-9662A8D37832}" name="Column6581"/>
    <tableColumn id="6601" xr3:uid="{F5E70508-1197-43F4-9F5F-E20E69D75A37}" name="Column6582"/>
    <tableColumn id="6602" xr3:uid="{99F62288-1492-4EFC-BE55-E93EC56A2594}" name="Column6583"/>
    <tableColumn id="6603" xr3:uid="{93E2186D-5A87-44E0-8695-990FC44292E6}" name="Column6584"/>
    <tableColumn id="6604" xr3:uid="{54D88911-6EF0-4A3D-9CE9-BBE09B94D18D}" name="Column6585"/>
    <tableColumn id="6605" xr3:uid="{A2D3533B-F461-4664-B2E6-701E3987027C}" name="Column6586"/>
    <tableColumn id="6606" xr3:uid="{7A1D076D-DBCF-4FA4-9344-CBCE0565C42F}" name="Column6587"/>
    <tableColumn id="6607" xr3:uid="{481CB2F1-B92E-4E84-A86F-FF3A756CF02A}" name="Column6588"/>
    <tableColumn id="6608" xr3:uid="{1300438F-827D-425B-97C6-316149996928}" name="Column6589"/>
    <tableColumn id="6609" xr3:uid="{3F0A8421-D68E-4384-9075-EB3633FC1240}" name="Column6590"/>
    <tableColumn id="6610" xr3:uid="{AF80BCA6-73E2-4514-A1E4-EFA755B74381}" name="Column6591"/>
    <tableColumn id="6611" xr3:uid="{84F4F4C9-9C74-4051-976A-8CB2967670BC}" name="Column6592"/>
    <tableColumn id="6612" xr3:uid="{34848EBC-8BB2-4F5C-A07F-29F55AA86076}" name="Column6593"/>
    <tableColumn id="6613" xr3:uid="{9FE6A9D8-0141-4179-85D1-2C609ED7A5D9}" name="Column6594"/>
    <tableColumn id="6614" xr3:uid="{9120CE2E-E1B2-4765-B623-EB175938A9FD}" name="Column6595"/>
    <tableColumn id="6615" xr3:uid="{BEC4FE8A-91F2-49BD-92B0-59F276448A01}" name="Column6596"/>
    <tableColumn id="6616" xr3:uid="{AAFE10DA-D59E-478D-AB34-D6C4C1309B10}" name="Column6597"/>
    <tableColumn id="6617" xr3:uid="{0945F1A2-E8E3-42B3-866D-6961E416E8ED}" name="Column6598"/>
    <tableColumn id="6618" xr3:uid="{C0AD4A07-319C-4AC2-BB36-2994090E6BF2}" name="Column6599"/>
    <tableColumn id="6619" xr3:uid="{8B3ABEE4-7D40-4B1C-A6BB-18EFC8E41E63}" name="Column6600"/>
    <tableColumn id="6620" xr3:uid="{16546D55-76A7-4ED0-ABBE-8BD3175F31B2}" name="Column6601"/>
    <tableColumn id="6621" xr3:uid="{4147F03D-A6D4-43D4-9CE9-FD5C71124447}" name="Column6602"/>
    <tableColumn id="6622" xr3:uid="{2E8B9339-0FC8-4984-B3F2-AD03590915A9}" name="Column6603"/>
    <tableColumn id="6623" xr3:uid="{296C4305-CCB8-4657-8D7E-41D483FFD355}" name="Column6604"/>
    <tableColumn id="6624" xr3:uid="{C2993621-7C49-48B1-97C0-F9553929F3D6}" name="Column6605"/>
    <tableColumn id="6625" xr3:uid="{4B01CAC0-66DC-441D-9333-2487BCFF6442}" name="Column6606"/>
    <tableColumn id="6626" xr3:uid="{96716FE1-9A2B-4F91-A22F-C8875BDE9D6C}" name="Column6607"/>
    <tableColumn id="6627" xr3:uid="{E919ED06-25DD-4C09-A9C1-FAE80DE6D2CE}" name="Column6608"/>
    <tableColumn id="6628" xr3:uid="{FFCDE719-E8A4-4AC8-922E-FE8C0D281AEF}" name="Column6609"/>
    <tableColumn id="6629" xr3:uid="{C9C304DE-661A-4100-BF32-90116101A5B7}" name="Column6610"/>
    <tableColumn id="6630" xr3:uid="{426E5278-FCD7-46FF-9E2B-31F49AF0665F}" name="Column6611"/>
    <tableColumn id="6631" xr3:uid="{52ACBB8B-9B48-449B-8F51-6B0057806D26}" name="Column6612"/>
    <tableColumn id="6632" xr3:uid="{C3925198-604B-4CD7-AEDB-D4E4D4AD9B65}" name="Column6613"/>
    <tableColumn id="6633" xr3:uid="{9BC884B2-8FE1-49DB-9B7A-459D8A4C5FA5}" name="Column6614"/>
    <tableColumn id="6634" xr3:uid="{5E40BD9D-8AE9-43C8-B59F-42AA8FD2975B}" name="Column6615"/>
    <tableColumn id="6635" xr3:uid="{C331747A-217E-4A40-AD54-51E4FACAA4CA}" name="Column6616"/>
    <tableColumn id="6636" xr3:uid="{77803179-3092-4AE2-BB8D-68EE6526175E}" name="Column6617"/>
    <tableColumn id="6637" xr3:uid="{C3654209-F7F0-43CD-B0ED-15EE3B2FDB3B}" name="Column6618"/>
    <tableColumn id="6638" xr3:uid="{1DECD5D8-5A4E-4478-975B-FA991C98DF7C}" name="Column6619"/>
    <tableColumn id="6639" xr3:uid="{9C6A0A61-B276-465B-8897-384250740057}" name="Column6620"/>
    <tableColumn id="6640" xr3:uid="{2EE3305F-8CD6-4815-9D58-7AF0519BC40D}" name="Column6621"/>
    <tableColumn id="6641" xr3:uid="{7A87DF5F-560C-44F5-95DC-B31A002B4B19}" name="Column6622"/>
    <tableColumn id="6642" xr3:uid="{D0E162C2-7209-4872-8555-FEC9748037DE}" name="Column6623"/>
    <tableColumn id="6643" xr3:uid="{938483BE-3FDE-4C7E-ADB0-0A88E54D1BBE}" name="Column6624"/>
    <tableColumn id="6644" xr3:uid="{67237D62-7737-4149-B29D-36E63EE1BA4E}" name="Column6625"/>
    <tableColumn id="6645" xr3:uid="{BE70010B-91C6-4997-A6D3-57CA95996685}" name="Column6626"/>
    <tableColumn id="6646" xr3:uid="{19FD92DC-7839-499C-9E74-A378082FE0C2}" name="Column6627"/>
    <tableColumn id="6647" xr3:uid="{3300A7B6-5A2C-4116-9016-8C7DBD35839B}" name="Column6628"/>
    <tableColumn id="6648" xr3:uid="{926BEA4D-9CAE-4AED-81DB-1275A462E09A}" name="Column6629"/>
    <tableColumn id="6649" xr3:uid="{DCEC2CAF-B078-46F4-A4C2-E42458AA5748}" name="Column6630"/>
    <tableColumn id="6650" xr3:uid="{BBE0F3FC-7245-4E07-8860-E65BCEA30337}" name="Column6631"/>
    <tableColumn id="6651" xr3:uid="{5FD48085-12E4-4C06-A163-4101E220A9D6}" name="Column6632"/>
    <tableColumn id="6652" xr3:uid="{35DB3467-7050-4D95-91BA-EB74518E77A3}" name="Column6633"/>
    <tableColumn id="6653" xr3:uid="{6007244D-BDCE-4438-85F2-D4DBDF1DA872}" name="Column6634"/>
    <tableColumn id="6654" xr3:uid="{7FE94556-03E7-4FB1-B090-8BF9B9B7E67B}" name="Column6635"/>
    <tableColumn id="6655" xr3:uid="{7586F0AD-AE86-4078-9C3E-C8759A4743F6}" name="Column6636"/>
    <tableColumn id="6656" xr3:uid="{BE336B86-6B4D-40F4-9DB2-E6EACF5D8FAF}" name="Column6637"/>
    <tableColumn id="6657" xr3:uid="{1F41C188-3AD9-4997-BC73-93653DB0AF61}" name="Column6638"/>
    <tableColumn id="6658" xr3:uid="{4807EA28-5B82-4DCD-9926-24E5D01429BC}" name="Column6639"/>
    <tableColumn id="6659" xr3:uid="{4F89F7FD-AD4A-45F7-BF1A-02B6062C1AD5}" name="Column6640"/>
    <tableColumn id="6660" xr3:uid="{2A23E972-F191-4B72-9C7B-C1405C1790AE}" name="Column6641"/>
    <tableColumn id="6661" xr3:uid="{0946D7F7-BE81-4F1F-B97F-C7C4430D8658}" name="Column6642"/>
    <tableColumn id="6662" xr3:uid="{6ED04286-7CB0-471F-9A3F-2F0450950AA7}" name="Column6643"/>
    <tableColumn id="6663" xr3:uid="{A9EB6C96-1587-43D6-8212-C1C4BDD383B0}" name="Column6644"/>
    <tableColumn id="6664" xr3:uid="{2625D809-32B4-4E7F-84EA-76E79CC2DE94}" name="Column6645"/>
    <tableColumn id="6665" xr3:uid="{18A35988-EE84-415A-B6FB-E27BDC3C7643}" name="Column6646"/>
    <tableColumn id="6666" xr3:uid="{CF8677BA-C7CA-4CD2-BAFA-67EA778D9996}" name="Column6647"/>
    <tableColumn id="6667" xr3:uid="{13AFDA34-8AAF-40C7-9C46-88C3401FF28F}" name="Column6648"/>
    <tableColumn id="6668" xr3:uid="{E98FA457-4384-49F5-AC80-B466FAAA9361}" name="Column6649"/>
    <tableColumn id="6669" xr3:uid="{66D032FC-F6BA-449F-B3E5-A7A4DAE6E334}" name="Column6650"/>
    <tableColumn id="6670" xr3:uid="{DFCF1830-D2E9-43B7-A358-885210252C7A}" name="Column6651"/>
    <tableColumn id="6671" xr3:uid="{F73ACE44-8BAD-41E1-89A6-5F81B219C9A5}" name="Column6652"/>
    <tableColumn id="6672" xr3:uid="{39817AA2-B3C2-4925-B3B9-9C33BC7660CF}" name="Column6653"/>
    <tableColumn id="6673" xr3:uid="{B58C1BD0-5E91-4D16-BE9B-245AF2B3CF4B}" name="Column6654"/>
    <tableColumn id="6674" xr3:uid="{A2955CA4-9B49-4377-A5F1-29A8CD26213A}" name="Column6655"/>
    <tableColumn id="6675" xr3:uid="{EC9C471F-EDB1-4212-A690-96397D4163BA}" name="Column6656"/>
    <tableColumn id="6676" xr3:uid="{C7FF452A-08AA-4BC8-ABDC-091B8BA8E37A}" name="Column6657"/>
    <tableColumn id="6677" xr3:uid="{E4C88DF7-AA0A-408D-B601-6EE4DF55D481}" name="Column6658"/>
    <tableColumn id="6678" xr3:uid="{E54C60A8-2490-4794-BF7B-E8AEFEC170E1}" name="Column6659"/>
    <tableColumn id="6679" xr3:uid="{454CA31C-75A1-4285-81D2-F7F775AA998C}" name="Column6660"/>
    <tableColumn id="6680" xr3:uid="{62C66957-3CD2-414C-8434-8E5B710CF4C1}" name="Column6661"/>
    <tableColumn id="6681" xr3:uid="{9A7F0D08-1515-4AEC-B28A-7DC3069195C0}" name="Column6662"/>
    <tableColumn id="6682" xr3:uid="{931AD58E-714F-4835-9854-A309FC8674C8}" name="Column6663"/>
    <tableColumn id="6683" xr3:uid="{85369668-FAD8-4E93-87E8-4DBE2CA8D2C8}" name="Column6664"/>
    <tableColumn id="6684" xr3:uid="{240D7E7E-6CC0-4FAA-83E5-291A7F0B3494}" name="Column6665"/>
    <tableColumn id="6685" xr3:uid="{832EFEDF-BB30-4A40-A0C2-77F16FEB5AA9}" name="Column6666"/>
    <tableColumn id="6686" xr3:uid="{196FB3D1-2161-4972-B99A-608713199D28}" name="Column6667"/>
    <tableColumn id="6687" xr3:uid="{08113F78-53CE-45CE-9132-F061F9BAAD07}" name="Column6668"/>
    <tableColumn id="6688" xr3:uid="{EEE04646-9077-42BA-AE2F-90021DF1B0E5}" name="Column6669"/>
    <tableColumn id="6689" xr3:uid="{063B1EAB-DE39-40E5-8C05-7CF4BC372E04}" name="Column6670"/>
    <tableColumn id="6690" xr3:uid="{63A14351-8B23-4894-9B26-66851A6F09D2}" name="Column6671"/>
    <tableColumn id="6691" xr3:uid="{F4FC4B01-FEE2-487D-B3B8-DCDAD02A4EA2}" name="Column6672"/>
    <tableColumn id="6692" xr3:uid="{6F74E567-8D61-4143-8AD8-32849DEACA35}" name="Column6673"/>
    <tableColumn id="6693" xr3:uid="{D08E4344-93CC-4A79-A790-385FA4C6266C}" name="Column6674"/>
    <tableColumn id="6694" xr3:uid="{3E9F35C5-FC50-4AB3-813D-C1DFDB39014C}" name="Column6675"/>
    <tableColumn id="6695" xr3:uid="{945FD2F4-3FFF-453C-8502-D20C5FAB2B39}" name="Column6676"/>
    <tableColumn id="6696" xr3:uid="{077D7C98-5814-465A-9D8B-5BC30092CFD2}" name="Column6677"/>
    <tableColumn id="6697" xr3:uid="{77866F43-B4FD-4C47-8F6D-77A9E49ACEE1}" name="Column6678"/>
    <tableColumn id="6698" xr3:uid="{EF0AA648-DB93-4FFA-BF9D-48693DE86D51}" name="Column6679"/>
    <tableColumn id="6699" xr3:uid="{78D7E286-F758-4C35-88E0-3B46006CBF6D}" name="Column6680"/>
    <tableColumn id="6700" xr3:uid="{3B4BC19A-E645-4866-BD36-21762DCD0B87}" name="Column6681"/>
    <tableColumn id="6701" xr3:uid="{F6500350-5021-4EFC-82B8-158853125363}" name="Column6682"/>
    <tableColumn id="6702" xr3:uid="{77AFF857-7BCA-4D88-BFE4-B8825BDFC18A}" name="Column6683"/>
    <tableColumn id="6703" xr3:uid="{25F5EDAF-2A9D-4134-A84F-E5F7DA8D35BE}" name="Column6684"/>
    <tableColumn id="6704" xr3:uid="{514927E8-521F-45CE-9A02-6A0F237F288B}" name="Column6685"/>
    <tableColumn id="6705" xr3:uid="{B8BBB0F7-C427-4660-A11D-B8CA3370A2F4}" name="Column6686"/>
    <tableColumn id="6706" xr3:uid="{0396A8CD-1321-400B-A375-C385BA4D4605}" name="Column6687"/>
    <tableColumn id="6707" xr3:uid="{10227A17-1042-40C4-9B98-325084A48719}" name="Column6688"/>
    <tableColumn id="6708" xr3:uid="{88ED990F-18F6-42F0-A601-9B27F22C8305}" name="Column6689"/>
    <tableColumn id="6709" xr3:uid="{B43F1F63-F20C-48DF-9BD1-ED2BAC87FC70}" name="Column6690"/>
    <tableColumn id="6710" xr3:uid="{CA64EFC5-7DD0-434C-8C5D-452F1D7F42B9}" name="Column6691"/>
    <tableColumn id="6711" xr3:uid="{85D76346-BC9A-483B-A5C8-3422FB3CEE60}" name="Column6692"/>
    <tableColumn id="6712" xr3:uid="{A389F115-AAD4-487B-A05C-9C35D709EEC1}" name="Column6693"/>
    <tableColumn id="6713" xr3:uid="{697889F7-E00D-4BBF-828B-3C70D84DAEEF}" name="Column6694"/>
    <tableColumn id="6714" xr3:uid="{169DC626-BD09-45DE-98F3-30BA834D0758}" name="Column6695"/>
    <tableColumn id="6715" xr3:uid="{67F23DF7-A518-4C8E-A49E-859746867183}" name="Column6696"/>
    <tableColumn id="6716" xr3:uid="{91BC3670-1646-4B2F-BE17-E0CBB4095470}" name="Column6697"/>
    <tableColumn id="6717" xr3:uid="{A0454B92-0F43-4866-B618-97D4DE9D334F}" name="Column6698"/>
    <tableColumn id="6718" xr3:uid="{91799FAA-A714-4F91-90DA-605B2FFF5118}" name="Column6699"/>
    <tableColumn id="6719" xr3:uid="{868C5308-7CB3-4E59-8D2C-6A3ED50EBA7A}" name="Column6700"/>
    <tableColumn id="6720" xr3:uid="{06772E1D-2916-453C-AB47-F8E84A26307D}" name="Column6701"/>
    <tableColumn id="6721" xr3:uid="{BDB3B6E9-4A45-427E-973A-DA90B0C2F19D}" name="Column6702"/>
    <tableColumn id="6722" xr3:uid="{CA50FD2B-530F-44DC-B23C-9E07B3A2B6F6}" name="Column6703"/>
    <tableColumn id="6723" xr3:uid="{69D41B71-E291-47A0-AC3E-986C0C1C3154}" name="Column6704"/>
    <tableColumn id="6724" xr3:uid="{643491F7-58DE-4A4F-A759-2C5823207EB1}" name="Column6705"/>
    <tableColumn id="6725" xr3:uid="{E23AA4BF-856F-4385-8E3B-F5ED6C1C1D48}" name="Column6706"/>
    <tableColumn id="6726" xr3:uid="{BF4F7F8C-33FE-4B10-9993-7CC1BE240F3E}" name="Column6707"/>
    <tableColumn id="6727" xr3:uid="{A5183A53-D679-4930-A0AD-0A707ECF5F5D}" name="Column6708"/>
    <tableColumn id="6728" xr3:uid="{02094677-133A-483F-8A97-C9EDEA6851F9}" name="Column6709"/>
    <tableColumn id="6729" xr3:uid="{E092B398-95C3-4643-840E-C8AB824EEE26}" name="Column6710"/>
    <tableColumn id="6730" xr3:uid="{E429939E-611A-4457-807A-5B10D6832D59}" name="Column6711"/>
    <tableColumn id="6731" xr3:uid="{FE4490E9-8055-4BBD-8F14-5ED6CF295D3C}" name="Column6712"/>
    <tableColumn id="6732" xr3:uid="{695033FC-349E-4583-91DB-22D7C50CB689}" name="Column6713"/>
    <tableColumn id="6733" xr3:uid="{DB381966-8CE8-467B-9A5C-DA35FEF77740}" name="Column6714"/>
    <tableColumn id="6734" xr3:uid="{70344E16-4F1B-40AD-AD5D-9B7271A55A0E}" name="Column6715"/>
    <tableColumn id="6735" xr3:uid="{6CED2B13-74BB-4381-8909-B18407495094}" name="Column6716"/>
    <tableColumn id="6736" xr3:uid="{2214BA64-BEC8-4E8E-961E-A44840C14D99}" name="Column6717"/>
    <tableColumn id="6737" xr3:uid="{876EEFE5-F8DA-4002-9573-9BAE5C824F42}" name="Column6718"/>
    <tableColumn id="6738" xr3:uid="{07A987F5-EFA4-423D-8AB2-B3F8740393E2}" name="Column6719"/>
    <tableColumn id="6739" xr3:uid="{203E58A6-D647-4F55-A468-C5CE1272ADFD}" name="Column6720"/>
    <tableColumn id="6740" xr3:uid="{D375B3AA-25AA-4C5E-B812-01700C07EBEE}" name="Column6721"/>
    <tableColumn id="6741" xr3:uid="{226C7469-2CC1-4963-BA31-FC6490182178}" name="Column6722"/>
    <tableColumn id="6742" xr3:uid="{8FE9646B-18E1-4066-AEFC-7ED57BA2D755}" name="Column6723"/>
    <tableColumn id="6743" xr3:uid="{1F5B2656-0640-4029-AD0D-38108094A636}" name="Column6724"/>
    <tableColumn id="6744" xr3:uid="{5C9E2923-F293-4DF4-A6FD-3B6A7736E221}" name="Column6725"/>
    <tableColumn id="6745" xr3:uid="{66531F36-A2C1-40FE-A0F5-99A0D88538C5}" name="Column6726"/>
    <tableColumn id="6746" xr3:uid="{A0D78221-FBC7-4A52-9517-2BB08571DC8C}" name="Column6727"/>
    <tableColumn id="6747" xr3:uid="{951D32B4-18F5-49A8-B75E-8C6F2C5F5D7B}" name="Column6728"/>
    <tableColumn id="6748" xr3:uid="{C5BD1BAB-E96A-4E2D-A0DF-132394011092}" name="Column6729"/>
    <tableColumn id="6749" xr3:uid="{5855D8D0-7350-4673-9F9E-33A151848C3C}" name="Column6730"/>
    <tableColumn id="6750" xr3:uid="{B31CDA47-1AA6-42CE-A539-DA019366B30F}" name="Column6731"/>
    <tableColumn id="6751" xr3:uid="{E958EAC1-28A9-4BEA-8653-75D8703AD68B}" name="Column6732"/>
    <tableColumn id="6752" xr3:uid="{CBC86115-D7B7-4B3E-9961-1885969FCF9A}" name="Column6733"/>
    <tableColumn id="6753" xr3:uid="{AE3AA0AF-FF6E-4D1B-A8E6-26C5B9EB3CFB}" name="Column6734"/>
    <tableColumn id="6754" xr3:uid="{1E80118D-E098-4727-8A53-722BC934CE24}" name="Column6735"/>
    <tableColumn id="6755" xr3:uid="{29EF7BC6-2BD2-4510-B85A-3E0CA2EBAFF9}" name="Column6736"/>
    <tableColumn id="6756" xr3:uid="{96A11FCC-72B3-46AB-A282-DC04F3C9F400}" name="Column6737"/>
    <tableColumn id="6757" xr3:uid="{47463CEE-278A-408D-8500-20D8059E121B}" name="Column6738"/>
    <tableColumn id="6758" xr3:uid="{230D71CF-9452-475A-9F7F-B8F78F48E47C}" name="Column6739"/>
    <tableColumn id="6759" xr3:uid="{F359DB83-5D3C-456D-9CE3-CFE49B9B0A42}" name="Column6740"/>
    <tableColumn id="6760" xr3:uid="{7F3F9158-8606-47A2-B1ED-6AAA956EF9D7}" name="Column6741"/>
    <tableColumn id="6761" xr3:uid="{85FB0574-8E00-4F79-91EE-82CFD71BAB7E}" name="Column6742"/>
    <tableColumn id="6762" xr3:uid="{883CCAA8-ED70-4ECF-8B4D-167B509E1928}" name="Column6743"/>
    <tableColumn id="6763" xr3:uid="{6B512BFE-BE8A-4B96-B956-E6DDF4D60117}" name="Column6744"/>
    <tableColumn id="6764" xr3:uid="{0AAF5002-0166-409D-927D-7038DCF9A756}" name="Column6745"/>
    <tableColumn id="6765" xr3:uid="{B02BAD62-A277-4438-A1BB-CBB0E1F07457}" name="Column6746"/>
    <tableColumn id="6766" xr3:uid="{1FB51013-72E5-4040-A510-3B94AFEBBD43}" name="Column6747"/>
    <tableColumn id="6767" xr3:uid="{179A3EA7-203A-4CFC-8A62-F45EA972D96F}" name="Column6748"/>
    <tableColumn id="6768" xr3:uid="{D17D051E-9461-4B51-909C-94EE005CD3A7}" name="Column6749"/>
    <tableColumn id="6769" xr3:uid="{727B160C-5953-4E08-9DF2-BA47074A00AA}" name="Column6750"/>
    <tableColumn id="6770" xr3:uid="{E614A546-178C-4200-B4F0-4DA5EA51E77B}" name="Column6751"/>
    <tableColumn id="6771" xr3:uid="{1559CBA1-74EB-4887-B521-101F31F34FD5}" name="Column6752"/>
    <tableColumn id="6772" xr3:uid="{3FC71652-F0E7-4222-B9AC-7C27311F83AF}" name="Column6753"/>
    <tableColumn id="6773" xr3:uid="{DBB45C04-E7C9-4BC8-A802-179C4D91FAAC}" name="Column6754"/>
    <tableColumn id="6774" xr3:uid="{ACCA41F2-DA8B-41C1-94B5-195BE6F0A667}" name="Column6755"/>
    <tableColumn id="6775" xr3:uid="{D7E1E11A-6F5C-4DD5-BDB3-B34D7E2FC190}" name="Column6756"/>
    <tableColumn id="6776" xr3:uid="{15AF97FF-F453-4C03-9936-F44CE1B20884}" name="Column6757"/>
    <tableColumn id="6777" xr3:uid="{07865734-4F1A-4AC2-A079-BADF4D35C10B}" name="Column6758"/>
    <tableColumn id="6778" xr3:uid="{BE34A2F2-0BD9-4ABD-9537-5B8B35799CC3}" name="Column6759"/>
    <tableColumn id="6779" xr3:uid="{F0632514-3FDA-4A8A-8FD1-0ED59A5C4AD6}" name="Column6760"/>
    <tableColumn id="6780" xr3:uid="{9F58696D-1EFA-4B9B-846C-FB22AF121EF3}" name="Column6761"/>
    <tableColumn id="6781" xr3:uid="{0487B662-AF88-4C17-82EF-CCEDC9A95A29}" name="Column6762"/>
    <tableColumn id="6782" xr3:uid="{75597D4F-07EB-4029-AE67-3BB16BC20C8F}" name="Column6763"/>
    <tableColumn id="6783" xr3:uid="{3E938B37-FF8C-4BE0-AC43-F4FB5AE6BBEF}" name="Column6764"/>
    <tableColumn id="6784" xr3:uid="{2C8E29A4-6EA2-4107-A824-D8BC0CA9B1DA}" name="Column6765"/>
    <tableColumn id="6785" xr3:uid="{DFDFDA50-9890-4D68-932D-451AE5F0DF5B}" name="Column6766"/>
    <tableColumn id="6786" xr3:uid="{7257CE01-5F37-47DB-90EF-AC6DE121A800}" name="Column6767"/>
    <tableColumn id="6787" xr3:uid="{195258B9-4FA0-4297-9E8C-3FAFDCA88D2E}" name="Column6768"/>
    <tableColumn id="6788" xr3:uid="{CDB7971F-B35F-4B31-88CC-BA8A460EA9BF}" name="Column6769"/>
    <tableColumn id="6789" xr3:uid="{B503C81E-CE21-4A72-8D58-65E215146F31}" name="Column6770"/>
    <tableColumn id="6790" xr3:uid="{0D70E3F8-A142-4A19-B1FC-6CFF56C2BC89}" name="Column6771"/>
    <tableColumn id="6791" xr3:uid="{96301DA2-55F7-4D59-9C32-C59F71F067DF}" name="Column6772"/>
    <tableColumn id="6792" xr3:uid="{210E77A4-0EB8-452D-8320-C7F4FD5F8D62}" name="Column6773"/>
    <tableColumn id="6793" xr3:uid="{868A6A35-F57D-44F9-81E5-8060C6A5FA8B}" name="Column6774"/>
    <tableColumn id="6794" xr3:uid="{28415EF6-BA57-4762-AD85-B0B6386EF106}" name="Column6775"/>
    <tableColumn id="6795" xr3:uid="{76070300-6717-46C6-B724-1176ED426F76}" name="Column6776"/>
    <tableColumn id="6796" xr3:uid="{8593FE37-855A-4FB5-B0D1-721968D0D5D5}" name="Column6777"/>
    <tableColumn id="6797" xr3:uid="{2DCD0258-F55C-4FBB-94AB-79ACFC1E148F}" name="Column6778"/>
    <tableColumn id="6798" xr3:uid="{9ACC7DBB-9CA8-41CF-BEA4-D2CC5AAD190D}" name="Column6779"/>
    <tableColumn id="6799" xr3:uid="{0E0996FF-EB7F-4D7B-ADF8-49C56AEEB9FE}" name="Column6780"/>
    <tableColumn id="6800" xr3:uid="{91BB4796-1920-4452-9844-C81D3DA427D0}" name="Column6781"/>
    <tableColumn id="6801" xr3:uid="{E884453F-1611-4E1E-98C2-DFC70A9702C1}" name="Column6782"/>
    <tableColumn id="6802" xr3:uid="{715A108D-4794-4364-ADCF-23B41D07B35A}" name="Column6783"/>
    <tableColumn id="6803" xr3:uid="{99A7093D-BAB1-402F-AE0F-6A119BF091E6}" name="Column6784"/>
    <tableColumn id="6804" xr3:uid="{AA3D71E7-2F4F-4207-ABD4-B66A2979DDE0}" name="Column6785"/>
    <tableColumn id="6805" xr3:uid="{809E0F7B-8062-48F2-8A26-ABB7AD417578}" name="Column6786"/>
    <tableColumn id="6806" xr3:uid="{C06B51F4-2E1D-4C23-941C-65742EBF9ABB}" name="Column6787"/>
    <tableColumn id="6807" xr3:uid="{706FE72D-6749-48C3-8873-AEA6528AC55C}" name="Column6788"/>
    <tableColumn id="6808" xr3:uid="{D53AAEE9-7A95-40A3-BE56-73948EA85D7A}" name="Column6789"/>
    <tableColumn id="6809" xr3:uid="{E06307A9-97E3-4AC4-8B53-5EF285429111}" name="Column6790"/>
    <tableColumn id="6810" xr3:uid="{EDF347F6-76E6-410A-98CA-C0021EBDBDA4}" name="Column6791"/>
    <tableColumn id="6811" xr3:uid="{5A0B302B-BD86-4B18-9A63-0655A2B9C0CC}" name="Column6792"/>
    <tableColumn id="6812" xr3:uid="{7CB844C9-EA09-4C3A-8786-50B12021453D}" name="Column6793"/>
    <tableColumn id="6813" xr3:uid="{75C56F05-3D30-4BF8-ACE2-868EA3BAF290}" name="Column6794"/>
    <tableColumn id="6814" xr3:uid="{124CDD4D-3EE6-4F2E-B285-2FD451C8721C}" name="Column6795"/>
    <tableColumn id="6815" xr3:uid="{9EA56AFF-D9B3-4A98-8286-86DBDE78A53A}" name="Column6796"/>
    <tableColumn id="6816" xr3:uid="{77CA927D-B65E-4240-97FC-07DFDEC7AAEB}" name="Column6797"/>
    <tableColumn id="6817" xr3:uid="{D07A8F83-6E44-4287-9EB6-B412637C3B0F}" name="Column6798"/>
    <tableColumn id="6818" xr3:uid="{398B2E92-C1B1-4D7C-960F-52EB29CB9F7F}" name="Column6799"/>
    <tableColumn id="6819" xr3:uid="{3205F2B9-A9A0-40A3-B43E-AD928D3EC8F4}" name="Column6800"/>
    <tableColumn id="6820" xr3:uid="{15B4FFBF-F777-4173-9513-82D2D875FC09}" name="Column6801"/>
    <tableColumn id="6821" xr3:uid="{7523D07C-9214-4EF6-BCE5-3274E9428F01}" name="Column6802"/>
    <tableColumn id="6822" xr3:uid="{AF5E08AC-5914-4EAD-A517-2F7B4F4542BE}" name="Column6803"/>
    <tableColumn id="6823" xr3:uid="{E219ACA3-AA4A-45E2-99BE-A4A79C75DD47}" name="Column6804"/>
    <tableColumn id="6824" xr3:uid="{CB6B5C66-2DB4-42EA-A5DA-2A5CDD7FCB9F}" name="Column6805"/>
    <tableColumn id="6825" xr3:uid="{A832BCB0-A85E-4029-BD6C-BA4892E10D09}" name="Column6806"/>
    <tableColumn id="6826" xr3:uid="{D9F89D73-72E5-4716-AEEA-B726937642F4}" name="Column6807"/>
    <tableColumn id="6827" xr3:uid="{03E38DD3-3F73-430F-90EE-E9A8C1DDFAA0}" name="Column6808"/>
    <tableColumn id="6828" xr3:uid="{34CBF7BE-81F8-4EA9-B121-4B30BEE43518}" name="Column6809"/>
    <tableColumn id="6829" xr3:uid="{4A956FCD-5518-48D8-9F5E-5E7F539809F9}" name="Column6810"/>
    <tableColumn id="6830" xr3:uid="{EB7BD746-1D1E-4E52-99BF-E658607A1D55}" name="Column6811"/>
    <tableColumn id="6831" xr3:uid="{F1D1402F-DCDE-488A-99B7-9AB0227164EB}" name="Column6812"/>
    <tableColumn id="6832" xr3:uid="{5808DF9E-A182-4D99-BEC1-CAB71327B561}" name="Column6813"/>
    <tableColumn id="6833" xr3:uid="{368AC19E-2DCB-4C68-9AF9-41BBB29DBBA9}" name="Column6814"/>
    <tableColumn id="6834" xr3:uid="{CB1DAACD-197A-432B-A47A-A80344206A0B}" name="Column6815"/>
    <tableColumn id="6835" xr3:uid="{3F51C673-DE06-4C6E-8DD7-A4BBAE39CD2B}" name="Column6816"/>
    <tableColumn id="6836" xr3:uid="{D8EDF4DB-872F-4431-90CB-9E299368B49C}" name="Column6817"/>
    <tableColumn id="6837" xr3:uid="{0E98AE5B-7E99-4649-98F8-94C3B1321C65}" name="Column6818"/>
    <tableColumn id="6838" xr3:uid="{21A79BAA-9530-422B-BE4B-ED350F3504B9}" name="Column6819"/>
    <tableColumn id="6839" xr3:uid="{05EC22F4-3E21-4D73-9CC4-E32E3B5CBD3D}" name="Column6820"/>
    <tableColumn id="6840" xr3:uid="{6425E77B-A289-442C-AA36-302CADEC575D}" name="Column6821"/>
    <tableColumn id="6841" xr3:uid="{A3BCA926-0977-4D4E-BAD2-24E12FB896B2}" name="Column6822"/>
    <tableColumn id="6842" xr3:uid="{E4D5D138-CDAE-410A-9797-48702F29AE41}" name="Column6823"/>
    <tableColumn id="6843" xr3:uid="{887F2CE1-F7CD-4BED-AE72-6BBBAC869621}" name="Column6824"/>
    <tableColumn id="6844" xr3:uid="{79E1B24D-8C2A-4ED2-AB8A-C6366180BD74}" name="Column6825"/>
    <tableColumn id="6845" xr3:uid="{6CEC5BDA-ABA2-4C35-81D8-42EB7FF87D59}" name="Column6826"/>
    <tableColumn id="6846" xr3:uid="{4C00BBC9-C322-4EFC-A94C-A30262E923C2}" name="Column6827"/>
    <tableColumn id="6847" xr3:uid="{C3486C8C-78BB-45A8-99AE-14889237DCBD}" name="Column6828"/>
    <tableColumn id="6848" xr3:uid="{52BC40B5-4CB8-411F-91E3-94134658228F}" name="Column6829"/>
    <tableColumn id="6849" xr3:uid="{F2410B49-FC4A-4CB1-963A-A70CC4698A89}" name="Column6830"/>
    <tableColumn id="6850" xr3:uid="{D5077F06-95A9-4F0A-9F46-05E4B12EC76B}" name="Column6831"/>
    <tableColumn id="6851" xr3:uid="{DB9F557F-3388-4F86-A947-1C37E4A266D9}" name="Column6832"/>
    <tableColumn id="6852" xr3:uid="{7D6AFE14-D88D-4505-A9DF-B461DBF28F28}" name="Column6833"/>
    <tableColumn id="6853" xr3:uid="{86630B56-5988-426C-8BF9-30B025528948}" name="Column6834"/>
    <tableColumn id="6854" xr3:uid="{2FA6426C-5756-4CD1-A3E8-C7DF72DA1205}" name="Column6835"/>
    <tableColumn id="6855" xr3:uid="{D05C8EA8-6916-48DC-881D-9B5C7C7E9FC6}" name="Column6836"/>
    <tableColumn id="6856" xr3:uid="{07DEE91E-077C-43CC-8F3B-174120C17360}" name="Column6837"/>
    <tableColumn id="6857" xr3:uid="{2E9BDCB0-3A4D-4F0A-A71C-CF3DBCB8D2B8}" name="Column6838"/>
    <tableColumn id="6858" xr3:uid="{20A9F27D-1DF9-401B-9475-45B807C8A46E}" name="Column6839"/>
    <tableColumn id="6859" xr3:uid="{FDAB026F-BB75-4F2C-983C-2BC3DF185166}" name="Column6840"/>
    <tableColumn id="6860" xr3:uid="{1775E1E0-8362-4C84-B115-34708CE1D7E1}" name="Column6841"/>
    <tableColumn id="6861" xr3:uid="{5AA48BD7-62F9-463A-AFA4-5D70E351E594}" name="Column6842"/>
    <tableColumn id="6862" xr3:uid="{15611E31-8EA9-49BF-928B-C1DE7A7FFD93}" name="Column6843"/>
    <tableColumn id="6863" xr3:uid="{B0C80190-DD0C-4C33-8986-ECC553AFF568}" name="Column6844"/>
    <tableColumn id="6864" xr3:uid="{149279AE-2DF0-4CBF-AEBB-15F5C81EF0A2}" name="Column6845"/>
    <tableColumn id="6865" xr3:uid="{10FD2E7A-089D-4021-B81F-7B4A99EDBC0B}" name="Column6846"/>
    <tableColumn id="6866" xr3:uid="{526B67F9-C2CE-4CFA-A244-03633DC87861}" name="Column6847"/>
    <tableColumn id="6867" xr3:uid="{34D5DEAE-FDA1-4739-9D7F-0D860814306D}" name="Column6848"/>
    <tableColumn id="6868" xr3:uid="{9AB13569-5242-4044-88EC-0700DA677C80}" name="Column6849"/>
    <tableColumn id="6869" xr3:uid="{3C00C7C4-EE1B-49F5-B7B4-5AEA1998DBC0}" name="Column6850"/>
    <tableColumn id="6870" xr3:uid="{1A0ED310-A776-4FD4-9FC9-085E4777A7D8}" name="Column6851"/>
    <tableColumn id="6871" xr3:uid="{04F05C5E-2753-4985-B473-A3BF937C4E86}" name="Column6852"/>
    <tableColumn id="6872" xr3:uid="{ACA76F6F-01EC-41E6-9023-0CFDF30485DC}" name="Column6853"/>
    <tableColumn id="6873" xr3:uid="{C37E6787-7871-4D48-9C9F-458E169EA2B0}" name="Column6854"/>
    <tableColumn id="6874" xr3:uid="{E3446F9C-CD8A-4320-B6E1-0404A87A12B5}" name="Column6855"/>
    <tableColumn id="6875" xr3:uid="{C9EA209A-BD96-45EC-894B-599F94CED006}" name="Column6856"/>
    <tableColumn id="6876" xr3:uid="{E02CB659-3620-4A9B-AD38-8B4E77664AD1}" name="Column6857"/>
    <tableColumn id="6877" xr3:uid="{0F52F0CF-3CBB-4D73-B7F7-35CEE5E215A2}" name="Column6858"/>
    <tableColumn id="6878" xr3:uid="{4B781C9F-84A1-4D3F-A472-A7CD713A1A9E}" name="Column6859"/>
    <tableColumn id="6879" xr3:uid="{53851C91-1820-4A05-BCD5-2E2AD1C5BBCC}" name="Column6860"/>
    <tableColumn id="6880" xr3:uid="{36980D32-131B-4355-9A23-53DDBBD00C3C}" name="Column6861"/>
    <tableColumn id="6881" xr3:uid="{50833BDF-2BE4-4A40-BA89-243C9A653C8F}" name="Column6862"/>
    <tableColumn id="6882" xr3:uid="{65636ADB-1193-4ACB-A9FC-07BB6335F6A0}" name="Column6863"/>
    <tableColumn id="6883" xr3:uid="{4EED2EF1-C4F8-468E-AF1B-01BE689775C5}" name="Column6864"/>
    <tableColumn id="6884" xr3:uid="{78656A35-66BA-4C93-AE2F-E055C56ADB7A}" name="Column6865"/>
    <tableColumn id="6885" xr3:uid="{F9404381-F43F-499F-B87C-D348F99D71A9}" name="Column6866"/>
    <tableColumn id="6886" xr3:uid="{265A9410-5EAA-4816-B5DB-7569275F3C0F}" name="Column6867"/>
    <tableColumn id="6887" xr3:uid="{EC4FB5AF-AFA4-4549-9D9C-4416E7434D10}" name="Column6868"/>
    <tableColumn id="6888" xr3:uid="{C685CFEC-1FD0-46B2-8F8E-45C76D30736C}" name="Column6869"/>
    <tableColumn id="6889" xr3:uid="{A2F2EBEB-57F9-4187-AC0F-8F53DF326BC6}" name="Column6870"/>
    <tableColumn id="6890" xr3:uid="{45EEE770-B8D5-42CC-8F3A-71FFA6C5D305}" name="Column6871"/>
    <tableColumn id="6891" xr3:uid="{23BC7910-9B9E-4757-A3FF-6D778AE47ECA}" name="Column6872"/>
    <tableColumn id="6892" xr3:uid="{BE1AB604-E828-4352-BAE3-374535BDB835}" name="Column6873"/>
    <tableColumn id="6893" xr3:uid="{8B9AC9CA-2319-4428-802B-CB6B253F4A7C}" name="Column6874"/>
    <tableColumn id="6894" xr3:uid="{4262F044-5BC0-4416-A7D9-8085C2DD51C7}" name="Column6875"/>
    <tableColumn id="6895" xr3:uid="{A58E88D9-3A98-4570-A5F2-9CE8E053CFD1}" name="Column6876"/>
    <tableColumn id="6896" xr3:uid="{BE685F1B-C343-4490-85A4-729425AE11FD}" name="Column6877"/>
    <tableColumn id="6897" xr3:uid="{04D05187-C6C0-4EA1-BA6E-35A515687295}" name="Column6878"/>
    <tableColumn id="6898" xr3:uid="{2CCF8340-2790-475B-A4D3-FD64EEBD031C}" name="Column6879"/>
    <tableColumn id="6899" xr3:uid="{19CE6C46-C860-4FEC-87F4-DCE7BF79645B}" name="Column6880"/>
    <tableColumn id="6900" xr3:uid="{01E5DBD9-AD28-458F-988A-053AE7DB8B0F}" name="Column6881"/>
    <tableColumn id="6901" xr3:uid="{BCC36E13-6820-437B-94AF-8BEAC5CB0689}" name="Column6882"/>
    <tableColumn id="6902" xr3:uid="{C5DC29B4-F598-435C-907E-D784E538827D}" name="Column6883"/>
    <tableColumn id="6903" xr3:uid="{88FBC068-BE90-45A2-92FB-D3C1419B78D3}" name="Column6884"/>
    <tableColumn id="6904" xr3:uid="{74E2D0AD-9C66-437C-8DDA-65C1570D657B}" name="Column6885"/>
    <tableColumn id="6905" xr3:uid="{9F1DB8D3-41B8-42A9-8329-79543F075078}" name="Column6886"/>
    <tableColumn id="6906" xr3:uid="{20B7A3DF-2AC2-4EC3-83D0-5A0180047A09}" name="Column6887"/>
    <tableColumn id="6907" xr3:uid="{2E888816-9827-4D5E-ACE6-BF992848572A}" name="Column6888"/>
    <tableColumn id="6908" xr3:uid="{CBEDA6C1-19B9-4A74-BDD5-0832D490C870}" name="Column6889"/>
    <tableColumn id="6909" xr3:uid="{29776DC7-FF6A-440F-97C5-AD3C18A13122}" name="Column6890"/>
    <tableColumn id="6910" xr3:uid="{01C73D07-4E4A-4B70-B0A6-A3F513ABFFF5}" name="Column6891"/>
    <tableColumn id="6911" xr3:uid="{68580D33-AA1A-4FB8-82CB-6749F8245C28}" name="Column6892"/>
    <tableColumn id="6912" xr3:uid="{27D677E2-740F-467D-85C2-9CFBA38600E6}" name="Column6893"/>
    <tableColumn id="6913" xr3:uid="{A5CFD54F-FF62-4EEF-BA6F-F403E90396D1}" name="Column6894"/>
    <tableColumn id="6914" xr3:uid="{2EE9A92D-CE48-4372-9DDC-DB87F4EA77E3}" name="Column6895"/>
    <tableColumn id="6915" xr3:uid="{D6BE7D19-57B6-4AC4-A116-DBBB55217C7A}" name="Column6896"/>
    <tableColumn id="6916" xr3:uid="{75DDEB40-4CC9-447A-AB9F-452D6DE60574}" name="Column6897"/>
    <tableColumn id="6917" xr3:uid="{A0F245F1-6194-41FA-BBC1-8BA0BA16FFE9}" name="Column6898"/>
    <tableColumn id="6918" xr3:uid="{CE378EC5-E7CD-45AA-B18C-43184FDA8F67}" name="Column6899"/>
    <tableColumn id="6919" xr3:uid="{5D1D9438-5A54-4F5D-B136-107C5E0A3955}" name="Column6900"/>
    <tableColumn id="6920" xr3:uid="{6E284F2F-D6ED-4894-8047-2F1D6EA30B02}" name="Column6901"/>
    <tableColumn id="6921" xr3:uid="{B62AB32A-D8E0-4A36-94E7-7C5A0DAC2F48}" name="Column6902"/>
    <tableColumn id="6922" xr3:uid="{679F37B1-C5D2-40E7-AD87-B0330C30BD8B}" name="Column6903"/>
    <tableColumn id="6923" xr3:uid="{7E1F0C98-9048-44A5-A6CE-14AD9B88A694}" name="Column6904"/>
    <tableColumn id="6924" xr3:uid="{1D0E8883-0E88-4BC5-B1AE-06552FF32BDE}" name="Column6905"/>
    <tableColumn id="6925" xr3:uid="{BD2546CA-E82A-41D8-969A-C4C7352260FB}" name="Column6906"/>
    <tableColumn id="6926" xr3:uid="{B0F18665-BB99-4691-84E2-651D3115E1D8}" name="Column6907"/>
    <tableColumn id="6927" xr3:uid="{D2583F98-35FD-4F20-B9D5-DEF9A78DC62B}" name="Column6908"/>
    <tableColumn id="6928" xr3:uid="{5F97E675-18E5-4CDD-B929-D1F736A7C42E}" name="Column6909"/>
    <tableColumn id="6929" xr3:uid="{615882A0-EC09-4EC5-BCCA-DED503F45019}" name="Column6910"/>
    <tableColumn id="6930" xr3:uid="{A4A37636-A499-4C95-9FE3-47080F879CF8}" name="Column6911"/>
    <tableColumn id="6931" xr3:uid="{9DB58170-F99D-41B4-99B9-192F32B54107}" name="Column6912"/>
    <tableColumn id="6932" xr3:uid="{3D721B4F-2237-4226-924C-3CA6D8D581F4}" name="Column6913"/>
    <tableColumn id="6933" xr3:uid="{94E66D56-98C1-453A-BED2-472625AE1993}" name="Column6914"/>
    <tableColumn id="6934" xr3:uid="{45B83DAB-A5B0-49C7-AF5F-6AD9C483D29E}" name="Column6915"/>
    <tableColumn id="6935" xr3:uid="{A44F0165-5517-4F07-A9FD-BFE878BEE4FC}" name="Column6916"/>
    <tableColumn id="6936" xr3:uid="{3D76797B-13F7-4952-8FDE-E696B1F56E91}" name="Column6917"/>
    <tableColumn id="6937" xr3:uid="{AA8D56A9-1A58-469A-9BF1-951FEA09F7B3}" name="Column6918"/>
    <tableColumn id="6938" xr3:uid="{1A754592-F614-4564-B202-0D7F570D960C}" name="Column6919"/>
    <tableColumn id="6939" xr3:uid="{1F948FD7-BE0E-420A-9479-2BCD0B5DD3EC}" name="Column6920"/>
    <tableColumn id="6940" xr3:uid="{E781099F-CF34-4C9B-AD93-ADA04DE45E52}" name="Column6921"/>
    <tableColumn id="6941" xr3:uid="{FC9D1777-BA9B-420D-9A53-C7E02F2596ED}" name="Column6922"/>
    <tableColumn id="6942" xr3:uid="{5C1C711E-DD0E-4235-9BBE-BBD19BFA6D35}" name="Column6923"/>
    <tableColumn id="6943" xr3:uid="{CF5925D8-60FA-4F68-8A0D-53557E9505CD}" name="Column6924"/>
    <tableColumn id="6944" xr3:uid="{7B6708F3-EC2C-4035-958D-B4A37C19567C}" name="Column6925"/>
    <tableColumn id="6945" xr3:uid="{FBBC18F8-8458-4706-B36B-0DA861794674}" name="Column6926"/>
    <tableColumn id="6946" xr3:uid="{0D579362-5F0A-46D5-9070-276F44306CB3}" name="Column6927"/>
    <tableColumn id="6947" xr3:uid="{498427B0-23C5-43D4-B848-C2195554B868}" name="Column6928"/>
    <tableColumn id="6948" xr3:uid="{CB000E58-0FC9-4BE7-90AF-695752809602}" name="Column6929"/>
    <tableColumn id="6949" xr3:uid="{317F3D27-BAE6-4B1A-ABEC-7565A806A8C1}" name="Column6930"/>
    <tableColumn id="6950" xr3:uid="{A4F84DF9-AB1B-478A-917E-8157DB9750AE}" name="Column6931"/>
    <tableColumn id="6951" xr3:uid="{F31D839B-836D-4C01-93BD-21E52CB6A967}" name="Column6932"/>
    <tableColumn id="6952" xr3:uid="{E2676F38-F6B1-4582-91E0-4E217F1C7377}" name="Column6933"/>
    <tableColumn id="6953" xr3:uid="{2D0C4716-3AF6-458E-B8BF-D7B4A780A580}" name="Column6934"/>
    <tableColumn id="6954" xr3:uid="{667545EC-B089-4A77-AACC-56D762A45D96}" name="Column6935"/>
    <tableColumn id="6955" xr3:uid="{6A38B532-C546-4ACF-9545-7CF0D84FC257}" name="Column6936"/>
    <tableColumn id="6956" xr3:uid="{47D62677-7E96-4DF1-8418-9A409C426E5B}" name="Column6937"/>
    <tableColumn id="6957" xr3:uid="{64AE88E8-CF95-4E75-ADD5-64C896F4875D}" name="Column6938"/>
    <tableColumn id="6958" xr3:uid="{6A384575-4BF3-43BB-B41C-B10286A40729}" name="Column6939"/>
    <tableColumn id="6959" xr3:uid="{5F7227ED-959A-4BE1-A764-F8DE063BD19B}" name="Column6940"/>
    <tableColumn id="6960" xr3:uid="{DD51D488-3C5D-48BF-858B-ABE13B159DBF}" name="Column6941"/>
    <tableColumn id="6961" xr3:uid="{FE66536A-BA1F-46DC-ACDD-9B34C5C08088}" name="Column6942"/>
    <tableColumn id="6962" xr3:uid="{E6B543F9-D8CC-4849-9D2A-820A23FD9034}" name="Column6943"/>
    <tableColumn id="6963" xr3:uid="{728D85B9-40B6-4CFF-B5A6-384B867EC3E4}" name="Column6944"/>
    <tableColumn id="6964" xr3:uid="{3391A373-E209-4AEB-88C1-4C3D3520B124}" name="Column6945"/>
    <tableColumn id="6965" xr3:uid="{54F853E8-8007-4750-97D3-688DBD4A9ADB}" name="Column6946"/>
    <tableColumn id="6966" xr3:uid="{ADE5091E-7069-488A-BAF9-C03712C4DC2C}" name="Column6947"/>
    <tableColumn id="6967" xr3:uid="{E2754D4F-D6F7-4237-821D-9C23E57AFBDF}" name="Column6948"/>
    <tableColumn id="6968" xr3:uid="{73CC79FB-9808-4F54-AB11-0C26EB615A17}" name="Column6949"/>
    <tableColumn id="6969" xr3:uid="{99A62B9A-89F6-4F2B-935B-E38E82545A1E}" name="Column6950"/>
    <tableColumn id="6970" xr3:uid="{D6360DBD-36EE-4533-95FE-5ED4F6B735CE}" name="Column6951"/>
    <tableColumn id="6971" xr3:uid="{3E90E6C6-8EC4-4897-8BD6-18E520A424C9}" name="Column6952"/>
    <tableColumn id="6972" xr3:uid="{9670697A-44B0-4212-BA76-BC93C92C8EBE}" name="Column6953"/>
    <tableColumn id="6973" xr3:uid="{C7AF9185-9D51-41BB-BEA6-74E1C15C98E1}" name="Column6954"/>
    <tableColumn id="6974" xr3:uid="{0E2D6AC2-D96E-47E3-9A6E-178D201DE295}" name="Column6955"/>
    <tableColumn id="6975" xr3:uid="{0D5D9236-1034-4B5B-985C-C1F8D742D3B6}" name="Column6956"/>
    <tableColumn id="6976" xr3:uid="{D14AFAB6-D0A8-40FD-81C0-4B4380D8B45A}" name="Column6957"/>
    <tableColumn id="6977" xr3:uid="{24D01B22-5398-43CE-B5BC-800955D58669}" name="Column6958"/>
    <tableColumn id="6978" xr3:uid="{05E604D5-986F-4849-A5FE-DC84BD61C7BE}" name="Column6959"/>
    <tableColumn id="6979" xr3:uid="{E65BE2B4-8A51-48D7-A1B5-68428F90EA7B}" name="Column6960"/>
    <tableColumn id="6980" xr3:uid="{B815BDCB-EEAB-4EE5-A697-7719937CD6C4}" name="Column6961"/>
    <tableColumn id="6981" xr3:uid="{8514FCF0-5BA3-41D5-BA73-B71CF5787183}" name="Column6962"/>
    <tableColumn id="6982" xr3:uid="{899657D1-2848-459F-B415-B72E09EB7EB0}" name="Column6963"/>
    <tableColumn id="6983" xr3:uid="{7467D533-6503-4D93-9BBC-CA6F153064FD}" name="Column6964"/>
    <tableColumn id="6984" xr3:uid="{C76BF913-0F1F-4ADE-8CA4-6552C8F66C16}" name="Column6965"/>
    <tableColumn id="6985" xr3:uid="{25A2C3CC-4719-4B81-9A84-D89C617427DF}" name="Column6966"/>
    <tableColumn id="6986" xr3:uid="{543CF64A-8B81-4FAD-9B00-36157A69D210}" name="Column6967"/>
    <tableColumn id="6987" xr3:uid="{D351CA1D-F6A2-4A1D-AFC8-4129D1C34F62}" name="Column6968"/>
    <tableColumn id="6988" xr3:uid="{3EA741E3-AA23-4317-A01A-BC4804FEBE9C}" name="Column6969"/>
    <tableColumn id="6989" xr3:uid="{1490F7CD-0714-4EAA-86B0-892D43352F54}" name="Column6970"/>
    <tableColumn id="6990" xr3:uid="{39EB5508-AFFD-4DD9-8746-E3F7259A97A6}" name="Column6971"/>
    <tableColumn id="6991" xr3:uid="{69E0B55B-7ABE-4AFF-8EC0-557DA249C2A5}" name="Column6972"/>
    <tableColumn id="6992" xr3:uid="{E5A4AF48-6406-4086-ACC4-E469965C9F4D}" name="Column6973"/>
    <tableColumn id="6993" xr3:uid="{7BB3D788-4C95-45F6-9CE7-BB74AB4E19E8}" name="Column6974"/>
    <tableColumn id="6994" xr3:uid="{70E3B4E9-A35E-4861-A257-158FBB9D9364}" name="Column6975"/>
    <tableColumn id="6995" xr3:uid="{7270B3F4-F6FB-4B28-892F-ECCBC99CE047}" name="Column6976"/>
    <tableColumn id="6996" xr3:uid="{1584EA94-DE22-4B6D-8382-070102C7CB46}" name="Column6977"/>
    <tableColumn id="6997" xr3:uid="{9FA9181E-BE48-497B-9C3B-21E05CCD59B9}" name="Column6978"/>
    <tableColumn id="6998" xr3:uid="{C5638129-DA0D-4E75-AC30-7F0F736CD92C}" name="Column6979"/>
    <tableColumn id="6999" xr3:uid="{645A0964-22CA-47AE-84F0-92A91DD05B32}" name="Column6980"/>
    <tableColumn id="7000" xr3:uid="{50D1D2ED-CD8E-4BF6-92F5-87CC2F09F45E}" name="Column6981"/>
    <tableColumn id="7001" xr3:uid="{F5451FB1-A4BE-43DB-BF0C-680106F3685D}" name="Column6982"/>
    <tableColumn id="7002" xr3:uid="{3D1CF5E4-299F-4513-B227-54697911A1BE}" name="Column6983"/>
    <tableColumn id="7003" xr3:uid="{ADFD6274-2350-4FCE-BDEB-F60192430B1B}" name="Column6984"/>
    <tableColumn id="7004" xr3:uid="{B4FB29D8-18D6-4311-A529-F48A8880EA95}" name="Column6985"/>
    <tableColumn id="7005" xr3:uid="{1322893F-E323-42AC-B34F-9C4B1CD341C9}" name="Column6986"/>
    <tableColumn id="7006" xr3:uid="{DFA5396B-617F-4349-AE94-490B4335A86B}" name="Column6987"/>
    <tableColumn id="7007" xr3:uid="{23F9ED6C-70ED-4E50-BE93-C6C913C9C52B}" name="Column6988"/>
    <tableColumn id="7008" xr3:uid="{A01D27D2-FEF9-4EB7-85EE-97B7017B7863}" name="Column6989"/>
    <tableColumn id="7009" xr3:uid="{DA5CC723-4039-4933-9D60-17E224C16E63}" name="Column6990"/>
    <tableColumn id="7010" xr3:uid="{342D2447-AB8E-48D8-B293-8BE66E68C79A}" name="Column6991"/>
    <tableColumn id="7011" xr3:uid="{751EEB6B-1B90-4684-8DD2-85D4F3231D9F}" name="Column6992"/>
    <tableColumn id="7012" xr3:uid="{10B39AA8-9B2A-4997-A497-1A86E72DF34B}" name="Column6993"/>
    <tableColumn id="7013" xr3:uid="{B3EADA8C-96BB-4B87-9BC0-C37A19B4817A}" name="Column6994"/>
    <tableColumn id="7014" xr3:uid="{444531B1-A0BF-442E-9CF5-DA401C32C0FF}" name="Column6995"/>
    <tableColumn id="7015" xr3:uid="{05898F70-9BB5-4B41-8598-77AE9261F7F5}" name="Column6996"/>
    <tableColumn id="7016" xr3:uid="{6C001303-7CD7-4BB2-B0BD-6967B4B6EFCA}" name="Column6997"/>
    <tableColumn id="7017" xr3:uid="{1F946E63-6876-4681-94E3-D4487F7D8FBA}" name="Column6998"/>
    <tableColumn id="7018" xr3:uid="{008CAED6-623B-4FD5-94F1-A8E66630F2C4}" name="Column6999"/>
    <tableColumn id="7019" xr3:uid="{0D9105D7-EA57-48B4-826F-2CA7A614F100}" name="Column7000"/>
    <tableColumn id="7020" xr3:uid="{3477D66C-D3ED-4C74-826D-57DAFFD35365}" name="Column7001"/>
    <tableColumn id="7021" xr3:uid="{EA8B443C-55D7-45A6-821D-54F7895F9AD3}" name="Column7002"/>
    <tableColumn id="7022" xr3:uid="{7C1DA7E6-5433-472C-BC82-8403784F6040}" name="Column7003"/>
    <tableColumn id="7023" xr3:uid="{BAB5B409-9FDC-436F-9D84-8E242619FA8F}" name="Column7004"/>
    <tableColumn id="7024" xr3:uid="{84F3CF00-EC81-4DF1-A212-223F7741931E}" name="Column7005"/>
    <tableColumn id="7025" xr3:uid="{A9D199CF-A107-429B-AF7B-539AE6060907}" name="Column7006"/>
    <tableColumn id="7026" xr3:uid="{0B1DE3EE-97F4-4179-9281-1AA14AB67C47}" name="Column7007"/>
    <tableColumn id="7027" xr3:uid="{BD6EED3F-5490-4ECB-AECF-86D58ECB08A7}" name="Column7008"/>
    <tableColumn id="7028" xr3:uid="{7437EBFC-6632-41CC-AAB7-A962649A691B}" name="Column7009"/>
    <tableColumn id="7029" xr3:uid="{1A358AAC-AC2B-4EA3-88B4-B9B1813510FE}" name="Column7010"/>
    <tableColumn id="7030" xr3:uid="{7313C34F-9C48-4913-A7E1-E9C116FBC196}" name="Column7011"/>
    <tableColumn id="7031" xr3:uid="{41059AF8-0AA8-4D24-8A92-0DC29CB0ED97}" name="Column7012"/>
    <tableColumn id="7032" xr3:uid="{28E49992-3CA2-42D7-97B4-CF1B50C79EE8}" name="Column7013"/>
    <tableColumn id="7033" xr3:uid="{018AAA00-0FAA-4776-BC8C-ACEEEA61C270}" name="Column7014"/>
    <tableColumn id="7034" xr3:uid="{CD413D67-77C8-4513-8DEF-1B462FE7720C}" name="Column7015"/>
    <tableColumn id="7035" xr3:uid="{C29E91D4-D0E1-4F29-A110-8A9FEE4B5501}" name="Column7016"/>
    <tableColumn id="7036" xr3:uid="{4976F32A-E546-45D7-B9F6-D6684F983B69}" name="Column7017"/>
    <tableColumn id="7037" xr3:uid="{98F94296-0455-4E7B-8C51-86646194B4D4}" name="Column7018"/>
    <tableColumn id="7038" xr3:uid="{9872BA0B-E893-4A7B-B21A-AD2AE50CA763}" name="Column7019"/>
    <tableColumn id="7039" xr3:uid="{7FAF888F-9653-4D7D-A723-948259ADF205}" name="Column7020"/>
    <tableColumn id="7040" xr3:uid="{3EFD317A-8789-4D03-AEA8-5295209600E7}" name="Column7021"/>
    <tableColumn id="7041" xr3:uid="{C9603FEE-05AF-4EC7-819B-B46C2FDD8283}" name="Column7022"/>
    <tableColumn id="7042" xr3:uid="{CF247BB4-E1F0-49FE-83C5-525C8103310E}" name="Column7023"/>
    <tableColumn id="7043" xr3:uid="{F9A5A304-E3DF-4DAB-898C-BC559FFAC177}" name="Column7024"/>
    <tableColumn id="7044" xr3:uid="{899C2E63-C24A-491C-840C-6D1DC48E99C9}" name="Column7025"/>
    <tableColumn id="7045" xr3:uid="{1E52339A-384B-4FDE-86FF-BE64CCB2C03B}" name="Column7026"/>
    <tableColumn id="7046" xr3:uid="{0381D781-C7D0-433E-8447-2BEAF35A04CB}" name="Column7027"/>
    <tableColumn id="7047" xr3:uid="{B9A9809A-3A83-45BD-BC7A-3227E6408902}" name="Column7028"/>
    <tableColumn id="7048" xr3:uid="{5E09FDD3-75BE-406A-97B1-B03F80208FA6}" name="Column7029"/>
    <tableColumn id="7049" xr3:uid="{6798A22E-04A5-4B17-9828-0B3167A1D388}" name="Column7030"/>
    <tableColumn id="7050" xr3:uid="{679104EC-D28B-4357-959A-ED99B63C4B88}" name="Column7031"/>
    <tableColumn id="7051" xr3:uid="{71424A70-4F41-44AA-A5AE-1420E97650DB}" name="Column7032"/>
    <tableColumn id="7052" xr3:uid="{8B5D4652-3B24-4806-B0E2-A527D5A90E20}" name="Column7033"/>
    <tableColumn id="7053" xr3:uid="{A32D16FA-8B7F-4DC9-9884-1E755CC1976F}" name="Column7034"/>
    <tableColumn id="7054" xr3:uid="{962519FE-3D0C-4D60-8E13-FC974FD2820F}" name="Column7035"/>
    <tableColumn id="7055" xr3:uid="{865BFF0F-027E-4097-B170-F85DB82DBBFD}" name="Column7036"/>
    <tableColumn id="7056" xr3:uid="{47B5BF17-2764-47A2-A517-15D34FFB78D3}" name="Column7037"/>
    <tableColumn id="7057" xr3:uid="{8D1A4F99-5200-4339-8817-5C7D23D4356A}" name="Column7038"/>
    <tableColumn id="7058" xr3:uid="{0DBC7A51-EE7D-436C-9B36-A18F8D735017}" name="Column7039"/>
    <tableColumn id="7059" xr3:uid="{CB267346-0472-45EF-9F9A-3C66D2755C02}" name="Column7040"/>
    <tableColumn id="7060" xr3:uid="{84C1B6A6-0C98-4883-9AA4-A8F138767146}" name="Column7041"/>
    <tableColumn id="7061" xr3:uid="{F6BFB0C1-B7D8-4813-A70D-D9B0E5729B2C}" name="Column7042"/>
    <tableColumn id="7062" xr3:uid="{2C525F40-AF01-459F-B419-D8863C173284}" name="Column7043"/>
    <tableColumn id="7063" xr3:uid="{6D991FEB-8A25-4CEE-A0D1-A6CB1A5A6BE4}" name="Column7044"/>
    <tableColumn id="7064" xr3:uid="{DBA53B35-C3E0-4758-9AF5-FF24C5AEBBF6}" name="Column7045"/>
    <tableColumn id="7065" xr3:uid="{A2B658F7-CFE9-4D44-B2FD-109354B2726F}" name="Column7046"/>
    <tableColumn id="7066" xr3:uid="{B9EEB495-5972-433E-815D-5DBC5D4A07BD}" name="Column7047"/>
    <tableColumn id="7067" xr3:uid="{9BB07CA8-6D7B-4554-AA59-936A1FBF7E70}" name="Column7048"/>
    <tableColumn id="7068" xr3:uid="{2B53C6DE-F304-45C7-A065-AE369118128B}" name="Column7049"/>
    <tableColumn id="7069" xr3:uid="{52F26B16-71B4-4AE6-9527-BE1CC40EFC18}" name="Column7050"/>
    <tableColumn id="7070" xr3:uid="{4AAB7628-611F-473E-9810-A5498051CE4E}" name="Column7051"/>
    <tableColumn id="7071" xr3:uid="{5A8131DC-24EA-4AF8-AB65-25C866B400EE}" name="Column7052"/>
    <tableColumn id="7072" xr3:uid="{D15787D4-B6B9-4A9D-9834-5F8274EC8D9A}" name="Column7053"/>
    <tableColumn id="7073" xr3:uid="{4BFBF600-C916-4180-9C06-07D92386CB27}" name="Column7054"/>
    <tableColumn id="7074" xr3:uid="{2461878A-004C-425D-BDCE-4E36170C7C11}" name="Column7055"/>
    <tableColumn id="7075" xr3:uid="{6D8DB86B-124A-4630-B638-03D80262A6F0}" name="Column7056"/>
    <tableColumn id="7076" xr3:uid="{8C629A4D-28CD-4B1D-8079-9C7900B780E4}" name="Column7057"/>
    <tableColumn id="7077" xr3:uid="{328E3894-2EF2-45B8-8EAC-465DAFC86EF3}" name="Column7058"/>
    <tableColumn id="7078" xr3:uid="{3F20F53F-001F-4807-AC45-81E2FF674F30}" name="Column7059"/>
    <tableColumn id="7079" xr3:uid="{194E2630-E4B7-469D-ACC7-62EE9A97038C}" name="Column7060"/>
    <tableColumn id="7080" xr3:uid="{D155E722-7D72-45B6-84A6-A44000CD454E}" name="Column7061"/>
    <tableColumn id="7081" xr3:uid="{273A484B-EC1F-4A52-8DA3-3A9536FC9ADD}" name="Column7062"/>
    <tableColumn id="7082" xr3:uid="{C3097D60-68C1-4730-A9CF-0702712BAC1F}" name="Column7063"/>
    <tableColumn id="7083" xr3:uid="{54500B23-06AA-4B8F-82B8-B3AA728FABCF}" name="Column7064"/>
    <tableColumn id="7084" xr3:uid="{FDC52F27-AA2A-4643-A61E-D50403ACB23D}" name="Column7065"/>
    <tableColumn id="7085" xr3:uid="{E5CB761C-AF3F-4628-979C-074E6C6663DA}" name="Column7066"/>
    <tableColumn id="7086" xr3:uid="{74E09099-AB34-40DC-ACCC-E93376053202}" name="Column7067"/>
    <tableColumn id="7087" xr3:uid="{65F8CB79-2A62-477C-98AA-0D7DCF9585A8}" name="Column7068"/>
    <tableColumn id="7088" xr3:uid="{B89BB0DF-F6D6-4D7D-9548-2174490F8632}" name="Column7069"/>
    <tableColumn id="7089" xr3:uid="{59225B96-D021-4E4B-9540-741F32D65CFC}" name="Column7070"/>
    <tableColumn id="7090" xr3:uid="{A8D62819-6A38-47BE-85EC-DBFC0DBF6254}" name="Column7071"/>
    <tableColumn id="7091" xr3:uid="{DC5A10D9-E8D9-4CE0-931C-D52FA2012CF3}" name="Column7072"/>
    <tableColumn id="7092" xr3:uid="{D8B109F8-B2F5-42BB-ADF4-FD0483D85B55}" name="Column7073"/>
    <tableColumn id="7093" xr3:uid="{04C4E725-30D4-414E-B451-E4AA5B934990}" name="Column7074"/>
    <tableColumn id="7094" xr3:uid="{32E44CB7-A342-4D42-8EC2-6927F4CDB7F9}" name="Column7075"/>
    <tableColumn id="7095" xr3:uid="{C62DCADE-1B46-4443-A852-61F3C68C57BA}" name="Column7076"/>
    <tableColumn id="7096" xr3:uid="{86927FE2-DF91-449E-BBCE-9172D1B97657}" name="Column7077"/>
    <tableColumn id="7097" xr3:uid="{FB7D4E03-ECCA-4A6B-9718-9476BAAC9F8B}" name="Column7078"/>
    <tableColumn id="7098" xr3:uid="{8FAC02AE-E89D-4C58-8BCC-864EA786DE44}" name="Column7079"/>
    <tableColumn id="7099" xr3:uid="{CE88E72A-4A66-4991-A7CD-5F44D899E3B8}" name="Column7080"/>
    <tableColumn id="7100" xr3:uid="{7FEEB801-594F-42FB-895B-1D8AEADAC86C}" name="Column7081"/>
    <tableColumn id="7101" xr3:uid="{ADA3FB08-39EB-4936-BD09-9BF74E6E20B5}" name="Column7082"/>
    <tableColumn id="7102" xr3:uid="{5B0173A9-7E37-4317-A764-E5D8395F4F71}" name="Column7083"/>
    <tableColumn id="7103" xr3:uid="{16B9AFBA-EB57-4767-B7CE-3CD13CBD9FC4}" name="Column7084"/>
    <tableColumn id="7104" xr3:uid="{2ABA7D0B-516B-4B3E-A3D4-147EF297D645}" name="Column7085"/>
    <tableColumn id="7105" xr3:uid="{BC8E1B6C-91F8-43B4-A018-0412DF024A72}" name="Column7086"/>
    <tableColumn id="7106" xr3:uid="{25FAA0C5-C1FB-4389-BA08-A51C4EBBC1A4}" name="Column7087"/>
    <tableColumn id="7107" xr3:uid="{29CA8743-BAA1-4A8B-849C-699A803AB14D}" name="Column7088"/>
    <tableColumn id="7108" xr3:uid="{3BEEC834-A049-4278-8E1B-41C3E26F497B}" name="Column7089"/>
    <tableColumn id="7109" xr3:uid="{EB40A54A-0A9C-4A77-AE84-4E72621BC2BB}" name="Column7090"/>
    <tableColumn id="7110" xr3:uid="{29EE337F-45E1-4A34-8846-4E88602DEA9E}" name="Column7091"/>
    <tableColumn id="7111" xr3:uid="{84C319F3-A5E8-4358-8E2B-E7EE70068A10}" name="Column7092"/>
    <tableColumn id="7112" xr3:uid="{F3CC94C6-E352-4336-8BEC-2989AB504293}" name="Column7093"/>
    <tableColumn id="7113" xr3:uid="{E2B3B2A1-63E9-4841-828B-920570E89BD0}" name="Column7094"/>
    <tableColumn id="7114" xr3:uid="{EDA07F11-32F3-499F-BFD3-78CD88FDBC94}" name="Column7095"/>
    <tableColumn id="7115" xr3:uid="{40BC0DEA-A7F4-4A68-B8BF-76A1A14EB107}" name="Column7096"/>
    <tableColumn id="7116" xr3:uid="{396DF0E9-BD48-4163-BCA6-CF6A4870428C}" name="Column7097"/>
    <tableColumn id="7117" xr3:uid="{9FEF8C39-B5D5-4F56-AD91-AA345774541F}" name="Column7098"/>
    <tableColumn id="7118" xr3:uid="{5F8F0FE0-AE84-414F-A148-33C4C4C7B0AB}" name="Column7099"/>
    <tableColumn id="7119" xr3:uid="{78BD9DC7-5837-42D5-8F7E-DB4B2B7A60B1}" name="Column7100"/>
    <tableColumn id="7120" xr3:uid="{55FE78B8-8C0B-4AFE-8BCA-BCCFD532AC94}" name="Column7101"/>
    <tableColumn id="7121" xr3:uid="{4192743E-1208-436E-9026-13BE494D0A90}" name="Column7102"/>
    <tableColumn id="7122" xr3:uid="{3726F94B-9E41-421D-8A2E-1C0ADEAA3446}" name="Column7103"/>
    <tableColumn id="7123" xr3:uid="{EFD99BE9-746C-4198-8E6E-BEF36F0ADF2A}" name="Column7104"/>
    <tableColumn id="7124" xr3:uid="{B30B20CC-D851-4EFF-A4FC-42959F8E1EBD}" name="Column7105"/>
    <tableColumn id="7125" xr3:uid="{B430B7BB-5724-44A9-ADBA-F653149AB906}" name="Column7106"/>
    <tableColumn id="7126" xr3:uid="{9803C114-02BD-4A0E-BA20-EC3D0A6DB578}" name="Column7107"/>
    <tableColumn id="7127" xr3:uid="{5154F500-9A37-49A6-A205-0683C2585AEA}" name="Column7108"/>
    <tableColumn id="7128" xr3:uid="{CB91D464-C1B7-4AEA-9904-0480AFC44675}" name="Column7109"/>
    <tableColumn id="7129" xr3:uid="{FE7F4CFA-F02C-4400-9EE1-ED6DE41C3F16}" name="Column7110"/>
    <tableColumn id="7130" xr3:uid="{193D3130-3C5A-4F1D-9A4E-5AE0E0B02E09}" name="Column7111"/>
    <tableColumn id="7131" xr3:uid="{EF2F05BA-7725-4F32-92E4-B7346FB4B398}" name="Column7112"/>
    <tableColumn id="7132" xr3:uid="{1B868D1D-E85B-48BC-A197-4002BBB80EB9}" name="Column7113"/>
    <tableColumn id="7133" xr3:uid="{A722C092-7A1E-419D-98FB-D11FB6A38B51}" name="Column7114"/>
    <tableColumn id="7134" xr3:uid="{75DFE690-D68C-4A1C-B29C-7B49CEF39C38}" name="Column7115"/>
    <tableColumn id="7135" xr3:uid="{E719F73D-DE32-4203-AD87-D96FFE0EA9ED}" name="Column7116"/>
    <tableColumn id="7136" xr3:uid="{1A9DDC9B-8E06-4917-A77C-2325C608B104}" name="Column7117"/>
    <tableColumn id="7137" xr3:uid="{E8F9B821-650C-40CF-92D3-166596E638C7}" name="Column7118"/>
    <tableColumn id="7138" xr3:uid="{54E5005A-E53B-4C03-A3BC-81559F3D8EA0}" name="Column7119"/>
    <tableColumn id="7139" xr3:uid="{24554F08-5B48-404D-AA38-42E2D458423E}" name="Column7120"/>
    <tableColumn id="7140" xr3:uid="{6F006D3B-ADDD-4A26-AE85-8158F202C12A}" name="Column7121"/>
    <tableColumn id="7141" xr3:uid="{13232E18-3AD7-48DA-8F27-6649A06FE67F}" name="Column7122"/>
    <tableColumn id="7142" xr3:uid="{755476AB-A3DA-4DED-B7E2-7AC17BB61303}" name="Column7123"/>
    <tableColumn id="7143" xr3:uid="{BC8447B6-9870-49EE-B855-A1FF72D4899E}" name="Column7124"/>
    <tableColumn id="7144" xr3:uid="{923B53A0-E666-4740-B05A-337E42134BDD}" name="Column7125"/>
    <tableColumn id="7145" xr3:uid="{295B5AAE-D3A4-4BA7-AEDC-0E1EAE2A8B8B}" name="Column7126"/>
    <tableColumn id="7146" xr3:uid="{683FD994-16EC-487F-BF6B-2D67453A3137}" name="Column7127"/>
    <tableColumn id="7147" xr3:uid="{6A693810-59CA-4E8B-9A89-9F9CBB3836DE}" name="Column7128"/>
    <tableColumn id="7148" xr3:uid="{18FCBDD7-FBFE-49DC-BBFF-AB2732D5B788}" name="Column7129"/>
    <tableColumn id="7149" xr3:uid="{2BAB93DD-E60A-42B9-B5BA-5B1AA929B662}" name="Column7130"/>
    <tableColumn id="7150" xr3:uid="{B434156E-3BC0-4DEF-84CF-BBA004A35593}" name="Column7131"/>
    <tableColumn id="7151" xr3:uid="{C46FE2D1-203B-4C5D-994F-F5F73E7EB571}" name="Column7132"/>
    <tableColumn id="7152" xr3:uid="{27809AC6-6A8B-45BC-948D-D7E12558808E}" name="Column7133"/>
    <tableColumn id="7153" xr3:uid="{50D8F1D1-257E-4F91-84A0-B633151DBBC3}" name="Column7134"/>
    <tableColumn id="7154" xr3:uid="{78D6415D-BC59-45E3-A60A-9268CFCF2CB1}" name="Column7135"/>
    <tableColumn id="7155" xr3:uid="{340A9253-D3BB-4F2D-BBCB-EB02E67B4A0F}" name="Column7136"/>
    <tableColumn id="7156" xr3:uid="{C790966B-03AA-46C4-9476-4C3B993C31E2}" name="Column7137"/>
    <tableColumn id="7157" xr3:uid="{4D0EB3E8-8568-42D9-99AE-0E531ACC99B4}" name="Column7138"/>
    <tableColumn id="7158" xr3:uid="{5BF4FB4E-475D-42D6-95AF-9AF9F33222EA}" name="Column7139"/>
    <tableColumn id="7159" xr3:uid="{6C2D919D-E49A-4FDA-8547-4D50ADA3A403}" name="Column7140"/>
    <tableColumn id="7160" xr3:uid="{7497F922-5A20-4A05-8BCD-A1C9B73A0485}" name="Column7141"/>
    <tableColumn id="7161" xr3:uid="{195E4710-C565-4E42-BBA7-9FE641846042}" name="Column7142"/>
    <tableColumn id="7162" xr3:uid="{81D6ABDE-6430-4B2B-A841-A38661F694EA}" name="Column7143"/>
    <tableColumn id="7163" xr3:uid="{0EE08252-6FD7-42CA-AF27-CBE5DADBAEF7}" name="Column7144"/>
    <tableColumn id="7164" xr3:uid="{2726A4B8-90C6-4905-BAD9-44DA286A670A}" name="Column7145"/>
    <tableColumn id="7165" xr3:uid="{23DACEF2-2E42-4D77-AA82-FC148E14B350}" name="Column7146"/>
    <tableColumn id="7166" xr3:uid="{9D8FBB1E-C04E-4298-9B2C-337A8FC9095D}" name="Column7147"/>
    <tableColumn id="7167" xr3:uid="{BDAA1535-D67E-49B4-A83E-654CAADF3FE0}" name="Column7148"/>
    <tableColumn id="7168" xr3:uid="{85574922-54E2-4E3E-834E-E9F4598D9BF6}" name="Column7149"/>
    <tableColumn id="7169" xr3:uid="{70873EE7-3377-4AAD-AE4F-BA0DD915CB9B}" name="Column7150"/>
    <tableColumn id="7170" xr3:uid="{CA242F4C-F74A-482A-B78E-57F801AB86A6}" name="Column7151"/>
    <tableColumn id="7171" xr3:uid="{AA0AD187-B10F-408B-ADAF-E9E2D95C315D}" name="Column7152"/>
    <tableColumn id="7172" xr3:uid="{CDBED33F-95C7-4A56-99A8-7EC27322284C}" name="Column7153"/>
    <tableColumn id="7173" xr3:uid="{84210441-78D4-4E3D-B32D-23A3CF059076}" name="Column7154"/>
    <tableColumn id="7174" xr3:uid="{EFE351C1-EF86-464E-BA48-0778A4E6F48E}" name="Column7155"/>
    <tableColumn id="7175" xr3:uid="{0FF50328-8CD7-48D0-91AC-83284E875B66}" name="Column7156"/>
    <tableColumn id="7176" xr3:uid="{AE12AE0A-C018-4CDC-A389-3E80DAA978E3}" name="Column7157"/>
    <tableColumn id="7177" xr3:uid="{B5C7669A-BDF9-41E2-A5C2-5BB9279F22DF}" name="Column7158"/>
    <tableColumn id="7178" xr3:uid="{7E139EC3-9645-4F7F-9679-094A83C11069}" name="Column7159"/>
    <tableColumn id="7179" xr3:uid="{8F1F8270-A327-4EA1-8D30-8155620EC07A}" name="Column7160"/>
    <tableColumn id="7180" xr3:uid="{246D8120-008A-42E9-9A6F-1A69A96E6048}" name="Column7161"/>
    <tableColumn id="7181" xr3:uid="{73AE7BF1-BC9D-4C10-B1EB-B8E3220BA4A1}" name="Column7162"/>
    <tableColumn id="7182" xr3:uid="{BBDF79D7-8383-4D57-8013-B8C545322C24}" name="Column7163"/>
    <tableColumn id="7183" xr3:uid="{B28257E5-8DDD-445D-979C-7867BFB4DD56}" name="Column7164"/>
    <tableColumn id="7184" xr3:uid="{7999788E-33FC-4643-BA9B-CE41434356C8}" name="Column7165"/>
    <tableColumn id="7185" xr3:uid="{8BA56A18-7D71-4BE6-A176-F9834FF9F33C}" name="Column7166"/>
    <tableColumn id="7186" xr3:uid="{4C9037A3-7F38-46AB-8E5D-73E8CCCE83FA}" name="Column7167"/>
    <tableColumn id="7187" xr3:uid="{81AF2F89-ABE0-4D82-AA12-D50087F19E5A}" name="Column7168"/>
    <tableColumn id="7188" xr3:uid="{512CE820-AA76-43A6-9874-570436033D5D}" name="Column7169"/>
    <tableColumn id="7189" xr3:uid="{12B4C7C2-37C5-474C-B0B6-04906B483E59}" name="Column7170"/>
    <tableColumn id="7190" xr3:uid="{415BF772-B7C7-4354-987F-81E980216D08}" name="Column7171"/>
    <tableColumn id="7191" xr3:uid="{ED939707-5B8A-4502-8C68-9F41B86EE5AC}" name="Column7172"/>
    <tableColumn id="7192" xr3:uid="{7EDCDE2A-965B-464B-A895-1F5403A7E539}" name="Column7173"/>
    <tableColumn id="7193" xr3:uid="{A2E7E53C-9060-4E06-AFC4-02E09C353A25}" name="Column7174"/>
    <tableColumn id="7194" xr3:uid="{05AE6D77-0AB2-487C-B3FD-BDFB27EFAFD1}" name="Column7175"/>
    <tableColumn id="7195" xr3:uid="{10FD88EE-197F-42F3-B102-A6041E7779EF}" name="Column7176"/>
    <tableColumn id="7196" xr3:uid="{736B41C9-3E68-4D0B-BB62-607154ECF4BB}" name="Column7177"/>
    <tableColumn id="7197" xr3:uid="{0E4E3628-471A-4CBC-A5AA-75FD042F4FE8}" name="Column7178"/>
    <tableColumn id="7198" xr3:uid="{7A291B64-E99B-4CB7-973F-E45648AEF065}" name="Column7179"/>
    <tableColumn id="7199" xr3:uid="{1DA8AF2B-252C-4F31-B9EA-A75CBD620B18}" name="Column7180"/>
    <tableColumn id="7200" xr3:uid="{E910549B-65EF-4A78-9A29-BDD8B482B35F}" name="Column7181"/>
    <tableColumn id="7201" xr3:uid="{2CB854F1-28A6-474B-BCD0-DBD43CB31F86}" name="Column7182"/>
    <tableColumn id="7202" xr3:uid="{DFF27EFB-203E-472C-9A19-D5C7FAC4CF9F}" name="Column7183"/>
    <tableColumn id="7203" xr3:uid="{B89BCAB9-E97A-46E9-940A-C0BAA75369D9}" name="Column7184"/>
    <tableColumn id="7204" xr3:uid="{0684559D-F8FF-4C6B-BACD-28D55A910358}" name="Column7185"/>
    <tableColumn id="7205" xr3:uid="{52855857-522C-4A10-B094-C2710CB21CE4}" name="Column7186"/>
    <tableColumn id="7206" xr3:uid="{16D33226-7330-4D26-B2B4-4256B88904B5}" name="Column7187"/>
    <tableColumn id="7207" xr3:uid="{5FCF7F47-4E74-47B7-B241-4D4A82B20488}" name="Column7188"/>
    <tableColumn id="7208" xr3:uid="{AED90A1A-2F25-427E-B9D0-71A34644B00C}" name="Column7189"/>
    <tableColumn id="7209" xr3:uid="{D967ADC5-2927-4144-8796-5F2848938480}" name="Column7190"/>
    <tableColumn id="7210" xr3:uid="{0A66CFBE-D8B4-4DC0-9470-AAAA71B5CC69}" name="Column7191"/>
    <tableColumn id="7211" xr3:uid="{2371B125-CEB7-44B2-A5CF-3567352214D1}" name="Column7192"/>
    <tableColumn id="7212" xr3:uid="{E192D142-241C-4595-A0B5-DE50B90C69BC}" name="Column7193"/>
    <tableColumn id="7213" xr3:uid="{7C18ED12-482E-4B30-8601-C28E181B63CD}" name="Column7194"/>
    <tableColumn id="7214" xr3:uid="{3646071C-A196-439C-8184-A7B81F4A12CC}" name="Column7195"/>
    <tableColumn id="7215" xr3:uid="{B014E8D2-BFB0-4077-89DB-BAE14DBB5919}" name="Column7196"/>
    <tableColumn id="7216" xr3:uid="{C910320D-CD3F-48C9-9AA5-2FD07D3CAB06}" name="Column7197"/>
    <tableColumn id="7217" xr3:uid="{444569A8-0A3A-4A78-A2AA-36EFF3A50D7B}" name="Column7198"/>
    <tableColumn id="7218" xr3:uid="{29520EFC-1386-4CB2-B704-3A92753948D0}" name="Column7199"/>
    <tableColumn id="7219" xr3:uid="{10671D12-D997-42CB-B0E0-AEE020149352}" name="Column7200"/>
    <tableColumn id="7220" xr3:uid="{1FEF260E-AA38-4BAE-B617-159EB48DBEB9}" name="Column7201"/>
    <tableColumn id="7221" xr3:uid="{52B172EE-5980-48CD-8479-28FFFEBB6F2D}" name="Column7202"/>
    <tableColumn id="7222" xr3:uid="{942BFAEB-A591-481C-8382-6F5B573D1B61}" name="Column7203"/>
    <tableColumn id="7223" xr3:uid="{0BD169E9-EF67-4949-8F0E-CC8B08E6ED04}" name="Column7204"/>
    <tableColumn id="7224" xr3:uid="{DBA5A1C9-F04A-4288-9FAB-99058320C71C}" name="Column7205"/>
    <tableColumn id="7225" xr3:uid="{AFF64C92-9DA9-4EB9-8600-1138A0D8A6F0}" name="Column7206"/>
    <tableColumn id="7226" xr3:uid="{BCCD9642-ADD4-4C65-893C-2462EBC62BE2}" name="Column7207"/>
    <tableColumn id="7227" xr3:uid="{74F57E38-A30E-4ADA-9ACB-6A7AC0F268D2}" name="Column7208"/>
    <tableColumn id="7228" xr3:uid="{5077F22D-F240-45E9-BDC3-94D4BEE51C37}" name="Column7209"/>
    <tableColumn id="7229" xr3:uid="{C9563C3B-2CB9-4D23-9CF0-5FAE97346DA4}" name="Column7210"/>
    <tableColumn id="7230" xr3:uid="{DAA8B87E-0141-4364-84DB-8C26FEE7D585}" name="Column7211"/>
    <tableColumn id="7231" xr3:uid="{5AAC4B64-921A-4838-9474-3D5114D4B54B}" name="Column7212"/>
    <tableColumn id="7232" xr3:uid="{D5595F50-6CD7-45FF-AB50-A7F5BC4AE1A8}" name="Column7213"/>
    <tableColumn id="7233" xr3:uid="{5C7F921E-7BB5-41DD-9E11-BCDFD8FC46BC}" name="Column7214"/>
    <tableColumn id="7234" xr3:uid="{29CA4FA9-6D32-4AB5-85F5-07C8467D0061}" name="Column7215"/>
    <tableColumn id="7235" xr3:uid="{E7CFD65E-D81D-47EE-8A1F-DC4FB812D0EF}" name="Column7216"/>
    <tableColumn id="7236" xr3:uid="{38A0E387-7006-421C-BA72-17856AF9A8E5}" name="Column7217"/>
    <tableColumn id="7237" xr3:uid="{F40633EF-069A-488E-8CDE-BAE5328194E6}" name="Column7218"/>
    <tableColumn id="7238" xr3:uid="{9555FA04-4743-4FE3-B032-D19348B6721B}" name="Column7219"/>
    <tableColumn id="7239" xr3:uid="{F48FBF8C-CF6C-4C4B-98F2-6D4FF0BCD65F}" name="Column7220"/>
    <tableColumn id="7240" xr3:uid="{0FE56F9B-0404-4314-9377-AC076AF6A27D}" name="Column7221"/>
    <tableColumn id="7241" xr3:uid="{4D456A42-1D0C-4EA0-8E8F-921A6DB3FAB1}" name="Column7222"/>
    <tableColumn id="7242" xr3:uid="{DAC74BBF-0FA1-48E4-AB1C-52F35EB5A70B}" name="Column7223"/>
    <tableColumn id="7243" xr3:uid="{0D73F72C-3C7F-4A9D-BA1B-4B1B6544D202}" name="Column7224"/>
    <tableColumn id="7244" xr3:uid="{F78667F0-BA8D-4F4E-9C72-7828A4F9716D}" name="Column7225"/>
    <tableColumn id="7245" xr3:uid="{4F5A92E4-9400-431B-8989-FC3D82B05391}" name="Column7226"/>
    <tableColumn id="7246" xr3:uid="{6022949D-5E89-4E59-8352-E431E2E922EE}" name="Column7227"/>
    <tableColumn id="7247" xr3:uid="{D98FF707-7A7F-408A-B300-8BABE3A5EBDE}" name="Column7228"/>
    <tableColumn id="7248" xr3:uid="{A0FD75F7-E8AE-4494-910E-DE1D4CABDFB9}" name="Column7229"/>
    <tableColumn id="7249" xr3:uid="{283F62FB-6B37-41B5-95BA-EB4C05CEE941}" name="Column7230"/>
    <tableColumn id="7250" xr3:uid="{6D76FE6E-2997-451E-A350-E8ACCCDBE46A}" name="Column7231"/>
    <tableColumn id="7251" xr3:uid="{62198222-294D-407E-A0FB-23796CED53A8}" name="Column7232"/>
    <tableColumn id="7252" xr3:uid="{B5EF37AD-E4DD-4014-B2FC-BDD86BFA8651}" name="Column7233"/>
    <tableColumn id="7253" xr3:uid="{DBEB0EBA-79E3-4521-AA13-D751CC48D20C}" name="Column7234"/>
    <tableColumn id="7254" xr3:uid="{FBDC6A6B-CFEE-4B6B-9E7D-A3FAECCD50D2}" name="Column7235"/>
    <tableColumn id="7255" xr3:uid="{06DE1E13-9DD9-4674-80E3-070E42AD43A5}" name="Column7236"/>
    <tableColumn id="7256" xr3:uid="{508E9D25-46E4-42F2-A9A8-0C714BAB6CF8}" name="Column7237"/>
    <tableColumn id="7257" xr3:uid="{645A5035-AA57-40AF-AC3D-4ED99067C5DA}" name="Column7238"/>
    <tableColumn id="7258" xr3:uid="{9BE18730-EE54-4403-A6E3-AEA1FDC5CA77}" name="Column7239"/>
    <tableColumn id="7259" xr3:uid="{A0872B76-432A-4CBC-83BF-4FA06B5D6D24}" name="Column7240"/>
    <tableColumn id="7260" xr3:uid="{1B48207F-6B7F-46E3-8DB8-62FBE0D1D67E}" name="Column7241"/>
    <tableColumn id="7261" xr3:uid="{B051C54B-9E22-400B-AA27-C3EF19A0264E}" name="Column7242"/>
    <tableColumn id="7262" xr3:uid="{21AEF30B-EBDC-42FF-AF4B-900CD36E06DB}" name="Column7243"/>
    <tableColumn id="7263" xr3:uid="{62851AC1-5273-4580-9778-1C8FF3E3E797}" name="Column7244"/>
    <tableColumn id="7264" xr3:uid="{58ED1C98-B93B-4EC4-9A99-7D6C159A150F}" name="Column7245"/>
    <tableColumn id="7265" xr3:uid="{DFC378DA-E997-4F0A-9C21-5342DF4EA171}" name="Column7246"/>
    <tableColumn id="7266" xr3:uid="{A10D0C2E-FDDE-4A14-B408-68EADFE1A032}" name="Column7247"/>
    <tableColumn id="7267" xr3:uid="{4837F81A-5B8D-4B80-8632-8AF7AF993C01}" name="Column7248"/>
    <tableColumn id="7268" xr3:uid="{4FACE91E-655D-45D8-AE19-C9DFF7805402}" name="Column7249"/>
    <tableColumn id="7269" xr3:uid="{3184D621-A550-4E01-BCDF-23461217B10C}" name="Column7250"/>
    <tableColumn id="7270" xr3:uid="{5D8E9720-C64C-413D-A3D7-D07B33BE45CD}" name="Column7251"/>
    <tableColumn id="7271" xr3:uid="{FB84BE2D-A00A-41D7-834C-D3471AEB5775}" name="Column7252"/>
    <tableColumn id="7272" xr3:uid="{1F4B6A84-A42A-47E5-A098-073FBB52D09F}" name="Column7253"/>
    <tableColumn id="7273" xr3:uid="{D008FBCF-B66D-4056-B8D3-0DBFEE1CFC2D}" name="Column7254"/>
    <tableColumn id="7274" xr3:uid="{0C5B8739-C485-415D-B47F-3EAE75F883EB}" name="Column7255"/>
    <tableColumn id="7275" xr3:uid="{5C5B91CF-6F98-470D-9DDF-04AE357FD4C1}" name="Column7256"/>
    <tableColumn id="7276" xr3:uid="{0F2363CA-DA8C-4627-90A2-506641F5032A}" name="Column7257"/>
    <tableColumn id="7277" xr3:uid="{8C9D36CA-2148-4CB3-9C63-AD6280194A38}" name="Column7258"/>
    <tableColumn id="7278" xr3:uid="{3E1979F5-75D1-4FF1-A9C1-125543F8D8D0}" name="Column7259"/>
    <tableColumn id="7279" xr3:uid="{DF07897B-6F3E-4FCD-8E79-59A30B503DF4}" name="Column7260"/>
    <tableColumn id="7280" xr3:uid="{B26E2A53-A1F2-453F-93F4-0C823E0D4852}" name="Column7261"/>
    <tableColumn id="7281" xr3:uid="{B3385B69-C96C-43AC-91AE-A3B1B719F658}" name="Column7262"/>
    <tableColumn id="7282" xr3:uid="{BA4D36FD-6186-4A88-A00B-2109F3BF8381}" name="Column7263"/>
    <tableColumn id="7283" xr3:uid="{46D64D97-236F-471B-A303-075CDF961353}" name="Column7264"/>
    <tableColumn id="7284" xr3:uid="{0C674136-A1D1-488A-B3CD-FC8BF00B68B5}" name="Column7265"/>
    <tableColumn id="7285" xr3:uid="{F4590BFA-7E04-4BB4-B080-BBAD858736EE}" name="Column7266"/>
    <tableColumn id="7286" xr3:uid="{DFA114E6-F855-4D87-A8DA-29263CA6264B}" name="Column7267"/>
    <tableColumn id="7287" xr3:uid="{45A7D456-D83C-41E6-AB82-C9B7C40D2E6F}" name="Column7268"/>
    <tableColumn id="7288" xr3:uid="{2564909F-264F-4644-ABEE-A93B16C9FAC6}" name="Column7269"/>
    <tableColumn id="7289" xr3:uid="{8B8B3FF5-4849-432C-B243-FBFC772F086E}" name="Column7270"/>
    <tableColumn id="7290" xr3:uid="{7E4498FC-E26C-4A00-B823-D50E8716BADA}" name="Column7271"/>
    <tableColumn id="7291" xr3:uid="{6A26D08D-11C2-4978-BF55-0465A4B4AF33}" name="Column7272"/>
    <tableColumn id="7292" xr3:uid="{9C24D5B5-32FB-4260-A36E-A0FB19DBF35F}" name="Column7273"/>
    <tableColumn id="7293" xr3:uid="{7EF1C91F-2C62-4426-81AB-46BC2C4F700B}" name="Column7274"/>
    <tableColumn id="7294" xr3:uid="{673EAC8F-9147-4167-BD79-A91D6033627F}" name="Column7275"/>
    <tableColumn id="7295" xr3:uid="{4477D02A-FA56-44EE-89CC-5F0F2BA51377}" name="Column7276"/>
    <tableColumn id="7296" xr3:uid="{2141F479-6C3A-42FC-A2E8-174F6C036569}" name="Column7277"/>
    <tableColumn id="7297" xr3:uid="{8CA6B85A-B6C5-4B7E-92FD-2A3CB71A2354}" name="Column7278"/>
    <tableColumn id="7298" xr3:uid="{3AA74B99-5BDA-49B6-A5E0-E22C1CC1E0C3}" name="Column7279"/>
    <tableColumn id="7299" xr3:uid="{4D52A058-6217-4BCF-926B-D1477A8134E5}" name="Column7280"/>
    <tableColumn id="7300" xr3:uid="{6426D944-83A5-40F0-9B81-0709525299D8}" name="Column7281"/>
    <tableColumn id="7301" xr3:uid="{45498EB9-1C41-4564-97E3-7CAEBBC840DD}" name="Column7282"/>
    <tableColumn id="7302" xr3:uid="{368E2040-F8CC-4A0E-A6F9-5AAFCA4E81AF}" name="Column7283"/>
    <tableColumn id="7303" xr3:uid="{BC8C7E9F-A484-484D-A3E1-CBD29F29F72D}" name="Column7284"/>
    <tableColumn id="7304" xr3:uid="{60BEE48B-DF4F-4DAA-A5B2-F79625DA5E3B}" name="Column7285"/>
    <tableColumn id="7305" xr3:uid="{7D58DAA2-81DD-4B95-B554-99837F6E90E1}" name="Column7286"/>
    <tableColumn id="7306" xr3:uid="{F96E6F23-FA06-4B15-B562-88DECD903109}" name="Column7287"/>
    <tableColumn id="7307" xr3:uid="{CF10245E-A385-4468-B1EF-BBA8DF98F935}" name="Column7288"/>
    <tableColumn id="7308" xr3:uid="{B71183A0-E374-47D3-AE19-AF6F6F862F44}" name="Column7289"/>
    <tableColumn id="7309" xr3:uid="{D6ED6E73-7761-4E35-A49B-7769ED484757}" name="Column7290"/>
    <tableColumn id="7310" xr3:uid="{6209D1B7-62CA-4348-A5DA-C0E2B6CF3619}" name="Column7291"/>
    <tableColumn id="7311" xr3:uid="{15C84075-B3CA-4106-B317-304811F71887}" name="Column7292"/>
    <tableColumn id="7312" xr3:uid="{8E9BA3BD-DF3E-4139-8774-05A82A774195}" name="Column7293"/>
    <tableColumn id="7313" xr3:uid="{98802845-6E42-472D-AA0D-95C446BC5134}" name="Column7294"/>
    <tableColumn id="7314" xr3:uid="{53BEBE03-0CC4-4BB0-8BB7-BF80AEEBADC6}" name="Column7295"/>
    <tableColumn id="7315" xr3:uid="{04198994-1E09-45B1-8275-BAD76CCB3B4C}" name="Column7296"/>
    <tableColumn id="7316" xr3:uid="{5CB8FFB3-2900-46BE-8B1D-8C6385B572FF}" name="Column7297"/>
    <tableColumn id="7317" xr3:uid="{A348927C-A2D6-4098-899C-576D70F37BBC}" name="Column7298"/>
    <tableColumn id="7318" xr3:uid="{99443DF0-4BE7-4799-B801-12BCF7B42092}" name="Column7299"/>
    <tableColumn id="7319" xr3:uid="{73D97B5E-5144-4E53-A822-76CA8E0AE5EA}" name="Column7300"/>
    <tableColumn id="7320" xr3:uid="{43EB6D79-8243-4C70-B017-F0E298DDC1AE}" name="Column7301"/>
    <tableColumn id="7321" xr3:uid="{5DA42034-CCA3-4463-BA43-FE0DB2C0507C}" name="Column7302"/>
    <tableColumn id="7322" xr3:uid="{D64F11F3-CD73-46EF-AF5A-D75063E65F6C}" name="Column7303"/>
    <tableColumn id="7323" xr3:uid="{7A485CAB-3C52-4636-BADD-990B539CF435}" name="Column7304"/>
    <tableColumn id="7324" xr3:uid="{26941ED8-1EB4-49BE-9602-6E17888283E9}" name="Column7305"/>
    <tableColumn id="7325" xr3:uid="{7C0CB657-9F56-45B7-AADB-2E2A4B63DFA7}" name="Column7306"/>
    <tableColumn id="7326" xr3:uid="{0ADA4232-0B8F-423E-A279-18D542394582}" name="Column7307"/>
    <tableColumn id="7327" xr3:uid="{00AF44E4-2A90-4D69-8F4B-A40B51722305}" name="Column7308"/>
    <tableColumn id="7328" xr3:uid="{66BC935A-12AA-4D23-9EDB-053D0D57A24C}" name="Column7309"/>
    <tableColumn id="7329" xr3:uid="{F1C4CA79-E819-44CA-9610-FA7AECC3B248}" name="Column7310"/>
    <tableColumn id="7330" xr3:uid="{A95A1C9C-71F8-4445-91AC-1064E8C88843}" name="Column7311"/>
    <tableColumn id="7331" xr3:uid="{70239D42-7B13-4D66-8050-CB975674B041}" name="Column7312"/>
    <tableColumn id="7332" xr3:uid="{63BF4347-198A-4170-BA1F-A57676806C0C}" name="Column7313"/>
    <tableColumn id="7333" xr3:uid="{57EA4082-73E7-4CAB-A36A-E9516FD01F09}" name="Column7314"/>
    <tableColumn id="7334" xr3:uid="{590802F4-4E2B-41BD-B5AF-452CBCD73A25}" name="Column7315"/>
    <tableColumn id="7335" xr3:uid="{5958E419-292F-43ED-9BF3-5BE099C7B01D}" name="Column7316"/>
    <tableColumn id="7336" xr3:uid="{00202648-BE56-42F2-B8A6-CC918C583DCF}" name="Column7317"/>
    <tableColumn id="7337" xr3:uid="{8BD87480-7587-4D47-B082-BE04FDB400A6}" name="Column7318"/>
    <tableColumn id="7338" xr3:uid="{9C84F848-93D7-47A3-9334-13EE30912867}" name="Column7319"/>
    <tableColumn id="7339" xr3:uid="{F5A59DB9-8931-4AAF-87B1-AF0063738FA5}" name="Column7320"/>
    <tableColumn id="7340" xr3:uid="{2060993C-AB5B-4686-8242-747D87366A31}" name="Column7321"/>
    <tableColumn id="7341" xr3:uid="{A454D64E-4150-4431-839C-B2A3C51690A6}" name="Column7322"/>
    <tableColumn id="7342" xr3:uid="{A497C5E8-E0BE-4E54-BED5-3ABB08F6AC1F}" name="Column7323"/>
    <tableColumn id="7343" xr3:uid="{D08837DB-610E-48E0-8723-BEE2FD95586D}" name="Column7324"/>
    <tableColumn id="7344" xr3:uid="{9335386F-B576-4E95-99D8-04BEDB0EA7C9}" name="Column7325"/>
    <tableColumn id="7345" xr3:uid="{5B17F51D-7C87-4823-BB86-F1CF10ECC581}" name="Column7326"/>
    <tableColumn id="7346" xr3:uid="{B7DC26DD-8F20-4B30-AF2B-873471E7937E}" name="Column7327"/>
    <tableColumn id="7347" xr3:uid="{7BB691F8-F3CF-448D-843B-FC79B0BEA979}" name="Column7328"/>
    <tableColumn id="7348" xr3:uid="{0F4D5D8E-E6F1-4F38-ABD5-77A14CEE5F4D}" name="Column7329"/>
    <tableColumn id="7349" xr3:uid="{ABB060E8-382E-4875-81B3-303F8ADC8A65}" name="Column7330"/>
    <tableColumn id="7350" xr3:uid="{4161E8B1-31EE-44E6-9CEC-F7429B61E9B1}" name="Column7331"/>
    <tableColumn id="7351" xr3:uid="{A9C93FB5-0935-478B-BB73-FEAD8EA11C13}" name="Column7332"/>
    <tableColumn id="7352" xr3:uid="{700008D4-F22A-4EAF-AB37-26840753341E}" name="Column7333"/>
    <tableColumn id="7353" xr3:uid="{B394CF26-6EE1-4BD4-868A-CEC2B8B5E3A0}" name="Column7334"/>
    <tableColumn id="7354" xr3:uid="{43F6A785-66A6-4FB8-924C-02038A6163B7}" name="Column7335"/>
    <tableColumn id="7355" xr3:uid="{55C7F74C-BC98-49AA-B065-7E87F54D1156}" name="Column7336"/>
    <tableColumn id="7356" xr3:uid="{65517B62-4FF2-4E59-B7F9-D01A05EC8194}" name="Column7337"/>
    <tableColumn id="7357" xr3:uid="{C6CDB0FC-19B6-48F4-A0C6-638E1D844185}" name="Column7338"/>
    <tableColumn id="7358" xr3:uid="{E0B7575D-AFE8-4F72-911F-0FE88ECC4708}" name="Column7339"/>
    <tableColumn id="7359" xr3:uid="{09258222-583B-4194-BE06-85B2B0F39907}" name="Column7340"/>
    <tableColumn id="7360" xr3:uid="{7A1BA7B9-28AE-40A0-97D5-DD3D6BCE837F}" name="Column7341"/>
    <tableColumn id="7361" xr3:uid="{FCF2AC03-7ABD-4559-9853-5D760E69815F}" name="Column7342"/>
    <tableColumn id="7362" xr3:uid="{A59CCD9C-226E-4C4C-B3B9-1D944715A5CC}" name="Column7343"/>
    <tableColumn id="7363" xr3:uid="{F3E8F7E2-282D-4B7B-B452-479D27CC39F8}" name="Column7344"/>
    <tableColumn id="7364" xr3:uid="{4EB4CA75-0E46-4596-980E-985894ED13C4}" name="Column7345"/>
    <tableColumn id="7365" xr3:uid="{CA6FB27A-BF95-495D-9F52-BED4E0984A12}" name="Column7346"/>
    <tableColumn id="7366" xr3:uid="{A9B7D9BA-3E80-4D5E-88E8-0A756508EF11}" name="Column7347"/>
    <tableColumn id="7367" xr3:uid="{2C707EC2-62A3-4F46-88A2-BC468F9940E8}" name="Column7348"/>
    <tableColumn id="7368" xr3:uid="{C41E60A0-ECA4-4BBB-B09A-035F3D42B6AC}" name="Column7349"/>
    <tableColumn id="7369" xr3:uid="{7AEBCDDF-BC6C-4D50-88CF-E98057F90590}" name="Column7350"/>
    <tableColumn id="7370" xr3:uid="{7FB3DAD2-1920-4539-BD28-A5006E97F773}" name="Column7351"/>
    <tableColumn id="7371" xr3:uid="{26959F48-CB04-486B-AA62-8A8A08AEBC2A}" name="Column7352"/>
    <tableColumn id="7372" xr3:uid="{957BF2FF-68D4-41CC-BB3C-F2D1629BF8AB}" name="Column7353"/>
    <tableColumn id="7373" xr3:uid="{ED317763-C857-4CAF-9CF2-35385C9705B8}" name="Column7354"/>
    <tableColumn id="7374" xr3:uid="{677E561D-4D8F-409F-A992-EE6F53AD321D}" name="Column7355"/>
    <tableColumn id="7375" xr3:uid="{C4B73904-9FF0-435A-B6BC-7D3FBD96D9B8}" name="Column7356"/>
    <tableColumn id="7376" xr3:uid="{55DC0F5E-FFDF-471D-AA8F-D6644930CFF4}" name="Column7357"/>
    <tableColumn id="7377" xr3:uid="{E2779A98-8390-462B-82A8-6CCBE1CC33AF}" name="Column7358"/>
    <tableColumn id="7378" xr3:uid="{45AD00EE-9743-45D6-989D-989BE8759E1B}" name="Column7359"/>
    <tableColumn id="7379" xr3:uid="{2551A9A7-13C8-4858-9AB6-2DD577082568}" name="Column7360"/>
    <tableColumn id="7380" xr3:uid="{E417A2F8-36E2-4511-911E-54FB9FFEF243}" name="Column7361"/>
    <tableColumn id="7381" xr3:uid="{2A12BA24-2300-4CE5-93A5-41161DE99125}" name="Column7362"/>
    <tableColumn id="7382" xr3:uid="{11DFC52B-3B21-4B9F-BD54-FD9BB1E739F0}" name="Column7363"/>
    <tableColumn id="7383" xr3:uid="{271DFFEC-63E2-46E0-B81D-849CE690140F}" name="Column7364"/>
    <tableColumn id="7384" xr3:uid="{A76289C0-4DFC-45C6-A73B-6DC1AFCB4442}" name="Column7365"/>
    <tableColumn id="7385" xr3:uid="{CDEA82A2-EB8C-4EE1-BD49-566F8BE9F57B}" name="Column7366"/>
    <tableColumn id="7386" xr3:uid="{89B68262-0C9E-4C35-9F6C-7146BF9112AD}" name="Column7367"/>
    <tableColumn id="7387" xr3:uid="{E6023D54-8F32-406E-8BBA-0303C0B9A891}" name="Column7368"/>
    <tableColumn id="7388" xr3:uid="{840E2951-9FF1-4553-9A27-9384AD89111D}" name="Column7369"/>
    <tableColumn id="7389" xr3:uid="{DAF2B1F9-B729-47BC-B848-E180E7427E42}" name="Column7370"/>
    <tableColumn id="7390" xr3:uid="{BB9CA3C4-D0B1-4F1A-862C-DEF5CB3D14B5}" name="Column7371"/>
    <tableColumn id="7391" xr3:uid="{D08B2FA8-8F70-4465-82A9-6BD77707CE0C}" name="Column7372"/>
    <tableColumn id="7392" xr3:uid="{FC39D347-1CC0-4EC4-B001-F14F3EB8089A}" name="Column7373"/>
    <tableColumn id="7393" xr3:uid="{C0595E77-4695-45C7-9F18-36D2F49594F6}" name="Column7374"/>
    <tableColumn id="7394" xr3:uid="{8425138A-5916-4724-9AFE-10069679D806}" name="Column7375"/>
    <tableColumn id="7395" xr3:uid="{621D1E3E-4E94-485A-8FA2-D3E44A807598}" name="Column7376"/>
    <tableColumn id="7396" xr3:uid="{F3CEBEB2-7A28-4293-9930-012BE9CAC485}" name="Column7377"/>
    <tableColumn id="7397" xr3:uid="{7ACA892E-4081-41B9-A540-E862C07CE793}" name="Column7378"/>
    <tableColumn id="7398" xr3:uid="{96829652-35F0-476F-A265-5FFD2161A352}" name="Column7379"/>
    <tableColumn id="7399" xr3:uid="{3046F241-8A14-4F5D-BE9C-8276C0A006CD}" name="Column7380"/>
    <tableColumn id="7400" xr3:uid="{570D9E0D-8D1E-445E-9A55-8C55B30913B8}" name="Column7381"/>
    <tableColumn id="7401" xr3:uid="{457F883C-B7F6-4C5B-A2DA-51F35C1A4D8E}" name="Column7382"/>
    <tableColumn id="7402" xr3:uid="{DDAA0757-02AB-40D3-BC0F-42BD640A3CFB}" name="Column7383"/>
    <tableColumn id="7403" xr3:uid="{A8847D00-AF28-4226-9410-53FEB7AFA289}" name="Column7384"/>
    <tableColumn id="7404" xr3:uid="{FEA0B79A-5077-43B2-B180-AFA4A002EDE8}" name="Column7385"/>
    <tableColumn id="7405" xr3:uid="{CF5CC7AB-E46B-437E-A6FA-F6D9DDCC8D4F}" name="Column7386"/>
    <tableColumn id="7406" xr3:uid="{F7D30C05-000B-4C39-ACDB-0AD0655621A5}" name="Column7387"/>
    <tableColumn id="7407" xr3:uid="{B7CBE21C-055B-4F2D-98D2-4CFE0DAEF9DB}" name="Column7388"/>
    <tableColumn id="7408" xr3:uid="{985FB678-8356-4C52-9F84-58D16756C189}" name="Column7389"/>
    <tableColumn id="7409" xr3:uid="{13B23C8D-D1B5-4AA8-98DA-96735BB61C99}" name="Column7390"/>
    <tableColumn id="7410" xr3:uid="{5B606295-0FA2-42BF-AA9F-70E64E944ACA}" name="Column7391"/>
    <tableColumn id="7411" xr3:uid="{0E87ED0C-6752-4549-A191-BECE802837CC}" name="Column7392"/>
    <tableColumn id="7412" xr3:uid="{E3EBECE1-A0AC-4B82-B3E8-B8F1FE15B5CA}" name="Column7393"/>
    <tableColumn id="7413" xr3:uid="{F3EB2FDA-FCE3-42F9-86DA-74108102A01C}" name="Column7394"/>
    <tableColumn id="7414" xr3:uid="{C87D4324-19C5-4DC6-A862-08E4B4639D20}" name="Column7395"/>
    <tableColumn id="7415" xr3:uid="{50E42851-5C6F-4F15-82ED-53C5B013EFC3}" name="Column7396"/>
    <tableColumn id="7416" xr3:uid="{43A02D8B-844B-49A2-83B2-83FCDBFCDC84}" name="Column7397"/>
    <tableColumn id="7417" xr3:uid="{A6B6533D-347A-42D8-94DC-09B712D78A37}" name="Column7398"/>
    <tableColumn id="7418" xr3:uid="{AB12BDB3-2A90-4365-912A-39D0CFB20A4B}" name="Column7399"/>
    <tableColumn id="7419" xr3:uid="{360FE5E9-17A0-4D8F-9F98-EC152A880304}" name="Column7400"/>
    <tableColumn id="7420" xr3:uid="{81B0EED2-825C-42DF-BBF6-C9B6BE78E3E6}" name="Column7401"/>
    <tableColumn id="7421" xr3:uid="{280F9D50-6E2D-4906-BEFE-DB029ACC095F}" name="Column7402"/>
    <tableColumn id="7422" xr3:uid="{ACBE9E5D-5EC9-423B-9BBB-591B7BBEBF28}" name="Column7403"/>
    <tableColumn id="7423" xr3:uid="{E78A43A0-A346-4487-8F36-770A731E0B5C}" name="Column7404"/>
    <tableColumn id="7424" xr3:uid="{D3B3EAA9-DE05-46D9-8AD1-41857859E34E}" name="Column7405"/>
    <tableColumn id="7425" xr3:uid="{81FAC76F-80CB-48D8-BF06-F2F7DA737DB0}" name="Column7406"/>
    <tableColumn id="7426" xr3:uid="{CD901EF3-DDE4-4C5E-8FCC-F1ACAF5DAE1D}" name="Column7407"/>
    <tableColumn id="7427" xr3:uid="{27DFCF51-DF58-48CF-8AD0-34858BBC97F0}" name="Column7408"/>
    <tableColumn id="7428" xr3:uid="{41509ADF-5F33-4684-808B-50C010712A87}" name="Column7409"/>
    <tableColumn id="7429" xr3:uid="{D4510397-0DD4-4503-AA6F-6C547A82946D}" name="Column7410"/>
    <tableColumn id="7430" xr3:uid="{ACF94A02-E334-4375-B22C-9043B30E9E2F}" name="Column7411"/>
    <tableColumn id="7431" xr3:uid="{803DF114-EF05-4261-8117-C28DF1241C25}" name="Column7412"/>
    <tableColumn id="7432" xr3:uid="{0301F26B-1B3F-41FE-9B51-52F4364A6559}" name="Column7413"/>
    <tableColumn id="7433" xr3:uid="{F4C57FFB-F9AC-4969-BC8C-80C75923C242}" name="Column7414"/>
    <tableColumn id="7434" xr3:uid="{B5970AFE-E2FE-4D50-B3FF-C6E7227D452D}" name="Column7415"/>
    <tableColumn id="7435" xr3:uid="{CEAA9965-C105-4BF1-B664-7DDD4DE1146B}" name="Column7416"/>
    <tableColumn id="7436" xr3:uid="{E5F72093-CAC6-43BA-AA8E-B7573584ABC8}" name="Column7417"/>
    <tableColumn id="7437" xr3:uid="{3FD73B86-69DF-4C7F-89E5-E745E9765E3B}" name="Column7418"/>
    <tableColumn id="7438" xr3:uid="{7B32BEA9-BF6A-475A-87A8-3FCE88E06C08}" name="Column7419"/>
    <tableColumn id="7439" xr3:uid="{3B0A4F3F-9291-4B8B-8597-20AB1982625A}" name="Column7420"/>
    <tableColumn id="7440" xr3:uid="{E103515B-8E79-4FF3-96C1-AE416D5EF956}" name="Column7421"/>
    <tableColumn id="7441" xr3:uid="{0FDDEFE2-1D85-4AED-B7F6-778D0BAF2E88}" name="Column7422"/>
    <tableColumn id="7442" xr3:uid="{A6273C91-DB6E-41A3-8C6F-2F6C407E9F0C}" name="Column7423"/>
    <tableColumn id="7443" xr3:uid="{C8B5C9E2-A0E5-4654-AF8E-E01900244823}" name="Column7424"/>
    <tableColumn id="7444" xr3:uid="{478D15B6-F508-46B9-9FED-5DF67DB5D93A}" name="Column7425"/>
    <tableColumn id="7445" xr3:uid="{C439BBD1-EAB2-43F4-8A76-1105A483DEA4}" name="Column7426"/>
    <tableColumn id="7446" xr3:uid="{A0C2277D-6130-4297-89A2-FA0AA212A8C0}" name="Column7427"/>
    <tableColumn id="7447" xr3:uid="{58FF0120-2AA6-4B30-9F50-B4FFD4F0696A}" name="Column7428"/>
    <tableColumn id="7448" xr3:uid="{C743A08E-5520-4F95-8A0F-C42EC5439AD6}" name="Column7429"/>
    <tableColumn id="7449" xr3:uid="{8742E95A-B5B3-4232-A04A-601DEC64D61E}" name="Column7430"/>
    <tableColumn id="7450" xr3:uid="{7C1247E7-D9DF-4962-86E5-6799C0C21817}" name="Column7431"/>
    <tableColumn id="7451" xr3:uid="{EC4B1D08-3716-4121-AEA0-4A4D847EB595}" name="Column7432"/>
    <tableColumn id="7452" xr3:uid="{98116095-2527-43E1-B4F3-FEAD683E2C21}" name="Column7433"/>
    <tableColumn id="7453" xr3:uid="{512E15BC-C203-4917-AC9B-83061A3863F6}" name="Column7434"/>
    <tableColumn id="7454" xr3:uid="{876F5C74-A5EA-4E58-B630-D1A62FCB7552}" name="Column7435"/>
    <tableColumn id="7455" xr3:uid="{0935FDE4-6B84-4C80-AB46-7FAC2BF465B2}" name="Column7436"/>
    <tableColumn id="7456" xr3:uid="{37BFD583-ED7E-456E-84D6-CCD2F8944E44}" name="Column7437"/>
    <tableColumn id="7457" xr3:uid="{E2C2B923-3B29-4068-8990-E996E1577CE1}" name="Column7438"/>
    <tableColumn id="7458" xr3:uid="{1820DB47-AAB6-47CB-A24E-C17CE5762DD7}" name="Column7439"/>
    <tableColumn id="7459" xr3:uid="{E9EA9221-FBA1-4249-88B8-A46F08741846}" name="Column7440"/>
    <tableColumn id="7460" xr3:uid="{2E1755F0-DE77-4F6B-A57B-E4919A0952E5}" name="Column7441"/>
    <tableColumn id="7461" xr3:uid="{0B2DA86F-9EFD-4DD4-87A3-A1837FF1E460}" name="Column7442"/>
    <tableColumn id="7462" xr3:uid="{590984C9-8B60-4733-9913-5C0DAB6E7525}" name="Column7443"/>
    <tableColumn id="7463" xr3:uid="{A61FD3DF-E781-4648-BC68-6EB037B6A11F}" name="Column7444"/>
    <tableColumn id="7464" xr3:uid="{A8BE9C0F-8F2A-440E-AFB8-6E33BF2752B6}" name="Column7445"/>
    <tableColumn id="7465" xr3:uid="{12CA7D1A-AE8A-4DB7-BB1C-7E1CB77FBFC6}" name="Column7446"/>
    <tableColumn id="7466" xr3:uid="{00A0A737-25A1-493A-8E92-44F506C3B372}" name="Column7447"/>
    <tableColumn id="7467" xr3:uid="{BEAF383E-B660-4447-B5AF-4995CA50F38D}" name="Column7448"/>
    <tableColumn id="7468" xr3:uid="{448AC50A-7A09-4F42-94D0-CABA46646CA4}" name="Column7449"/>
    <tableColumn id="7469" xr3:uid="{0B3E78AC-F4D6-4D3F-B535-5D244BE9C29D}" name="Column7450"/>
    <tableColumn id="7470" xr3:uid="{6144F50D-C1A2-4976-9019-A5BB2D07BBBE}" name="Column7451"/>
    <tableColumn id="7471" xr3:uid="{541DB058-BC1C-4803-9ED0-ED655B79190D}" name="Column7452"/>
    <tableColumn id="7472" xr3:uid="{B5D19BC2-04B9-4836-AC5C-9318FFC85343}" name="Column7453"/>
    <tableColumn id="7473" xr3:uid="{3F4FD427-F8B2-4EB3-B9A9-245907437BCF}" name="Column7454"/>
    <tableColumn id="7474" xr3:uid="{0CD5BB3D-F278-4840-A394-38BFFB7C7669}" name="Column7455"/>
    <tableColumn id="7475" xr3:uid="{4A8A2041-2DC4-4BC8-A897-6360CB8D51EB}" name="Column7456"/>
    <tableColumn id="7476" xr3:uid="{DBA9289F-FC03-457C-9C49-6515E6CC923F}" name="Column7457"/>
    <tableColumn id="7477" xr3:uid="{A738AF9C-6EA8-4C3E-B951-F5E6E8D4B43A}" name="Column7458"/>
    <tableColumn id="7478" xr3:uid="{528E01D7-3542-40F0-9A52-E8E6930B6174}" name="Column7459"/>
    <tableColumn id="7479" xr3:uid="{A0C6FA3B-322C-4953-8A21-A10A5D499B9A}" name="Column7460"/>
    <tableColumn id="7480" xr3:uid="{5EEA4DC9-7042-4127-BDBE-23689596E0E4}" name="Column7461"/>
    <tableColumn id="7481" xr3:uid="{00D3DCB4-1770-4F77-8ACB-4F22EC7F9803}" name="Column7462"/>
    <tableColumn id="7482" xr3:uid="{DF35F3D8-BFF3-489B-BF73-6B596C78015B}" name="Column7463"/>
    <tableColumn id="7483" xr3:uid="{C7AD39AE-3006-4660-B958-D5D8A151E9DE}" name="Column7464"/>
    <tableColumn id="7484" xr3:uid="{A1F3DD4A-65EC-4854-A399-2A730927D976}" name="Column7465"/>
    <tableColumn id="7485" xr3:uid="{CE1B2547-99A7-43C7-9997-6C1B1CA8F177}" name="Column7466"/>
    <tableColumn id="7486" xr3:uid="{7CD44990-7C66-4F33-A8F4-A3CBCC113A03}" name="Column7467"/>
    <tableColumn id="7487" xr3:uid="{68EDBC5C-5C4B-44A0-A375-B8A521CFBC23}" name="Column7468"/>
    <tableColumn id="7488" xr3:uid="{2ED00343-C1EC-47F4-8967-C869B992A1FA}" name="Column7469"/>
    <tableColumn id="7489" xr3:uid="{0690AE71-FC75-46BC-8C31-639AC3AB08B1}" name="Column7470"/>
    <tableColumn id="7490" xr3:uid="{36D4F44F-ABF9-4004-BA76-4E09C9365FCF}" name="Column7471"/>
    <tableColumn id="7491" xr3:uid="{0012ADF0-F554-4021-BCCB-AA0A9BA44F18}" name="Column7472"/>
    <tableColumn id="7492" xr3:uid="{67C36337-CBB0-4596-A457-50CE7F100C8F}" name="Column7473"/>
    <tableColumn id="7493" xr3:uid="{72AB5DCB-1F1B-48FB-B4E2-DBAA5ECF863D}" name="Column7474"/>
    <tableColumn id="7494" xr3:uid="{19A987D5-0400-4F86-AD27-F097BB3FF724}" name="Column7475"/>
    <tableColumn id="7495" xr3:uid="{37C8DDA7-684D-4A1D-B273-D49A206B42E7}" name="Column7476"/>
    <tableColumn id="7496" xr3:uid="{F8F84C47-9627-474D-AD15-28CF02D9E586}" name="Column7477"/>
    <tableColumn id="7497" xr3:uid="{B2B10239-EABF-4243-B969-E458E3F5C438}" name="Column7478"/>
    <tableColumn id="7498" xr3:uid="{0F5CBE89-4866-493E-84EE-D08F0DEB06FF}" name="Column7479"/>
    <tableColumn id="7499" xr3:uid="{83BE62C4-0D01-4607-954A-70B02F0556FD}" name="Column7480"/>
    <tableColumn id="7500" xr3:uid="{310278CC-BB66-4843-B9FB-C51700E7DF8F}" name="Column7481"/>
    <tableColumn id="7501" xr3:uid="{994B9907-B097-460C-8169-062C7362E6AC}" name="Column7482"/>
    <tableColumn id="7502" xr3:uid="{3578B4EC-ED05-483E-9CFF-4F2A617271FF}" name="Column7483"/>
    <tableColumn id="7503" xr3:uid="{03F2E777-AB19-4D3C-9E61-D249DF86CCAC}" name="Column7484"/>
    <tableColumn id="7504" xr3:uid="{364673AB-D171-4126-AD94-788FA79062B0}" name="Column7485"/>
    <tableColumn id="7505" xr3:uid="{89C8B4DB-B4FF-4D52-9D1E-19435039449F}" name="Column7486"/>
    <tableColumn id="7506" xr3:uid="{13DE9E43-8B87-43EE-AB97-E3F43B01D46E}" name="Column7487"/>
    <tableColumn id="7507" xr3:uid="{FCDAF3AC-7A99-4574-A65E-833031415326}" name="Column7488"/>
    <tableColumn id="7508" xr3:uid="{3939D96B-671F-47A1-AC71-D35CC9BBC7F7}" name="Column7489"/>
    <tableColumn id="7509" xr3:uid="{84277255-76FE-47DD-A7CE-4B96DF898853}" name="Column7490"/>
    <tableColumn id="7510" xr3:uid="{722881AE-53E7-4D30-AFDA-2B3D191E8540}" name="Column7491"/>
    <tableColumn id="7511" xr3:uid="{24FCC72B-D7FB-4363-88AE-6CAFAE9C1922}" name="Column7492"/>
    <tableColumn id="7512" xr3:uid="{10E740DD-C88C-4B3B-98CF-E74E080B89C7}" name="Column7493"/>
    <tableColumn id="7513" xr3:uid="{5A480ED7-4E25-46C2-A7BD-BBD68F97DFF2}" name="Column7494"/>
    <tableColumn id="7514" xr3:uid="{AF7CFF8C-FCEE-4FF4-96CE-BCB96B512139}" name="Column7495"/>
    <tableColumn id="7515" xr3:uid="{33FF2669-FD39-4BDE-A96C-D16E3FBFB909}" name="Column7496"/>
    <tableColumn id="7516" xr3:uid="{B0A1CF56-3204-4168-A95A-2127AA686A41}" name="Column7497"/>
    <tableColumn id="7517" xr3:uid="{BC173631-C2A0-4EDB-AF34-D2B40D77A2AF}" name="Column7498"/>
    <tableColumn id="7518" xr3:uid="{0006C6F9-38C1-4EB2-8623-A078C49AF24A}" name="Column7499"/>
    <tableColumn id="7519" xr3:uid="{62587888-E48F-4FCE-BD5F-A3EB5EF0CDF3}" name="Column7500"/>
    <tableColumn id="7520" xr3:uid="{CBED4D7B-AEC8-43C7-9FD3-46EFA62878EF}" name="Column7501"/>
    <tableColumn id="7521" xr3:uid="{5A5E6D8C-BBFB-4DE3-AD40-1DE71D8E13A0}" name="Column7502"/>
    <tableColumn id="7522" xr3:uid="{04593F75-D2DE-4E25-AF52-4E793159AEB2}" name="Column7503"/>
    <tableColumn id="7523" xr3:uid="{36D494D9-447C-4902-B6D4-A7A2795C12D7}" name="Column7504"/>
    <tableColumn id="7524" xr3:uid="{95A2C2DF-C332-4F63-AAAD-72EF32C5C76A}" name="Column7505"/>
    <tableColumn id="7525" xr3:uid="{4D49E045-63AD-41F9-9D42-E71991BD9236}" name="Column7506"/>
    <tableColumn id="7526" xr3:uid="{093BBD30-CC08-46FD-B026-E671196CE999}" name="Column7507"/>
    <tableColumn id="7527" xr3:uid="{DC121082-CD94-41A4-95F5-E26F7C62E4A6}" name="Column7508"/>
    <tableColumn id="7528" xr3:uid="{CE1589BC-626F-4437-8327-4E4B0EDE55DE}" name="Column7509"/>
    <tableColumn id="7529" xr3:uid="{344019B0-2ADC-4336-91EB-3A6DC08ABA4B}" name="Column7510"/>
    <tableColumn id="7530" xr3:uid="{C261CA80-4412-4A5C-83F2-CFB75094CB00}" name="Column7511"/>
    <tableColumn id="7531" xr3:uid="{36473B59-D0BB-49BA-A295-3A80CCF22705}" name="Column7512"/>
    <tableColumn id="7532" xr3:uid="{1341CFE4-CB9B-4E66-93F7-182B5B588715}" name="Column7513"/>
    <tableColumn id="7533" xr3:uid="{7B757A74-0972-4616-8825-DA2E187E047C}" name="Column7514"/>
    <tableColumn id="7534" xr3:uid="{64A0B839-0113-4AC5-9CF1-E81E3F8DD711}" name="Column7515"/>
    <tableColumn id="7535" xr3:uid="{EA64A89A-962F-424F-948C-BAC4CE0F9D7E}" name="Column7516"/>
    <tableColumn id="7536" xr3:uid="{BD205250-E50D-4B63-AEA3-920CE300904C}" name="Column7517"/>
    <tableColumn id="7537" xr3:uid="{A3EB0339-12A1-4AA8-B77E-559BEB59D955}" name="Column7518"/>
    <tableColumn id="7538" xr3:uid="{F394783E-66F4-4F42-B3D3-0C369D5ECE9B}" name="Column7519"/>
    <tableColumn id="7539" xr3:uid="{1EE52DDD-8EF7-4FC4-BCBC-28DC851A562F}" name="Column7520"/>
    <tableColumn id="7540" xr3:uid="{B89F651E-2770-48CE-A150-BB5611952DD2}" name="Column7521"/>
    <tableColumn id="7541" xr3:uid="{0B61FB0E-456B-4856-98E6-C17A9E76182B}" name="Column7522"/>
    <tableColumn id="7542" xr3:uid="{94D0724C-CBE6-4398-B5F4-EF1CA77D44CD}" name="Column7523"/>
    <tableColumn id="7543" xr3:uid="{829C27D2-30E6-422C-8DF1-60F64B78B70D}" name="Column7524"/>
    <tableColumn id="7544" xr3:uid="{F9540647-2AE0-491E-B956-2D07DDDAD840}" name="Column7525"/>
    <tableColumn id="7545" xr3:uid="{7B072C9B-C8A2-4FFB-BF9B-8F0EB8646C97}" name="Column7526"/>
    <tableColumn id="7546" xr3:uid="{F4C789D2-1660-4526-8741-D167E9955D8C}" name="Column7527"/>
    <tableColumn id="7547" xr3:uid="{FC7CB5A9-12E9-48E2-A8F0-FD5D065E08EF}" name="Column7528"/>
    <tableColumn id="7548" xr3:uid="{FC5BFB7A-DBC9-4829-8788-2CCD2F105658}" name="Column7529"/>
    <tableColumn id="7549" xr3:uid="{9C625930-4223-41C5-AD7D-08A30F3BE2B8}" name="Column7530"/>
    <tableColumn id="7550" xr3:uid="{8242C3ED-B9AD-4ECB-B2F3-DC07BD890148}" name="Column7531"/>
    <tableColumn id="7551" xr3:uid="{807D5302-5F1D-41DC-8497-6C95D5D9B25F}" name="Column7532"/>
    <tableColumn id="7552" xr3:uid="{C826AE6E-55B1-4292-8CAC-A291390CB0F4}" name="Column7533"/>
    <tableColumn id="7553" xr3:uid="{B3EBCBCB-60C0-4B64-8C44-C0277811D0A2}" name="Column7534"/>
    <tableColumn id="7554" xr3:uid="{85881B81-A433-40B1-8DE7-B56252D6614C}" name="Column7535"/>
    <tableColumn id="7555" xr3:uid="{709E94E9-26D8-4E41-BA51-4DB52CADF93E}" name="Column7536"/>
    <tableColumn id="7556" xr3:uid="{EEA4B647-1A15-4ED9-8C19-505A53146388}" name="Column7537"/>
    <tableColumn id="7557" xr3:uid="{C219BB30-CD13-497A-A979-71AA1E05B939}" name="Column7538"/>
    <tableColumn id="7558" xr3:uid="{9F2E841A-FB00-4EE4-A345-7820F12E115E}" name="Column7539"/>
    <tableColumn id="7559" xr3:uid="{9DB85321-0B93-466F-A1DC-A81F980AA5D4}" name="Column7540"/>
    <tableColumn id="7560" xr3:uid="{9993313D-53E6-446A-8D46-8CB9FFEAFC3B}" name="Column7541"/>
    <tableColumn id="7561" xr3:uid="{00F620CE-8B86-47DD-AAEE-5FCC0A569B22}" name="Column7542"/>
    <tableColumn id="7562" xr3:uid="{F1B8A232-31C8-401F-8AF8-028A0542B457}" name="Column7543"/>
    <tableColumn id="7563" xr3:uid="{F6E0D137-63E5-48EA-824E-F468D6718041}" name="Column7544"/>
    <tableColumn id="7564" xr3:uid="{F6C5AE73-D028-4B93-A551-97CBFEA8AD6B}" name="Column7545"/>
    <tableColumn id="7565" xr3:uid="{B450FCAF-07D9-4DD2-8548-3A25509A5E5A}" name="Column7546"/>
    <tableColumn id="7566" xr3:uid="{A988B07E-DDFA-4ADC-9880-FC047255AAE0}" name="Column7547"/>
    <tableColumn id="7567" xr3:uid="{E241AC6F-BA59-4A9F-8433-9B2948786F7A}" name="Column7548"/>
    <tableColumn id="7568" xr3:uid="{22D5A80F-21AF-46A9-AC4B-07427263DA06}" name="Column7549"/>
    <tableColumn id="7569" xr3:uid="{9F1787DB-3FD4-493A-BEEB-E3276DF3CCD3}" name="Column7550"/>
    <tableColumn id="7570" xr3:uid="{FFEF8C1C-5CD0-4261-8C8E-AD6D990F05E0}" name="Column7551"/>
    <tableColumn id="7571" xr3:uid="{C2325890-D117-4B56-B0AD-9CF9A0B43669}" name="Column7552"/>
    <tableColumn id="7572" xr3:uid="{8FB69CE8-E981-4514-B5D2-1C086E3A925C}" name="Column7553"/>
    <tableColumn id="7573" xr3:uid="{2700AF32-B08C-46F6-AD07-D854A9867FD9}" name="Column7554"/>
    <tableColumn id="7574" xr3:uid="{F4011375-966C-481C-B1F1-5DC32FF1A296}" name="Column7555"/>
    <tableColumn id="7575" xr3:uid="{C2675359-6CEE-45DF-899F-4BD3EAEF7727}" name="Column7556"/>
    <tableColumn id="7576" xr3:uid="{ED3FA3C9-4EA5-42C8-9721-772D46324D56}" name="Column7557"/>
    <tableColumn id="7577" xr3:uid="{866C299D-5044-4F70-9FE3-7038ED5DB16E}" name="Column7558"/>
    <tableColumn id="7578" xr3:uid="{C7FD4521-13E2-4D02-B6BA-509548B18E9E}" name="Column7559"/>
    <tableColumn id="7579" xr3:uid="{9DC730C8-8FD5-4F9E-8998-CE64A7A898B8}" name="Column7560"/>
    <tableColumn id="7580" xr3:uid="{2D872558-4602-4489-9FB0-2AABED2FBD6B}" name="Column7561"/>
    <tableColumn id="7581" xr3:uid="{CA1265A6-5CB6-4263-8371-C6E2A053E231}" name="Column7562"/>
    <tableColumn id="7582" xr3:uid="{EB94ACAC-FE50-48AB-8931-84CFE655F780}" name="Column7563"/>
    <tableColumn id="7583" xr3:uid="{179DC624-D81B-466C-A656-4F144AB56272}" name="Column7564"/>
    <tableColumn id="7584" xr3:uid="{5B6C5DF7-9A0A-4A8E-8621-A2C32EB771CC}" name="Column7565"/>
    <tableColumn id="7585" xr3:uid="{E8E12020-821F-41DC-9C9E-AA43A1FAA4C7}" name="Column7566"/>
    <tableColumn id="7586" xr3:uid="{39CBA4E5-268C-46DC-A03B-6119BE792C6E}" name="Column7567"/>
    <tableColumn id="7587" xr3:uid="{CAFE625E-A5C3-4BFB-8FAD-0C4E9D12926C}" name="Column7568"/>
    <tableColumn id="7588" xr3:uid="{6A41CAFA-E362-4219-AE95-7CF542E8D08F}" name="Column7569"/>
    <tableColumn id="7589" xr3:uid="{2218C266-F8B1-475E-AA69-3446BF97AA81}" name="Column7570"/>
    <tableColumn id="7590" xr3:uid="{5CFA79C5-DD1C-499B-9D70-CF0F1751956B}" name="Column7571"/>
    <tableColumn id="7591" xr3:uid="{0D305BCB-092C-4065-B294-E39C89F5DD8D}" name="Column7572"/>
    <tableColumn id="7592" xr3:uid="{8547D4B9-6326-41A7-9B6A-03C7F349E0E1}" name="Column7573"/>
    <tableColumn id="7593" xr3:uid="{2D552B30-C37F-4E32-94E5-B9ECC6B986E5}" name="Column7574"/>
    <tableColumn id="7594" xr3:uid="{3CDCC254-CBED-4536-A937-8B20C61E170B}" name="Column7575"/>
    <tableColumn id="7595" xr3:uid="{D4733CA9-D6F1-4DFF-83AC-6B338EA80865}" name="Column7576"/>
    <tableColumn id="7596" xr3:uid="{8FF96A70-763D-4BFC-A57A-7D8BE3268B2E}" name="Column7577"/>
    <tableColumn id="7597" xr3:uid="{257A18A7-2EF5-4EF6-AC74-C1619FC90943}" name="Column7578"/>
    <tableColumn id="7598" xr3:uid="{1B392477-9ECD-4FE8-9B08-2CE7BD05A188}" name="Column7579"/>
    <tableColumn id="7599" xr3:uid="{E66259CF-323D-4D63-AA7B-60F7B7206FF1}" name="Column7580"/>
    <tableColumn id="7600" xr3:uid="{D66DDF5A-7F94-4D3F-9D63-E186F674E5FC}" name="Column7581"/>
    <tableColumn id="7601" xr3:uid="{156C934F-2832-493C-9C03-6B9B57021C53}" name="Column7582"/>
    <tableColumn id="7602" xr3:uid="{CDA32D61-AA66-4309-A618-F7291CC6F24B}" name="Column7583"/>
    <tableColumn id="7603" xr3:uid="{A51D76F9-9936-424C-A609-B42F0F88D1E5}" name="Column7584"/>
    <tableColumn id="7604" xr3:uid="{827FC1CE-8A72-488E-B837-89BCF8BC3766}" name="Column7585"/>
    <tableColumn id="7605" xr3:uid="{8AC8A9BC-4507-4142-9515-A8BBF9918454}" name="Column7586"/>
    <tableColumn id="7606" xr3:uid="{946B5ADC-9B42-412E-AFE7-B38F0A4FBACC}" name="Column7587"/>
    <tableColumn id="7607" xr3:uid="{082BBC7C-B3C5-4370-BACE-2AE39989AB1C}" name="Column7588"/>
    <tableColumn id="7608" xr3:uid="{1F7F2269-A56C-4E0A-9CAC-7B7F23064004}" name="Column7589"/>
    <tableColumn id="7609" xr3:uid="{241640E0-D620-461A-9144-38CD25EC668E}" name="Column7590"/>
    <tableColumn id="7610" xr3:uid="{0A6252F7-E67A-4C12-96C4-F4C1EF395C6D}" name="Column7591"/>
    <tableColumn id="7611" xr3:uid="{60E8B877-6ACC-4453-9C8C-572CE027E189}" name="Column7592"/>
    <tableColumn id="7612" xr3:uid="{B90522FF-F00F-4472-848C-E19792676E3F}" name="Column7593"/>
    <tableColumn id="7613" xr3:uid="{0F71E22F-EAD4-4A9B-87E0-29E9F27EF002}" name="Column7594"/>
    <tableColumn id="7614" xr3:uid="{F10C06E4-CDF5-45D1-938D-8198971F42FF}" name="Column7595"/>
    <tableColumn id="7615" xr3:uid="{9CD22AD3-2A27-43AC-8B78-7324FBB46197}" name="Column7596"/>
    <tableColumn id="7616" xr3:uid="{D57E658F-6AC4-4321-A185-42E81DD4E7A4}" name="Column7597"/>
    <tableColumn id="7617" xr3:uid="{E0C7B122-32B3-4CC0-8C9E-76752C2E2505}" name="Column7598"/>
    <tableColumn id="7618" xr3:uid="{4A2978C5-256B-496B-A849-96FA3A254F48}" name="Column7599"/>
    <tableColumn id="7619" xr3:uid="{F8F4CDFC-874C-4AA8-9529-DF529B470CB6}" name="Column7600"/>
    <tableColumn id="7620" xr3:uid="{08D744BE-274F-446E-8895-9F9168F4C748}" name="Column7601"/>
    <tableColumn id="7621" xr3:uid="{E0F3D54C-DB5D-4CED-9F37-B4EC46D3C4B9}" name="Column7602"/>
    <tableColumn id="7622" xr3:uid="{D3E79141-73B8-4FE0-B857-E400B897FF9A}" name="Column7603"/>
    <tableColumn id="7623" xr3:uid="{2B62DD46-AA8A-4C22-BB55-1BA5409303E5}" name="Column7604"/>
    <tableColumn id="7624" xr3:uid="{D903C5B6-01C3-4A64-A272-74EB8DB3C461}" name="Column7605"/>
    <tableColumn id="7625" xr3:uid="{679FB881-3950-48D7-A64F-3EF979D43B63}" name="Column7606"/>
    <tableColumn id="7626" xr3:uid="{4946AA8D-1C2D-4878-A6CD-17D4C379456B}" name="Column7607"/>
    <tableColumn id="7627" xr3:uid="{FE90C8F5-B1EC-4254-A8F5-1F563F6D6F31}" name="Column7608"/>
    <tableColumn id="7628" xr3:uid="{FA532DE4-9ED6-4563-8644-AA8DEBB0F492}" name="Column7609"/>
    <tableColumn id="7629" xr3:uid="{6D47DC25-19E1-4F67-BDA3-E40CD7B6619C}" name="Column7610"/>
    <tableColumn id="7630" xr3:uid="{C3BAFDB3-61C5-4BB6-AC4B-C30FED66681B}" name="Column7611"/>
    <tableColumn id="7631" xr3:uid="{8E072ED8-F893-49D2-BE27-F5298242366C}" name="Column7612"/>
    <tableColumn id="7632" xr3:uid="{7BE3BA94-A57A-4109-A16B-072E9A55D522}" name="Column7613"/>
    <tableColumn id="7633" xr3:uid="{885DC4CB-D7B3-4128-B304-7DCD2F98BBA1}" name="Column7614"/>
    <tableColumn id="7634" xr3:uid="{821531D5-213D-4073-8C3F-F31C53E9EEE0}" name="Column7615"/>
    <tableColumn id="7635" xr3:uid="{E4EEEE01-027C-40AF-9CF2-4AA265952846}" name="Column7616"/>
    <tableColumn id="7636" xr3:uid="{3521B1E9-1CD6-4D66-B962-33365F92895C}" name="Column7617"/>
    <tableColumn id="7637" xr3:uid="{7C7CE7DE-78C8-4C47-B8B5-B7D4C4A2D2B9}" name="Column7618"/>
    <tableColumn id="7638" xr3:uid="{678E081C-DA1D-4941-80AE-CA76E3998D3B}" name="Column7619"/>
    <tableColumn id="7639" xr3:uid="{F5808867-63FE-43E1-A0F5-4BC154B4BA9E}" name="Column7620"/>
    <tableColumn id="7640" xr3:uid="{7A8E58E8-3AD8-43A4-8AF7-B96074E31E99}" name="Column7621"/>
    <tableColumn id="7641" xr3:uid="{953C800F-4384-4843-AC68-53E688729A0D}" name="Column7622"/>
    <tableColumn id="7642" xr3:uid="{1CC6904C-CC05-413F-BF43-CB05BB2D9E01}" name="Column7623"/>
    <tableColumn id="7643" xr3:uid="{F9B5C0D5-95C2-4D53-90A4-A9B7DA9B5DBB}" name="Column7624"/>
    <tableColumn id="7644" xr3:uid="{83BA8FA9-6BAC-4C30-8DA3-8260C30C515C}" name="Column7625"/>
    <tableColumn id="7645" xr3:uid="{7F9BFC2E-00E3-4DF8-A42D-31E147E0FF5A}" name="Column7626"/>
    <tableColumn id="7646" xr3:uid="{75B964A9-7BA5-4AE6-98DA-C968097498A2}" name="Column7627"/>
    <tableColumn id="7647" xr3:uid="{D25DED33-6C20-474C-AF85-71A549BE7CDD}" name="Column7628"/>
    <tableColumn id="7648" xr3:uid="{CE1024D8-AA0D-4510-A5BA-CDFC7C2B118D}" name="Column7629"/>
    <tableColumn id="7649" xr3:uid="{A100EDB9-D261-430B-920C-5D220801AD4B}" name="Column7630"/>
    <tableColumn id="7650" xr3:uid="{5C7D0098-EB2E-4559-8E36-4FC8B7D55FEF}" name="Column7631"/>
    <tableColumn id="7651" xr3:uid="{4B5179F1-3061-4A17-A25C-BD8E49D17F07}" name="Column7632"/>
    <tableColumn id="7652" xr3:uid="{758BFF41-DD31-4EA9-86C1-9539C071525B}" name="Column7633"/>
    <tableColumn id="7653" xr3:uid="{5F8AD2AC-BA9A-4E09-8898-C0CBD8C11BFB}" name="Column7634"/>
    <tableColumn id="7654" xr3:uid="{C03E3EF1-8C04-4EBF-A965-B8C2F063F5B8}" name="Column7635"/>
    <tableColumn id="7655" xr3:uid="{59B8272D-C914-4D7F-B4B6-791BBAB8C0BB}" name="Column7636"/>
    <tableColumn id="7656" xr3:uid="{7109D314-762E-416F-A887-1ABEC844F4C9}" name="Column7637"/>
    <tableColumn id="7657" xr3:uid="{D47A1F88-9D93-4C1C-ABB4-0C5188F94BF9}" name="Column7638"/>
    <tableColumn id="7658" xr3:uid="{129FF8CA-9F22-46AD-83E3-F1A1D4DADFFA}" name="Column7639"/>
    <tableColumn id="7659" xr3:uid="{5CA884F5-E767-44D8-AAA8-2D21E6B109C4}" name="Column7640"/>
    <tableColumn id="7660" xr3:uid="{29949A35-E957-462A-A2D6-C6A52F884EDF}" name="Column7641"/>
    <tableColumn id="7661" xr3:uid="{47012B4F-8122-4181-896E-E64160118DE4}" name="Column7642"/>
    <tableColumn id="7662" xr3:uid="{3364C27D-95B6-49E2-A051-F5948A471665}" name="Column7643"/>
    <tableColumn id="7663" xr3:uid="{079CF8CA-D5AB-4EA0-818F-CCDD636A3F63}" name="Column7644"/>
    <tableColumn id="7664" xr3:uid="{BA109708-DDFF-41C9-8219-CD6F436040E5}" name="Column7645"/>
    <tableColumn id="7665" xr3:uid="{8D0F6B58-4D4D-49DB-889E-39F21617E107}" name="Column7646"/>
    <tableColumn id="7666" xr3:uid="{FF915CB9-F20F-4893-B3C5-E4237E87D44A}" name="Column7647"/>
    <tableColumn id="7667" xr3:uid="{7C5049BA-3471-4B02-9DA7-0E0082924D1D}" name="Column7648"/>
    <tableColumn id="7668" xr3:uid="{085440A4-AC8F-46D2-9111-9419E09D9C68}" name="Column7649"/>
    <tableColumn id="7669" xr3:uid="{6E2D0D20-A003-4E48-A1BA-4667F22D9347}" name="Column7650"/>
    <tableColumn id="7670" xr3:uid="{09F17EE8-2752-4B8F-A4AA-7FF622C9CE15}" name="Column7651"/>
    <tableColumn id="7671" xr3:uid="{87D60102-09B7-4F90-AFBE-EF23C8CB78B9}" name="Column7652"/>
    <tableColumn id="7672" xr3:uid="{5CAAFD65-C49F-46D9-B9F1-573738A99820}" name="Column7653"/>
    <tableColumn id="7673" xr3:uid="{75DBADB7-F000-494E-9E19-92295A95CABE}" name="Column7654"/>
    <tableColumn id="7674" xr3:uid="{B12CEA4F-E2AA-4A23-9243-35BEBBBC2B90}" name="Column7655"/>
    <tableColumn id="7675" xr3:uid="{40172789-28FB-40FA-BD30-C22D8C416BBD}" name="Column7656"/>
    <tableColumn id="7676" xr3:uid="{97FEE680-3C29-4354-90E9-1FFA0264E264}" name="Column7657"/>
    <tableColumn id="7677" xr3:uid="{6ECF0DE5-8158-4246-B145-28C10E5203D0}" name="Column7658"/>
    <tableColumn id="7678" xr3:uid="{3B932AD1-2EDF-4E01-9B89-1AB5B681C9DA}" name="Column7659"/>
    <tableColumn id="7679" xr3:uid="{DAF95A5F-F2D4-4CD8-9EB3-A1A7BCB0983E}" name="Column7660"/>
    <tableColumn id="7680" xr3:uid="{04B25863-3036-4CBD-B5E0-F42E05FEB167}" name="Column7661"/>
    <tableColumn id="7681" xr3:uid="{5A7D1E90-11B5-4768-86B4-FD0998BD6E2C}" name="Column7662"/>
    <tableColumn id="7682" xr3:uid="{81E7F78C-BDA5-4197-AF05-09396ADFEC16}" name="Column7663"/>
    <tableColumn id="7683" xr3:uid="{F7CBA69B-3BB1-41AF-8FED-4192AC554AF9}" name="Column7664"/>
    <tableColumn id="7684" xr3:uid="{9AAD227C-7CA1-444A-A0D0-FE38E2BF60C3}" name="Column7665"/>
    <tableColumn id="7685" xr3:uid="{B54E38E5-BFCC-4931-88F5-0266DFA53D3F}" name="Column7666"/>
    <tableColumn id="7686" xr3:uid="{C0FE295B-68B5-4C40-B4D5-195B58999EF1}" name="Column7667"/>
    <tableColumn id="7687" xr3:uid="{5FC49689-426F-4AB9-AEEC-AC8B14DF1868}" name="Column7668"/>
    <tableColumn id="7688" xr3:uid="{02BFE97C-6217-4CCA-99E3-779232BF877E}" name="Column7669"/>
    <tableColumn id="7689" xr3:uid="{FB28D769-92B6-4096-AD05-5F02D4D30FCB}" name="Column7670"/>
    <tableColumn id="7690" xr3:uid="{D6415B40-A113-449E-8355-870AA1E4AC49}" name="Column7671"/>
    <tableColumn id="7691" xr3:uid="{9924A053-4D54-4AF9-B6D2-880AA5222357}" name="Column7672"/>
    <tableColumn id="7692" xr3:uid="{DF551686-50E8-4035-AFEC-F45885324F76}" name="Column7673"/>
    <tableColumn id="7693" xr3:uid="{E6A06BB4-4336-4113-B223-0A942F9500D3}" name="Column7674"/>
    <tableColumn id="7694" xr3:uid="{B704FE95-CE32-480B-B117-3C444DE4F60C}" name="Column7675"/>
    <tableColumn id="7695" xr3:uid="{9165759B-392A-462B-8F64-707E5C618897}" name="Column7676"/>
    <tableColumn id="7696" xr3:uid="{6612D384-6F9A-4F69-AC30-1F33D7109913}" name="Column7677"/>
    <tableColumn id="7697" xr3:uid="{8B556516-8372-4E8C-91B7-649CA3B92DC2}" name="Column7678"/>
    <tableColumn id="7698" xr3:uid="{38F56DFF-8B1C-4A91-81E6-59B2359F6014}" name="Column7679"/>
    <tableColumn id="7699" xr3:uid="{56A9C1D3-30C4-4331-A83F-583E44273410}" name="Column7680"/>
    <tableColumn id="7700" xr3:uid="{F2E7141A-799D-4BF4-8D08-289C9CF129B1}" name="Column7681"/>
    <tableColumn id="7701" xr3:uid="{CA510FF9-2153-481D-AA28-0F55530B3DD1}" name="Column7682"/>
    <tableColumn id="7702" xr3:uid="{04B9B1EF-F15B-49CC-B16D-03D2BA1CB5CD}" name="Column7683"/>
    <tableColumn id="7703" xr3:uid="{196CF58B-A89E-4A1F-AA40-325FF9E9F65E}" name="Column7684"/>
    <tableColumn id="7704" xr3:uid="{8BA8C19F-DAE1-409D-A0C2-9C77E5932237}" name="Column7685"/>
    <tableColumn id="7705" xr3:uid="{AADBDD2A-828C-4071-8AFA-A35459EB9144}" name="Column7686"/>
    <tableColumn id="7706" xr3:uid="{EFC11022-A608-46A6-844A-B8C84F65B566}" name="Column7687"/>
    <tableColumn id="7707" xr3:uid="{53FA1EF0-FCD0-4B58-94DB-FBBEB7329731}" name="Column7688"/>
    <tableColumn id="7708" xr3:uid="{2F4958C2-388B-43EE-942C-FD3DD99BD927}" name="Column7689"/>
    <tableColumn id="7709" xr3:uid="{02113B6E-E9B6-425F-AFF9-107C88AA4E4E}" name="Column7690"/>
    <tableColumn id="7710" xr3:uid="{D9434643-0753-48EF-9EB5-024256358E02}" name="Column7691"/>
    <tableColumn id="7711" xr3:uid="{1E0D51D8-9A31-46D6-B353-D1BEA1D2C3DA}" name="Column7692"/>
    <tableColumn id="7712" xr3:uid="{71C3CBF0-109C-4963-817F-42C403BEB305}" name="Column7693"/>
    <tableColumn id="7713" xr3:uid="{E7433A8E-3C65-479B-B2DD-C1C005B4FDC5}" name="Column7694"/>
    <tableColumn id="7714" xr3:uid="{D193C401-C713-4229-80DF-5DA299D338C8}" name="Column7695"/>
    <tableColumn id="7715" xr3:uid="{030E43CA-08E8-4B2F-BC9F-FD4814E64C54}" name="Column7696"/>
    <tableColumn id="7716" xr3:uid="{12827ED6-49F7-4F63-9A2B-A8349055F828}" name="Column7697"/>
    <tableColumn id="7717" xr3:uid="{838BFF39-AD74-44AD-82DA-2EB46715A1C1}" name="Column7698"/>
    <tableColumn id="7718" xr3:uid="{C6CC2FD7-6523-4597-B3CE-7CE99C0A9D50}" name="Column7699"/>
    <tableColumn id="7719" xr3:uid="{F6917B0E-BBFC-46EC-AC1E-E833CEFC3CB4}" name="Column7700"/>
    <tableColumn id="7720" xr3:uid="{29BB1C45-0473-41CE-8521-E34F1A5ECC92}" name="Column7701"/>
    <tableColumn id="7721" xr3:uid="{8B05285F-CA35-47A2-B9B8-73CED933CD17}" name="Column7702"/>
    <tableColumn id="7722" xr3:uid="{AD0EBB9B-E99D-45E0-B740-B214E9640EF8}" name="Column7703"/>
    <tableColumn id="7723" xr3:uid="{9D4DAE2C-1974-4964-B5CF-0111B7FE32DC}" name="Column7704"/>
    <tableColumn id="7724" xr3:uid="{3AAA3754-B473-4C11-9433-DC173BCCA10D}" name="Column7705"/>
    <tableColumn id="7725" xr3:uid="{133CD9A8-195F-4FAA-80C5-1FB82BA940C2}" name="Column7706"/>
    <tableColumn id="7726" xr3:uid="{890BC76A-370A-4279-9C62-64F75C0B8BE1}" name="Column7707"/>
    <tableColumn id="7727" xr3:uid="{2485FAAC-80AD-4566-8969-78F5F8F7C468}" name="Column7708"/>
    <tableColumn id="7728" xr3:uid="{2E560C49-9411-4831-81EC-0568D5F3E047}" name="Column7709"/>
    <tableColumn id="7729" xr3:uid="{06BCFB5A-3117-4A0D-9ADB-17274F9DD992}" name="Column7710"/>
    <tableColumn id="7730" xr3:uid="{4C07CD9D-36D7-4539-A1D6-2E852C458B44}" name="Column7711"/>
    <tableColumn id="7731" xr3:uid="{D95FBA98-2809-44DF-B0C2-5FF2B70CA9F3}" name="Column7712"/>
    <tableColumn id="7732" xr3:uid="{30DF87D2-073F-400C-A628-9E44218F3DBD}" name="Column7713"/>
    <tableColumn id="7733" xr3:uid="{A737DE86-3365-4E2D-9991-2726F09F30BC}" name="Column7714"/>
    <tableColumn id="7734" xr3:uid="{CA9D94D5-72DD-477D-A8EF-C427A56CF8E1}" name="Column7715"/>
    <tableColumn id="7735" xr3:uid="{33B20EDA-0657-45EB-AE27-2FEE5D1F2AC8}" name="Column7716"/>
    <tableColumn id="7736" xr3:uid="{8DCFE477-FBDF-4D09-A1F9-C1DBEBC5AC38}" name="Column7717"/>
    <tableColumn id="7737" xr3:uid="{2325E721-E2B8-40DA-AA25-C50BF0A93F9A}" name="Column7718"/>
    <tableColumn id="7738" xr3:uid="{5D000095-E47A-421D-82CD-8D288A12EAEA}" name="Column7719"/>
    <tableColumn id="7739" xr3:uid="{21CEB618-E939-44B5-96C8-BDDE895CA442}" name="Column7720"/>
    <tableColumn id="7740" xr3:uid="{ABAE0CCC-4DE8-4943-AC53-6E2A9A6E8400}" name="Column7721"/>
    <tableColumn id="7741" xr3:uid="{292F39E0-DDF1-4CC2-84A6-008905AEBB0D}" name="Column7722"/>
    <tableColumn id="7742" xr3:uid="{94A62A23-6C3B-4E4A-85CF-014EB852DFE5}" name="Column7723"/>
    <tableColumn id="7743" xr3:uid="{02A9BDF9-4D6A-4096-B7A2-A924674D34DF}" name="Column7724"/>
    <tableColumn id="7744" xr3:uid="{677120BF-C12D-45C8-80E7-21738AAD1B8C}" name="Column7725"/>
    <tableColumn id="7745" xr3:uid="{D871F309-93FF-4625-9603-B9F4A830D591}" name="Column7726"/>
    <tableColumn id="7746" xr3:uid="{9DDDD1E4-9469-4C30-87F5-9416F2D32F76}" name="Column7727"/>
    <tableColumn id="7747" xr3:uid="{26C94246-0BDF-4ACA-9A28-B2708C0A27A1}" name="Column7728"/>
    <tableColumn id="7748" xr3:uid="{4DF5A843-EAB1-4DD2-9622-650E52FAC43A}" name="Column7729"/>
    <tableColumn id="7749" xr3:uid="{A91A3D39-0282-4366-B023-D9CF806CE283}" name="Column7730"/>
    <tableColumn id="7750" xr3:uid="{1AF0E5D2-640A-4C55-9349-0E8851DFEA4C}" name="Column7731"/>
    <tableColumn id="7751" xr3:uid="{3C7CBE92-0868-497D-8A30-8E510EFA309B}" name="Column7732"/>
    <tableColumn id="7752" xr3:uid="{A3D5E1BA-33B2-4602-9C8A-9DEAAD2F2438}" name="Column7733"/>
    <tableColumn id="7753" xr3:uid="{11CDE4C2-6C35-433D-ACF4-A127252AE875}" name="Column7734"/>
    <tableColumn id="7754" xr3:uid="{7ADB4322-58AB-4C60-84C3-F47ACB236FBD}" name="Column7735"/>
    <tableColumn id="7755" xr3:uid="{52CA615C-A86F-44D9-B0B8-8E8BC2407D40}" name="Column7736"/>
    <tableColumn id="7756" xr3:uid="{7C5DCF3E-CE09-435F-BB3C-88C4ABBDFD01}" name="Column7737"/>
    <tableColumn id="7757" xr3:uid="{C1BAB27F-D323-47C4-9715-CB2CF2B85971}" name="Column7738"/>
    <tableColumn id="7758" xr3:uid="{CF23F97D-BEE5-496C-BF2B-D2624B5F80BF}" name="Column7739"/>
    <tableColumn id="7759" xr3:uid="{913AB146-7B2E-4D3C-AA6D-8530881F45FB}" name="Column7740"/>
    <tableColumn id="7760" xr3:uid="{66A4DC8F-A45E-4786-A6D1-4ACC068C7732}" name="Column7741"/>
    <tableColumn id="7761" xr3:uid="{A9FF83A2-8778-46A7-AC08-86B7C8D897B1}" name="Column7742"/>
    <tableColumn id="7762" xr3:uid="{A8AA6386-8FC4-45D9-A6CD-0023FB0433A4}" name="Column7743"/>
    <tableColumn id="7763" xr3:uid="{38C9084D-E22A-4C9A-B0AA-076A05D0B065}" name="Column7744"/>
    <tableColumn id="7764" xr3:uid="{9BB9DF76-4BA0-42F4-8C8D-BE7F3370870E}" name="Column7745"/>
    <tableColumn id="7765" xr3:uid="{6AE3110B-7FB9-4332-8BA1-42D10FD5D66A}" name="Column7746"/>
    <tableColumn id="7766" xr3:uid="{82F58F05-D288-453D-A2B3-44741605DC79}" name="Column7747"/>
    <tableColumn id="7767" xr3:uid="{475A405E-1D41-4A7D-9BA9-71399819DB04}" name="Column7748"/>
    <tableColumn id="7768" xr3:uid="{15D4C8FC-3E17-4976-9941-37A00D203B6C}" name="Column7749"/>
    <tableColumn id="7769" xr3:uid="{00481303-E8F7-4F37-BE8F-66CA276D60AC}" name="Column7750"/>
    <tableColumn id="7770" xr3:uid="{E9A48A83-DE19-45D5-BD31-E0F0F4623DE5}" name="Column7751"/>
    <tableColumn id="7771" xr3:uid="{0A417B33-A491-4E9B-8FD3-0DD79239C3D7}" name="Column7752"/>
    <tableColumn id="7772" xr3:uid="{018CF91E-46EE-4296-9040-8D76035018F2}" name="Column7753"/>
    <tableColumn id="7773" xr3:uid="{BB5EB538-53D2-4FBD-9BA7-FFC87642D836}" name="Column7754"/>
    <tableColumn id="7774" xr3:uid="{309CDCA4-864D-433B-89F2-5185735E3A53}" name="Column7755"/>
    <tableColumn id="7775" xr3:uid="{57677E80-FAE9-426B-8A44-E310EF06992B}" name="Column7756"/>
    <tableColumn id="7776" xr3:uid="{61F93E9E-76CF-406D-9933-00F881448032}" name="Column7757"/>
    <tableColumn id="7777" xr3:uid="{F674F15A-90AA-4429-9BEB-1620E5A7B0B9}" name="Column7758"/>
    <tableColumn id="7778" xr3:uid="{DDC8FEED-E9F6-43C8-A933-2F3DF7F92C70}" name="Column7759"/>
    <tableColumn id="7779" xr3:uid="{A1BF40DD-0E0B-49AF-BD13-38DC68A5A88C}" name="Column7760"/>
    <tableColumn id="7780" xr3:uid="{6903B897-8E90-4AD9-BA78-32B64D37C3CA}" name="Column7761"/>
    <tableColumn id="7781" xr3:uid="{13ACBF43-B6F2-4506-AB96-BF7EB0611D3F}" name="Column7762"/>
    <tableColumn id="7782" xr3:uid="{672AEB15-7F1C-4312-826F-B0679D9BE3E6}" name="Column7763"/>
    <tableColumn id="7783" xr3:uid="{769AC86A-BF93-4CDF-BBC3-479C3B8FBC9B}" name="Column7764"/>
    <tableColumn id="7784" xr3:uid="{E1CECE83-F5DD-455D-9EBE-D3AA716B40EA}" name="Column7765"/>
    <tableColumn id="7785" xr3:uid="{F604FA62-6D9E-4F37-B58F-404E1DF3175D}" name="Column7766"/>
    <tableColumn id="7786" xr3:uid="{5FA7035A-BEC8-42C2-A9E2-3CF6C29F5B0E}" name="Column7767"/>
    <tableColumn id="7787" xr3:uid="{47A8D0E1-6481-45D5-8C91-6F4F397C3853}" name="Column7768"/>
    <tableColumn id="7788" xr3:uid="{4E8BFAE5-C6E9-4081-B405-2E1BEBD75D83}" name="Column7769"/>
    <tableColumn id="7789" xr3:uid="{35070833-35B8-460B-BDB9-CA8D6693D3BA}" name="Column7770"/>
    <tableColumn id="7790" xr3:uid="{3D82D564-1B54-45B3-A4D9-F3AFE51068E9}" name="Column7771"/>
    <tableColumn id="7791" xr3:uid="{1D2FAA09-17EC-49C0-8250-4B7D204607D5}" name="Column7772"/>
    <tableColumn id="7792" xr3:uid="{3576A389-14D3-4FF7-A38C-1A1C253C3C9E}" name="Column7773"/>
    <tableColumn id="7793" xr3:uid="{53DA454D-E455-4FF2-802D-22BCAA1B700E}" name="Column7774"/>
    <tableColumn id="7794" xr3:uid="{C51BCA50-3197-41FE-9023-0F781B64BCB9}" name="Column7775"/>
    <tableColumn id="7795" xr3:uid="{9F7D15F4-248E-4C69-9B64-95604C16BDE2}" name="Column7776"/>
    <tableColumn id="7796" xr3:uid="{AE922D2E-F9C7-4021-9D65-DF12EC8CC726}" name="Column7777"/>
    <tableColumn id="7797" xr3:uid="{E3E9F629-1EFB-4F66-8ADB-B25B2F39A212}" name="Column7778"/>
    <tableColumn id="7798" xr3:uid="{D4169BA0-A7B8-4B30-ADF5-80A0BA4E9620}" name="Column7779"/>
    <tableColumn id="7799" xr3:uid="{DCBE33A1-62EB-44D1-BC2B-E2AC6104AD64}" name="Column7780"/>
    <tableColumn id="7800" xr3:uid="{6185CB6E-3316-4B52-950B-4205B1986C50}" name="Column7781"/>
    <tableColumn id="7801" xr3:uid="{2A6BFE7D-5D63-4CE3-A73E-0003A8BEB382}" name="Column7782"/>
    <tableColumn id="7802" xr3:uid="{3CCC83AA-61C1-4121-8B74-1427D2F81170}" name="Column7783"/>
    <tableColumn id="7803" xr3:uid="{BD49539D-E340-41F9-B662-96B8E91D064C}" name="Column7784"/>
    <tableColumn id="7804" xr3:uid="{F6DE70B1-4B33-43D1-8ADF-2EDF6C6EB19A}" name="Column7785"/>
    <tableColumn id="7805" xr3:uid="{86216715-13E3-4261-B3B1-E7FFEFC8E3AA}" name="Column7786"/>
    <tableColumn id="7806" xr3:uid="{C519874A-C1D9-4B3F-A2CA-9E40DB5395C5}" name="Column7787"/>
    <tableColumn id="7807" xr3:uid="{B9F1BA18-DE12-402D-BA58-BCEE622797DD}" name="Column7788"/>
    <tableColumn id="7808" xr3:uid="{64CF39A1-EDE8-41F6-9B51-2F951E21222D}" name="Column7789"/>
    <tableColumn id="7809" xr3:uid="{F8B2AEB3-1251-41C3-AA12-86FF8BD237EE}" name="Column7790"/>
    <tableColumn id="7810" xr3:uid="{F386D883-929B-495F-AB34-3C9B9FDECD1C}" name="Column7791"/>
    <tableColumn id="7811" xr3:uid="{B358B082-1F61-405B-952F-1BD281C0ABB4}" name="Column7792"/>
    <tableColumn id="7812" xr3:uid="{A2155A7C-AAC7-4586-BAFD-1539C12D6739}" name="Column7793"/>
    <tableColumn id="7813" xr3:uid="{2BD26BEB-ABAF-411A-A805-BE166A41C774}" name="Column7794"/>
    <tableColumn id="7814" xr3:uid="{FF6510B0-38BF-4B2D-96AC-B4C9000BDC44}" name="Column7795"/>
    <tableColumn id="7815" xr3:uid="{AFD58535-9948-4766-A059-4385EAFF914E}" name="Column7796"/>
    <tableColumn id="7816" xr3:uid="{1B8C51C5-0E2D-4141-A3FA-3DBDB6418B3E}" name="Column7797"/>
    <tableColumn id="7817" xr3:uid="{F225C6E0-D012-4E7A-8177-2B36A48DBAEA}" name="Column7798"/>
    <tableColumn id="7818" xr3:uid="{9E98BC21-1971-427B-AA61-1899251A6B0F}" name="Column7799"/>
    <tableColumn id="7819" xr3:uid="{2A53FCE7-AC6C-4F71-A90F-C2CED7B40762}" name="Column7800"/>
    <tableColumn id="7820" xr3:uid="{10B51356-1468-4ED6-97D6-18381369E9E5}" name="Column7801"/>
    <tableColumn id="7821" xr3:uid="{86EACDBE-B4CF-4108-BABC-9242603B7820}" name="Column7802"/>
    <tableColumn id="7822" xr3:uid="{73B2902E-2479-4C25-819A-3F0F39C7904A}" name="Column7803"/>
    <tableColumn id="7823" xr3:uid="{5A574D19-D3E3-4EAF-A4B8-22267698CE41}" name="Column7804"/>
    <tableColumn id="7824" xr3:uid="{96E87C72-7EBB-40E1-8F7E-23349C52B75D}" name="Column7805"/>
    <tableColumn id="7825" xr3:uid="{1BE4EE8F-0DA3-4EF2-B6AF-44D41035A87B}" name="Column7806"/>
    <tableColumn id="7826" xr3:uid="{3A092F89-B0C6-4239-9FAD-C3E9E43194BE}" name="Column7807"/>
    <tableColumn id="7827" xr3:uid="{3A36C02C-62D2-4CD6-BFD5-6063135920D6}" name="Column7808"/>
    <tableColumn id="7828" xr3:uid="{DF572394-ED4F-4D2F-98A2-88C9841B6375}" name="Column7809"/>
    <tableColumn id="7829" xr3:uid="{D48F19CD-483D-4059-88C3-371595D4CE76}" name="Column7810"/>
    <tableColumn id="7830" xr3:uid="{6938F279-663A-4923-AD02-BD4C867EF7F8}" name="Column7811"/>
    <tableColumn id="7831" xr3:uid="{BC7707AA-68AC-46BE-877B-23C071675528}" name="Column7812"/>
    <tableColumn id="7832" xr3:uid="{D1D38E1B-7F57-409B-9A36-45CBE4FD0D7E}" name="Column7813"/>
    <tableColumn id="7833" xr3:uid="{6A6F5706-9E68-4D75-A4DB-F0346BEB614F}" name="Column7814"/>
    <tableColumn id="7834" xr3:uid="{5806A317-3AAE-4F65-AC22-C2ABB4AEDFD9}" name="Column7815"/>
    <tableColumn id="7835" xr3:uid="{237A6CD8-295F-4206-B028-41095013C489}" name="Column7816"/>
    <tableColumn id="7836" xr3:uid="{B6645474-9967-411E-9AC2-4CC83C891BB3}" name="Column7817"/>
    <tableColumn id="7837" xr3:uid="{1F3DBF72-52BE-4DA1-8085-546446B7DA1F}" name="Column7818"/>
    <tableColumn id="7838" xr3:uid="{1F777855-7735-4ED8-8015-BDF386940A32}" name="Column7819"/>
    <tableColumn id="7839" xr3:uid="{E64DA41B-8C9A-459E-88B3-75F3D4A343E7}" name="Column7820"/>
    <tableColumn id="7840" xr3:uid="{809CD9CA-5EB4-4210-9295-A7E018F0BB5C}" name="Column7821"/>
    <tableColumn id="7841" xr3:uid="{A53C502D-66AA-4CFC-94E1-D079C54340C1}" name="Column7822"/>
    <tableColumn id="7842" xr3:uid="{17172CF5-6C5D-443B-B473-6EBD3011B46F}" name="Column7823"/>
    <tableColumn id="7843" xr3:uid="{9E82586E-D2DC-47DB-88D9-F692493237AA}" name="Column7824"/>
    <tableColumn id="7844" xr3:uid="{758AE8F3-015F-4813-AE7E-00F64D6AD61C}" name="Column7825"/>
    <tableColumn id="7845" xr3:uid="{D502CCD4-6E3B-4367-869B-4C0D7050B34A}" name="Column7826"/>
    <tableColumn id="7846" xr3:uid="{FD8295A5-CE54-4860-ADC0-528B58FC4DCE}" name="Column7827"/>
    <tableColumn id="7847" xr3:uid="{12606D49-18EA-463E-B0FE-2E6C82AECA09}" name="Column7828"/>
    <tableColumn id="7848" xr3:uid="{00F4E90D-13F7-4916-AC5F-784E1ABA1E22}" name="Column7829"/>
    <tableColumn id="7849" xr3:uid="{B21A33FD-291B-40F5-90B9-D2B1BE552390}" name="Column7830"/>
    <tableColumn id="7850" xr3:uid="{164473B4-C005-494E-955F-516C20F99D1F}" name="Column7831"/>
    <tableColumn id="7851" xr3:uid="{8ADAA020-600F-48BA-8D89-2FF6B992FED5}" name="Column7832"/>
    <tableColumn id="7852" xr3:uid="{48156075-71BC-4B25-A2AD-4D4F1FDB4FD7}" name="Column7833"/>
    <tableColumn id="7853" xr3:uid="{BF248270-22E2-4B96-B80F-C1D9D784CC56}" name="Column7834"/>
    <tableColumn id="7854" xr3:uid="{FCB0704B-DE7F-4040-BCF2-6C1F4D0AA1B4}" name="Column7835"/>
    <tableColumn id="7855" xr3:uid="{33C12986-641C-4B6C-809F-CFD29A41E74C}" name="Column7836"/>
    <tableColumn id="7856" xr3:uid="{876A8E43-8C79-465D-9C8C-B9D31099CB8C}" name="Column7837"/>
    <tableColumn id="7857" xr3:uid="{C74F8A80-15A7-4BF4-8444-5B0D8F4DB180}" name="Column7838"/>
    <tableColumn id="7858" xr3:uid="{52B3227E-72C3-46A2-A91F-69BBF72AEFB1}" name="Column7839"/>
    <tableColumn id="7859" xr3:uid="{1B631B17-E2E8-4BE4-A78F-BAC503538337}" name="Column7840"/>
    <tableColumn id="7860" xr3:uid="{09F93215-4EBE-43C4-8923-A0966D0B7CAC}" name="Column7841"/>
    <tableColumn id="7861" xr3:uid="{7F6EA2E7-CF1C-4DE7-AC5A-DB7F369ABB95}" name="Column7842"/>
    <tableColumn id="7862" xr3:uid="{03922F9C-7EC3-4CA7-B934-E7B831F14776}" name="Column7843"/>
    <tableColumn id="7863" xr3:uid="{470499F1-B80E-4CDC-9718-50D90B31B145}" name="Column7844"/>
    <tableColumn id="7864" xr3:uid="{74EA4EB0-8B05-435D-93AF-23C7546FBC38}" name="Column7845"/>
    <tableColumn id="7865" xr3:uid="{5D4B5554-7AB6-4CB3-BFF2-C42FE88E5F48}" name="Column7846"/>
    <tableColumn id="7866" xr3:uid="{A7F004BF-C846-4D17-AF05-6DB4E6069BB6}" name="Column7847"/>
    <tableColumn id="7867" xr3:uid="{888CC83F-F773-4DD6-9042-F6AF87D36085}" name="Column7848"/>
    <tableColumn id="7868" xr3:uid="{8C379312-B8E4-4989-89B3-A84695004874}" name="Column7849"/>
    <tableColumn id="7869" xr3:uid="{BAE6FACC-75B0-448A-8E4B-1D6475B83B05}" name="Column7850"/>
    <tableColumn id="7870" xr3:uid="{32755391-FF40-48D3-9C93-9062CFE3BD00}" name="Column7851"/>
    <tableColumn id="7871" xr3:uid="{DB65DF52-0434-47B0-AFFC-2BF140424FA7}" name="Column7852"/>
    <tableColumn id="7872" xr3:uid="{D8385F1B-981E-4C8E-A856-FBA52ADCB8BF}" name="Column7853"/>
    <tableColumn id="7873" xr3:uid="{0279D908-DC8D-4953-A1E4-B266A9F7B962}" name="Column7854"/>
    <tableColumn id="7874" xr3:uid="{1C350453-68A9-46D0-9E8A-F021EE285E46}" name="Column7855"/>
    <tableColumn id="7875" xr3:uid="{A14AFB09-FC16-4A3D-A05B-3BA1F669CB0B}" name="Column7856"/>
    <tableColumn id="7876" xr3:uid="{50B4D6DF-8A49-46BE-AF8B-5D753AC18D98}" name="Column7857"/>
    <tableColumn id="7877" xr3:uid="{C2E3D6DE-6253-4D1A-8001-E30E854A0B71}" name="Column7858"/>
    <tableColumn id="7878" xr3:uid="{1FD51171-DA32-482C-BC9A-FDBB613D40CB}" name="Column7859"/>
    <tableColumn id="7879" xr3:uid="{D4D88D6B-DF95-403E-89B4-846DB2689291}" name="Column7860"/>
    <tableColumn id="7880" xr3:uid="{0833208B-AC73-44F0-9B1C-95A520FA59DD}" name="Column7861"/>
    <tableColumn id="7881" xr3:uid="{8CD5498B-5EFA-4F69-A2F9-6AB5B4686E72}" name="Column7862"/>
    <tableColumn id="7882" xr3:uid="{6177B8FE-A431-4AB1-9350-8903C83DA3E5}" name="Column7863"/>
    <tableColumn id="7883" xr3:uid="{363E746A-03A9-4485-802B-04660355A65A}" name="Column7864"/>
    <tableColumn id="7884" xr3:uid="{524E77BF-D5B0-4400-A509-1FB37572BC4D}" name="Column7865"/>
    <tableColumn id="7885" xr3:uid="{D3D3CFD8-930B-429D-BBB0-9237BF15E4E5}" name="Column7866"/>
    <tableColumn id="7886" xr3:uid="{605E1E01-5006-4F4A-B88E-23FB5FCE053E}" name="Column7867"/>
    <tableColumn id="7887" xr3:uid="{299F8CFD-3382-4F80-99C9-9B9C9DAA676B}" name="Column7868"/>
    <tableColumn id="7888" xr3:uid="{C18A7A71-3150-4AA8-BFB7-82A30FC8486D}" name="Column7869"/>
    <tableColumn id="7889" xr3:uid="{01C82316-A39D-413B-BA48-D736376E7B35}" name="Column7870"/>
    <tableColumn id="7890" xr3:uid="{4174099D-C1D5-41FF-A9F6-43E97CCC4F89}" name="Column7871"/>
    <tableColumn id="7891" xr3:uid="{41B1C161-C777-414B-8D58-933357E7AA32}" name="Column7872"/>
    <tableColumn id="7892" xr3:uid="{AAF53BA8-FC0C-4138-918C-0FCBC1523366}" name="Column7873"/>
    <tableColumn id="7893" xr3:uid="{CD503BB5-07F2-4111-A957-D011BEB656F7}" name="Column7874"/>
    <tableColumn id="7894" xr3:uid="{7FDCAE85-263C-4510-A691-020EABAEA425}" name="Column7875"/>
    <tableColumn id="7895" xr3:uid="{407E57FC-442B-4982-B737-8DE290D829CA}" name="Column7876"/>
    <tableColumn id="7896" xr3:uid="{CDEF84D7-2A1C-4EB3-9B79-4B00D7EC98FB}" name="Column7877"/>
    <tableColumn id="7897" xr3:uid="{192CE854-9715-4A9F-828D-BA18453368AB}" name="Column7878"/>
    <tableColumn id="7898" xr3:uid="{14FD2DC8-4DFB-424D-AE5D-7837DF1EC80E}" name="Column7879"/>
    <tableColumn id="7899" xr3:uid="{CA6B1243-53EE-4E50-B366-EAF6283C5DA1}" name="Column7880"/>
    <tableColumn id="7900" xr3:uid="{36DE759F-F290-414F-A302-33E98CEF1E2A}" name="Column7881"/>
    <tableColumn id="7901" xr3:uid="{6FEF5B57-F7CF-4D77-AEBF-06239A8286DB}" name="Column7882"/>
    <tableColumn id="7902" xr3:uid="{FD5E0C6C-378D-45EF-994F-3C67EC6785B7}" name="Column7883"/>
    <tableColumn id="7903" xr3:uid="{0554DF0D-D372-4428-B9F2-FAE680F157BB}" name="Column7884"/>
    <tableColumn id="7904" xr3:uid="{A7D0AF36-9B2E-4DF5-A178-130513DE71C1}" name="Column7885"/>
    <tableColumn id="7905" xr3:uid="{C608807F-5C5E-476A-96BD-F68D2C3CFC34}" name="Column7886"/>
    <tableColumn id="7906" xr3:uid="{023C711C-8BEC-4072-942F-7A1C9B630947}" name="Column7887"/>
    <tableColumn id="7907" xr3:uid="{3BD7C1B6-1CF4-47BE-86AF-D5BCFA31B2BC}" name="Column7888"/>
    <tableColumn id="7908" xr3:uid="{4FE9A706-58E3-4748-A044-442DD3CA4D56}" name="Column7889"/>
    <tableColumn id="7909" xr3:uid="{37664502-AC6C-411A-B411-010DA1A2DFAB}" name="Column7890"/>
    <tableColumn id="7910" xr3:uid="{A0DC7308-9CEA-48DF-B025-0F62E6FCADFC}" name="Column7891"/>
    <tableColumn id="7911" xr3:uid="{51A76D15-083F-4F2D-8EB8-8D5BE7066DD2}" name="Column7892"/>
    <tableColumn id="7912" xr3:uid="{3EEF51FE-EFFC-47DA-A591-D31931FC2E2D}" name="Column7893"/>
    <tableColumn id="7913" xr3:uid="{1E8BC25E-B6F5-4238-ADD6-2F2C0642938E}" name="Column7894"/>
    <tableColumn id="7914" xr3:uid="{A0ACAAD5-E8E4-44B9-8EBC-991E49964754}" name="Column7895"/>
    <tableColumn id="7915" xr3:uid="{C32F7135-1D39-4E63-9990-581C0198C1A0}" name="Column7896"/>
    <tableColumn id="7916" xr3:uid="{812792D2-A24F-4572-98B5-26D8A8928256}" name="Column7897"/>
    <tableColumn id="7917" xr3:uid="{0C6E863F-3E19-434C-B336-8FAAE27B0A1C}" name="Column7898"/>
    <tableColumn id="7918" xr3:uid="{860CDA04-51B4-49E4-AC5F-F5D7042D36DD}" name="Column7899"/>
    <tableColumn id="7919" xr3:uid="{FF4D1806-FD87-4DE6-BA2B-F917F93BEF6E}" name="Column7900"/>
    <tableColumn id="7920" xr3:uid="{DE60599F-6A9D-4E72-84D9-55347BD0F4D4}" name="Column7901"/>
    <tableColumn id="7921" xr3:uid="{17388B7B-06B1-4415-8AF8-E92E5148EDAC}" name="Column7902"/>
    <tableColumn id="7922" xr3:uid="{9CB53579-A140-4725-BBBE-F94F5F8E63AD}" name="Column7903"/>
    <tableColumn id="7923" xr3:uid="{25009803-7B8A-4DFD-9A0D-D6B3BA826319}" name="Column7904"/>
    <tableColumn id="7924" xr3:uid="{6D7B1817-C776-40B3-BFEF-32498E290BDC}" name="Column7905"/>
    <tableColumn id="7925" xr3:uid="{8564A2A4-6246-4BBA-A4B7-FE116C8B9EBA}" name="Column7906"/>
    <tableColumn id="7926" xr3:uid="{E4B4B4F4-D55E-4946-B3EB-630C3167E815}" name="Column7907"/>
    <tableColumn id="7927" xr3:uid="{2D7BE70F-8707-4292-A9AB-7D08FBB114B8}" name="Column7908"/>
    <tableColumn id="7928" xr3:uid="{58C1FB21-6F01-491C-AD9C-576F9B62BBB2}" name="Column7909"/>
    <tableColumn id="7929" xr3:uid="{7DBA0F25-CC4C-4CAF-B93B-92C026A1E793}" name="Column7910"/>
    <tableColumn id="7930" xr3:uid="{3700EE04-C5D8-429C-AA64-5FAC8700779C}" name="Column7911"/>
    <tableColumn id="7931" xr3:uid="{15B62397-B4CD-49D3-A688-16A563F47FDC}" name="Column7912"/>
    <tableColumn id="7932" xr3:uid="{E1468490-2F5F-40EC-A3E0-717F46E51354}" name="Column7913"/>
    <tableColumn id="7933" xr3:uid="{44486DC7-EF7A-499E-8142-8AD0027B6602}" name="Column7914"/>
    <tableColumn id="7934" xr3:uid="{CF35893D-96FA-4CA2-88FC-1F6F16EAE29E}" name="Column7915"/>
    <tableColumn id="7935" xr3:uid="{18E3DB23-9FFB-45BA-BDB5-B83F82649F39}" name="Column7916"/>
    <tableColumn id="7936" xr3:uid="{EA19E6C5-B902-4A8C-9871-A7000A77429C}" name="Column7917"/>
    <tableColumn id="7937" xr3:uid="{DC2F66F1-DD9D-4BBC-A67C-6915C6DE6296}" name="Column7918"/>
    <tableColumn id="7938" xr3:uid="{7C6F64CA-A8E3-4803-9D20-8B71378B6EEF}" name="Column7919"/>
    <tableColumn id="7939" xr3:uid="{28C0ED7E-1BDF-476A-8C97-6AD31B029882}" name="Column7920"/>
    <tableColumn id="7940" xr3:uid="{515A5B14-EB2D-4A58-BACE-F0CD21E0E426}" name="Column7921"/>
    <tableColumn id="7941" xr3:uid="{7FFB2131-2414-4D0E-B35E-6559E116EA8F}" name="Column7922"/>
    <tableColumn id="7942" xr3:uid="{C879CDC1-47AD-4AAF-BBF1-85D36411142E}" name="Column7923"/>
    <tableColumn id="7943" xr3:uid="{D4DFE218-20D2-4D3E-B742-F786398ADDE6}" name="Column7924"/>
    <tableColumn id="7944" xr3:uid="{2B4E1612-C1FE-4CBF-8219-C2CA1B9EAA89}" name="Column7925"/>
    <tableColumn id="7945" xr3:uid="{F84ABB08-B789-4CBA-BEEA-975DB8DB60C4}" name="Column7926"/>
    <tableColumn id="7946" xr3:uid="{688B0FC5-D17D-471F-937C-83CC17D4D306}" name="Column7927"/>
    <tableColumn id="7947" xr3:uid="{59C2B001-7220-4729-8BA4-29793E13D1FF}" name="Column7928"/>
    <tableColumn id="7948" xr3:uid="{4BE4F1E2-DD79-4A0D-B160-21B63C78B720}" name="Column7929"/>
    <tableColumn id="7949" xr3:uid="{C76196A8-5448-4F3B-959C-7FF1BCC04E57}" name="Column7930"/>
    <tableColumn id="7950" xr3:uid="{64D654FE-4239-4514-A704-ED3710CCE764}" name="Column7931"/>
    <tableColumn id="7951" xr3:uid="{04A6ECAD-E4DF-451D-8BC9-4E140B4FD5BD}" name="Column7932"/>
    <tableColumn id="7952" xr3:uid="{A2C28F70-F7A4-4FA6-A68A-5B50E974FBAC}" name="Column7933"/>
    <tableColumn id="7953" xr3:uid="{4114E593-0A55-4530-A47C-C35D46B3E652}" name="Column7934"/>
    <tableColumn id="7954" xr3:uid="{5AFADB6B-56F6-4053-BFB4-69E794D6B33F}" name="Column7935"/>
    <tableColumn id="7955" xr3:uid="{7739DDE1-A247-4512-BA1E-9623CAD5222C}" name="Column7936"/>
    <tableColumn id="7956" xr3:uid="{EBA3203A-7C0E-4503-A4FF-31F8AF0C6042}" name="Column7937"/>
    <tableColumn id="7957" xr3:uid="{5E03325B-DD8D-460D-B9C2-FF40C69DC595}" name="Column7938"/>
    <tableColumn id="7958" xr3:uid="{FF649A41-C666-418A-BAE1-723A7044953B}" name="Column7939"/>
    <tableColumn id="7959" xr3:uid="{66570094-A5CA-4AE7-8FDA-D17250E1693C}" name="Column7940"/>
    <tableColumn id="7960" xr3:uid="{34A8D55A-0D14-4FBC-A938-EE5C09164E83}" name="Column7941"/>
    <tableColumn id="7961" xr3:uid="{604CBAC4-5DC6-4839-9D71-3A243283AABB}" name="Column7942"/>
    <tableColumn id="7962" xr3:uid="{E366638D-6C52-44E1-80AE-0D8F1FB356E5}" name="Column7943"/>
    <tableColumn id="7963" xr3:uid="{57A58BF6-A8C6-4821-8CB3-14BFAE0A7D03}" name="Column7944"/>
    <tableColumn id="7964" xr3:uid="{489C5E5E-1ABC-4D9B-A8BA-FB1E51332D9A}" name="Column7945"/>
    <tableColumn id="7965" xr3:uid="{E8D98E35-AAE0-448D-9370-BCB614BAB1DC}" name="Column7946"/>
    <tableColumn id="7966" xr3:uid="{E1FF66E1-5D28-41AB-BC92-330D45360C32}" name="Column7947"/>
    <tableColumn id="7967" xr3:uid="{0364B8DB-06BF-4C42-8D21-A1A908CB9641}" name="Column7948"/>
    <tableColumn id="7968" xr3:uid="{5EA0D5F3-A834-4D3D-AF24-710FCDA4370C}" name="Column7949"/>
    <tableColumn id="7969" xr3:uid="{6683481C-3CF8-4376-87BB-7F7E95D211A0}" name="Column7950"/>
    <tableColumn id="7970" xr3:uid="{C9FB22D4-7075-4EBA-8C58-7117A65DA327}" name="Column7951"/>
    <tableColumn id="7971" xr3:uid="{ACDAED15-F300-4478-9594-99B4CDEADC12}" name="Column7952"/>
    <tableColumn id="7972" xr3:uid="{46B461B6-6E2A-4D04-B27E-09FAE9F7CD71}" name="Column7953"/>
    <tableColumn id="7973" xr3:uid="{04970982-071D-4BE3-9D5F-3B43AC155116}" name="Column7954"/>
    <tableColumn id="7974" xr3:uid="{4A21B883-2918-4383-97AE-8EDA175825CF}" name="Column7955"/>
    <tableColumn id="7975" xr3:uid="{786F7CE0-136E-4462-9493-044DDB47F35B}" name="Column7956"/>
    <tableColumn id="7976" xr3:uid="{2FBE7BF8-EEEA-4ABE-86C7-DE3DF04D78B2}" name="Column7957"/>
    <tableColumn id="7977" xr3:uid="{38443A17-BFC5-4E74-B764-4563FE117693}" name="Column7958"/>
    <tableColumn id="7978" xr3:uid="{1F627619-E879-4B75-A080-A7365FA62C97}" name="Column7959"/>
    <tableColumn id="7979" xr3:uid="{B9D654E7-8E6F-4948-ACC7-65930BE21738}" name="Column7960"/>
    <tableColumn id="7980" xr3:uid="{E1952A74-6CDF-4DA6-AAE3-7EBB7406556F}" name="Column7961"/>
    <tableColumn id="7981" xr3:uid="{FF93CA77-0407-4B08-B2B2-F1321FCE1713}" name="Column7962"/>
    <tableColumn id="7982" xr3:uid="{7841BD17-F61F-46BD-8C9E-1222DCAD873D}" name="Column7963"/>
    <tableColumn id="7983" xr3:uid="{1E481EFA-AE39-48FE-9DA2-6579DF92BC01}" name="Column7964"/>
    <tableColumn id="7984" xr3:uid="{3F9FCF26-4782-4D19-8314-BBAAB702A37A}" name="Column7965"/>
    <tableColumn id="7985" xr3:uid="{5A1333EA-260F-4BB1-A275-DA27C120A0E9}" name="Column7966"/>
    <tableColumn id="7986" xr3:uid="{87D99828-9E74-46E1-84A6-2C7A5C4610BE}" name="Column7967"/>
    <tableColumn id="7987" xr3:uid="{D9A096B6-A570-48DF-904A-FC952372F468}" name="Column7968"/>
    <tableColumn id="7988" xr3:uid="{88392B34-A8C6-48F8-AC9F-085B44CEC475}" name="Column7969"/>
    <tableColumn id="7989" xr3:uid="{B2837F9C-B218-407C-9A84-264758F76BF5}" name="Column7970"/>
    <tableColumn id="7990" xr3:uid="{77EA0341-D975-4EC2-B93E-50DA09BE3F7F}" name="Column7971"/>
    <tableColumn id="7991" xr3:uid="{943F334F-EBCF-49E8-A8B4-06D4F08D33F1}" name="Column7972"/>
    <tableColumn id="7992" xr3:uid="{51C58E0B-9476-49B5-AC18-7A051C99FE03}" name="Column7973"/>
    <tableColumn id="7993" xr3:uid="{89111017-3D4C-4BE2-B60B-509FAA2B534F}" name="Column7974"/>
    <tableColumn id="7994" xr3:uid="{E178DC8C-1CD4-4BD2-B275-5232EB7A71D9}" name="Column7975"/>
    <tableColumn id="7995" xr3:uid="{CF774878-EFD3-468A-BFC0-7ACAF17A971D}" name="Column7976"/>
    <tableColumn id="7996" xr3:uid="{974937B6-33A1-4E77-81C2-5487F48F005A}" name="Column7977"/>
    <tableColumn id="7997" xr3:uid="{43F6AED3-001B-4257-A823-EE7856E767C3}" name="Column7978"/>
    <tableColumn id="7998" xr3:uid="{ACB05DF8-7B63-41E1-80E8-7BCA0E44A3A4}" name="Column7979"/>
    <tableColumn id="7999" xr3:uid="{D4EC454D-C2BB-4FE3-86A2-C31AE2D6B6B1}" name="Column7980"/>
    <tableColumn id="8000" xr3:uid="{EDDE38BB-ABF4-4DC2-8079-D8A4FAEBA0CF}" name="Column7981"/>
    <tableColumn id="8001" xr3:uid="{A46A73DF-1B61-4D71-835D-963B2B6119F7}" name="Column7982"/>
    <tableColumn id="8002" xr3:uid="{D834AE5E-BD85-4D93-B8AE-7D6A8F18C24D}" name="Column7983"/>
    <tableColumn id="8003" xr3:uid="{4008CC5E-863C-4033-9668-97C23797D89C}" name="Column7984"/>
    <tableColumn id="8004" xr3:uid="{EC64DD01-C035-41ED-BB26-2DF394C8094B}" name="Column7985"/>
    <tableColumn id="8005" xr3:uid="{4F0C0B11-50C4-45F1-BAFF-D08DC7722C9A}" name="Column7986"/>
    <tableColumn id="8006" xr3:uid="{501A1FED-1E29-4158-B4FA-ACF558249F71}" name="Column7987"/>
    <tableColumn id="8007" xr3:uid="{C99CC8E8-EC32-4765-963D-EA0E676D35DE}" name="Column7988"/>
    <tableColumn id="8008" xr3:uid="{4C0AF6CE-829A-4F84-96D2-B26A9886EAB4}" name="Column7989"/>
    <tableColumn id="8009" xr3:uid="{9B06D8AC-17DB-4213-BCB0-F47542F18AC3}" name="Column7990"/>
    <tableColumn id="8010" xr3:uid="{699CAA41-262D-47CC-BB05-C0E495A0D759}" name="Column7991"/>
    <tableColumn id="8011" xr3:uid="{2C6056DB-7D88-482C-B074-1311599B2846}" name="Column7992"/>
    <tableColumn id="8012" xr3:uid="{3C94BBD9-4B56-4773-B811-9FEA40B8A77A}" name="Column7993"/>
    <tableColumn id="8013" xr3:uid="{178577E1-CD05-40A6-81F4-8E64F35587F4}" name="Column7994"/>
    <tableColumn id="8014" xr3:uid="{11903E1C-22BD-456A-96F7-34D281669D8C}" name="Column7995"/>
    <tableColumn id="8015" xr3:uid="{34912E65-DAA2-41D1-8FF5-440CEEE39169}" name="Column7996"/>
    <tableColumn id="8016" xr3:uid="{4C60735F-0FF6-4E8D-BC75-58BA02B70469}" name="Column7997"/>
    <tableColumn id="8017" xr3:uid="{2F4E7B48-AEBC-446D-8FCC-23AC122A099B}" name="Column7998"/>
    <tableColumn id="8018" xr3:uid="{C5B47B36-7F24-445F-9E71-E89B758994FE}" name="Column7999"/>
    <tableColumn id="8019" xr3:uid="{144CE9D3-35C6-4142-BA5B-BA57DFE80761}" name="Column8000"/>
    <tableColumn id="8020" xr3:uid="{D85038B7-E9D2-46B7-815F-50F630F4ECEF}" name="Column8001"/>
    <tableColumn id="8021" xr3:uid="{CFE50EA1-297A-478A-9B58-8BFAF948D400}" name="Column8002"/>
    <tableColumn id="8022" xr3:uid="{C6237CD4-9AEC-4927-BAF5-29EF7F8A53C4}" name="Column8003"/>
    <tableColumn id="8023" xr3:uid="{7141C81C-95D2-44DA-91B9-894F68A93B36}" name="Column8004"/>
    <tableColumn id="8024" xr3:uid="{397FEA17-D2B9-4192-B527-6D50FDD9DBC5}" name="Column8005"/>
    <tableColumn id="8025" xr3:uid="{4DB323BA-9DD5-4A78-AE9C-946E56BAD72C}" name="Column8006"/>
    <tableColumn id="8026" xr3:uid="{50B0DC8B-D4EB-4733-BBC8-D31A64816F1B}" name="Column8007"/>
    <tableColumn id="8027" xr3:uid="{A2157FD0-4EBD-480F-B042-E0C02BB7E998}" name="Column8008"/>
    <tableColumn id="8028" xr3:uid="{159E9560-795F-4CA4-BE93-72350C9998FE}" name="Column8009"/>
    <tableColumn id="8029" xr3:uid="{C24A9172-62BD-406D-95B7-0A5EBC54D01C}" name="Column8010"/>
    <tableColumn id="8030" xr3:uid="{39019475-564D-462A-8A1D-BB4E6CF33C3A}" name="Column8011"/>
    <tableColumn id="8031" xr3:uid="{102497EE-6AD6-4924-A5AE-853C2D465EC7}" name="Column8012"/>
    <tableColumn id="8032" xr3:uid="{799064EA-8877-403F-B2ED-236C8EE4C0F5}" name="Column8013"/>
    <tableColumn id="8033" xr3:uid="{6CB59E60-EB7C-454C-AB0B-6762BC6C3C04}" name="Column8014"/>
    <tableColumn id="8034" xr3:uid="{7169F258-44E2-4766-8EF2-B26A963C5056}" name="Column8015"/>
    <tableColumn id="8035" xr3:uid="{6B79D055-BA31-4666-9426-9203EE5A96DC}" name="Column8016"/>
    <tableColumn id="8036" xr3:uid="{1C0F760D-99FF-4388-B932-1E4CEA60E273}" name="Column8017"/>
    <tableColumn id="8037" xr3:uid="{7C3698B7-7D32-4EAB-A593-8BEFDA200F0A}" name="Column8018"/>
    <tableColumn id="8038" xr3:uid="{E186A1BB-B172-4E22-94EE-79B8574C724C}" name="Column8019"/>
    <tableColumn id="8039" xr3:uid="{842E45E3-292E-4ABA-8E16-49A93A949088}" name="Column8020"/>
    <tableColumn id="8040" xr3:uid="{6A8624FD-0D1E-4372-A05F-0FF651D9F761}" name="Column8021"/>
    <tableColumn id="8041" xr3:uid="{5D25DBC9-5DC4-4BBC-BE1E-0D2F7B9FAD60}" name="Column8022"/>
    <tableColumn id="8042" xr3:uid="{AE2D854D-E10A-47BE-B28C-05FD01A952E9}" name="Column8023"/>
    <tableColumn id="8043" xr3:uid="{BDCF4628-E396-44AD-BD52-A70CF8BD9CC5}" name="Column8024"/>
    <tableColumn id="8044" xr3:uid="{0ABD9697-6E0B-4E4E-AA90-09EF0CED5004}" name="Column8025"/>
    <tableColumn id="8045" xr3:uid="{D8AA9AB2-4B67-473A-9C69-C871B8EF96F2}" name="Column8026"/>
    <tableColumn id="8046" xr3:uid="{06476E70-1E13-4D1C-820E-98D103D2B502}" name="Column8027"/>
    <tableColumn id="8047" xr3:uid="{BFC38DFD-2961-40C2-97FC-35642470F3A2}" name="Column8028"/>
    <tableColumn id="8048" xr3:uid="{F9EE0D67-9FF3-4A80-95ED-91B0F79E25E4}" name="Column8029"/>
    <tableColumn id="8049" xr3:uid="{774F4BA4-7346-43B3-98CF-26AFC3CB2BD3}" name="Column8030"/>
    <tableColumn id="8050" xr3:uid="{27F46CC1-596D-4105-833B-F3D489A5C1C4}" name="Column8031"/>
    <tableColumn id="8051" xr3:uid="{9A584C37-2F57-472F-8236-A4310BE00E3F}" name="Column8032"/>
    <tableColumn id="8052" xr3:uid="{54E2D5B2-1B8D-45CD-A7E5-0D1E76538FE2}" name="Column8033"/>
    <tableColumn id="8053" xr3:uid="{62DC0EF9-3239-43AE-A7CA-EA2D08A281F8}" name="Column8034"/>
    <tableColumn id="8054" xr3:uid="{986A3678-D529-404D-A240-A3FDBF342E4D}" name="Column8035"/>
    <tableColumn id="8055" xr3:uid="{A80E5E17-FE22-46D0-A001-E4446E8C089A}" name="Column8036"/>
    <tableColumn id="8056" xr3:uid="{45D3AA9C-1960-4F85-B561-717F3AA1A207}" name="Column8037"/>
    <tableColumn id="8057" xr3:uid="{59E90344-F7AC-41C5-91A6-B66803B1F7FD}" name="Column8038"/>
    <tableColumn id="8058" xr3:uid="{8ADC9653-3656-4CED-9455-215EC14A31F6}" name="Column8039"/>
    <tableColumn id="8059" xr3:uid="{D4A34F7D-DF63-4561-B4B8-7479A73A3C33}" name="Column8040"/>
    <tableColumn id="8060" xr3:uid="{98064139-BF7E-4574-B046-629F20F60121}" name="Column8041"/>
    <tableColumn id="8061" xr3:uid="{A700CABD-4144-4944-BA20-2A4BB45C4917}" name="Column8042"/>
    <tableColumn id="8062" xr3:uid="{0CD363D7-4C54-4C9E-B62A-81EC0CA53E40}" name="Column8043"/>
    <tableColumn id="8063" xr3:uid="{1999F20F-D5A6-4213-A548-84CE74397F3C}" name="Column8044"/>
    <tableColumn id="8064" xr3:uid="{0BE137BE-7835-4AAA-B136-2453D830C3DE}" name="Column8045"/>
    <tableColumn id="8065" xr3:uid="{8F38A62C-D306-4EB0-AEE2-ED7F4188B51D}" name="Column8046"/>
    <tableColumn id="8066" xr3:uid="{F7FC916C-625C-4CA3-90C9-29FC215ABDC4}" name="Column8047"/>
    <tableColumn id="8067" xr3:uid="{C55544AC-4776-4790-BFE3-774F6E683364}" name="Column8048"/>
    <tableColumn id="8068" xr3:uid="{95958DFC-6624-47BA-89F2-3C2A12A3A731}" name="Column8049"/>
    <tableColumn id="8069" xr3:uid="{9D6FA7E1-2974-4DAA-9EBB-EFE9AE0B7625}" name="Column8050"/>
    <tableColumn id="8070" xr3:uid="{499E0C69-4BAB-4B95-AD4E-D3DB1A91E293}" name="Column8051"/>
    <tableColumn id="8071" xr3:uid="{FF4511C3-84C9-4D78-B9C4-99155B136E6B}" name="Column8052"/>
    <tableColumn id="8072" xr3:uid="{12E944EF-8F39-468C-B2CB-6FD7AD4DE415}" name="Column8053"/>
    <tableColumn id="8073" xr3:uid="{7132B443-0E29-41A7-A2DF-DE72B9CACCFA}" name="Column8054"/>
    <tableColumn id="8074" xr3:uid="{DC1B4639-913A-41CD-865D-90781D8EAF40}" name="Column8055"/>
    <tableColumn id="8075" xr3:uid="{D2029ED9-28AF-4BE7-A207-E9C5A76BA787}" name="Column8056"/>
    <tableColumn id="8076" xr3:uid="{340276B1-4FE4-493E-8623-6BEF143FCE04}" name="Column8057"/>
    <tableColumn id="8077" xr3:uid="{9231A11A-6773-4BB1-8ABA-AA59C7A5BDD2}" name="Column8058"/>
    <tableColumn id="8078" xr3:uid="{268B0B8A-E189-4D74-B00F-051698157C82}" name="Column8059"/>
    <tableColumn id="8079" xr3:uid="{13CBE7A0-0CD7-41CA-AC60-B6256DB76548}" name="Column8060"/>
    <tableColumn id="8080" xr3:uid="{94EE82F4-7B7B-4B01-9286-7D458078C064}" name="Column8061"/>
    <tableColumn id="8081" xr3:uid="{2E7A8DB1-66FD-4078-81F8-946093A09756}" name="Column8062"/>
    <tableColumn id="8082" xr3:uid="{31670789-1F2F-4B7C-A716-56B137933477}" name="Column8063"/>
    <tableColumn id="8083" xr3:uid="{75938D30-1E18-46F2-8084-D9A06E14AB52}" name="Column8064"/>
    <tableColumn id="8084" xr3:uid="{8EA4CEFA-2B5A-40C9-8A82-7BDA6A62AA31}" name="Column8065"/>
    <tableColumn id="8085" xr3:uid="{E9FAC3F5-3008-4BF5-8394-E907BCEC5D3D}" name="Column8066"/>
    <tableColumn id="8086" xr3:uid="{2D0D37F3-59AE-4778-9DFD-6A36559D708B}" name="Column8067"/>
    <tableColumn id="8087" xr3:uid="{B3AA4DD5-7E8D-41CB-BA28-2D693E0ADFD9}" name="Column8068"/>
    <tableColumn id="8088" xr3:uid="{F98D4CE9-5FCF-43EF-9FC9-F51F407FDC7E}" name="Column8069"/>
    <tableColumn id="8089" xr3:uid="{1FB1485F-E6AE-439B-911C-236FBDA13C72}" name="Column8070"/>
    <tableColumn id="8090" xr3:uid="{15F60858-1863-4AA2-AA7D-87B8F57BB73B}" name="Column8071"/>
    <tableColumn id="8091" xr3:uid="{B7F55A79-41E9-49B8-8F00-3630185BFD97}" name="Column8072"/>
    <tableColumn id="8092" xr3:uid="{A8B92D35-ECB9-464A-94B0-D27F1ED1B922}" name="Column8073"/>
    <tableColumn id="8093" xr3:uid="{49EF44D0-7F3D-486F-A2E9-E527E92DC5B3}" name="Column8074"/>
    <tableColumn id="8094" xr3:uid="{C493DBC6-6BA9-4C6E-9FF0-8A7766BB5E24}" name="Column8075"/>
    <tableColumn id="8095" xr3:uid="{CCFD129F-F401-4DB5-8EBB-19F6B2F70852}" name="Column8076"/>
    <tableColumn id="8096" xr3:uid="{CE8405FB-6007-40CE-AF88-1FC304B7FC22}" name="Column8077"/>
    <tableColumn id="8097" xr3:uid="{9CB2F73C-3D09-43F2-B0F4-2D25BCAD06CD}" name="Column8078"/>
    <tableColumn id="8098" xr3:uid="{D2BF19D8-58CE-4F1F-B8BD-746F1057DF10}" name="Column8079"/>
    <tableColumn id="8099" xr3:uid="{DC05A6CE-F43E-44C8-A4F3-F7C6C0C4943D}" name="Column8080"/>
    <tableColumn id="8100" xr3:uid="{D735831C-3687-4268-81E5-EE34558D688C}" name="Column8081"/>
    <tableColumn id="8101" xr3:uid="{70BBCA65-4BE7-4781-BD66-23ECD7B936CA}" name="Column8082"/>
    <tableColumn id="8102" xr3:uid="{AB486570-E978-42FB-B7D6-9255A770639A}" name="Column8083"/>
    <tableColumn id="8103" xr3:uid="{A2344DA7-6C75-4D06-9323-B52CC1AA361D}" name="Column8084"/>
    <tableColumn id="8104" xr3:uid="{3B9B8707-169B-4EBC-A0A0-9633D5FF5961}" name="Column8085"/>
    <tableColumn id="8105" xr3:uid="{78657360-DB2E-42DB-817F-84ED8A659DAA}" name="Column8086"/>
    <tableColumn id="8106" xr3:uid="{AF4C0881-74C6-486A-9BF7-C8E6B9E7BF62}" name="Column8087"/>
    <tableColumn id="8107" xr3:uid="{1613BD5E-5F89-461B-992E-78A639320870}" name="Column8088"/>
    <tableColumn id="8108" xr3:uid="{C48ED900-D9FF-4242-8717-48550629F612}" name="Column8089"/>
    <tableColumn id="8109" xr3:uid="{02A692BE-B437-4CB8-9D5E-4E99CB69C324}" name="Column8090"/>
    <tableColumn id="8110" xr3:uid="{8A6D1B56-A283-4D77-B884-FFD820B198E4}" name="Column8091"/>
    <tableColumn id="8111" xr3:uid="{65B8F838-570C-4353-8866-8843802FB712}" name="Column8092"/>
    <tableColumn id="8112" xr3:uid="{3A960C66-2350-4CE8-BF1E-4469E904D566}" name="Column8093"/>
    <tableColumn id="8113" xr3:uid="{61A84D82-5CE2-4F09-8EAE-0C955573997B}" name="Column8094"/>
    <tableColumn id="8114" xr3:uid="{6AFD2E75-A171-4748-B67F-8C4679FC4D54}" name="Column8095"/>
    <tableColumn id="8115" xr3:uid="{1D73DD11-1201-4F62-9329-AAA9B3BA3AA9}" name="Column8096"/>
    <tableColumn id="8116" xr3:uid="{4D8095AC-0026-4B2D-BC81-7A20E6488625}" name="Column8097"/>
    <tableColumn id="8117" xr3:uid="{D7CAF6B5-8D5A-4F25-B6D3-0A57508A2710}" name="Column8098"/>
    <tableColumn id="8118" xr3:uid="{530234CA-3BF6-4839-AA55-3BC321946158}" name="Column8099"/>
    <tableColumn id="8119" xr3:uid="{8F22ED2A-423E-42AB-8CD6-B33D1D0322CB}" name="Column8100"/>
    <tableColumn id="8120" xr3:uid="{D1F5379D-62BA-45AE-B8B4-56D84F66F110}" name="Column8101"/>
    <tableColumn id="8121" xr3:uid="{0B74D8C5-C25C-477D-A63D-863B47DB0D2A}" name="Column8102"/>
    <tableColumn id="8122" xr3:uid="{E679CB73-BCA3-4FB1-98B7-CCF71AF6623C}" name="Column8103"/>
    <tableColumn id="8123" xr3:uid="{864F9C05-51AB-499C-B853-6AD2AF8C85E7}" name="Column8104"/>
    <tableColumn id="8124" xr3:uid="{4FE2B1F1-0476-4CEC-8EAC-4182BFB8B8D7}" name="Column8105"/>
    <tableColumn id="8125" xr3:uid="{21C29F75-4067-4043-A4FE-52B3F1EFEA81}" name="Column8106"/>
    <tableColumn id="8126" xr3:uid="{FED9890D-D588-4BDA-8BDF-B82FF605FCF6}" name="Column8107"/>
    <tableColumn id="8127" xr3:uid="{9311CAE8-97A8-4041-89BF-A65A6A030181}" name="Column8108"/>
    <tableColumn id="8128" xr3:uid="{02162E18-315B-46DE-9C0D-DA28C750AEED}" name="Column8109"/>
    <tableColumn id="8129" xr3:uid="{C2D73135-D6F7-42BC-9A61-526BB32A9DC5}" name="Column8110"/>
    <tableColumn id="8130" xr3:uid="{FA3C5A3F-89E7-4746-9867-B0DA7AC4BB8E}" name="Column8111"/>
    <tableColumn id="8131" xr3:uid="{1B25A857-B46A-4FEE-B566-2F07D1370276}" name="Column8112"/>
    <tableColumn id="8132" xr3:uid="{EFF10D57-91FC-4831-8011-9485E548C6BF}" name="Column8113"/>
    <tableColumn id="8133" xr3:uid="{918EF764-9084-4108-A967-DD1997D57D4A}" name="Column8114"/>
    <tableColumn id="8134" xr3:uid="{B0E83309-3456-452B-891F-C4A85D76D477}" name="Column8115"/>
    <tableColumn id="8135" xr3:uid="{8B7B9A4C-2F65-4D03-B187-AA347B798346}" name="Column8116"/>
    <tableColumn id="8136" xr3:uid="{0D0B6576-1789-44FA-BE04-91C4E99B98D1}" name="Column8117"/>
    <tableColumn id="8137" xr3:uid="{7070E72A-CF15-4DFE-8966-4D7BD5FF3384}" name="Column8118"/>
    <tableColumn id="8138" xr3:uid="{EF61FBB6-3F1B-485F-B88A-9E6859BAFDC1}" name="Column8119"/>
    <tableColumn id="8139" xr3:uid="{5215BE50-2E6E-489A-A97C-907749C26167}" name="Column8120"/>
    <tableColumn id="8140" xr3:uid="{F063FF2F-9E91-45E0-BD4A-724B866778AB}" name="Column8121"/>
    <tableColumn id="8141" xr3:uid="{BD47AE07-6DF9-4966-9E7C-46D9D0FB3389}" name="Column8122"/>
    <tableColumn id="8142" xr3:uid="{4B9A6831-4188-4C82-8607-6C2E12D9D458}" name="Column8123"/>
    <tableColumn id="8143" xr3:uid="{13A089DE-AC92-4A0E-B903-E4FBA119C635}" name="Column8124"/>
    <tableColumn id="8144" xr3:uid="{ADF016E9-DE34-4247-8ED9-AFF372B7D5A3}" name="Column8125"/>
    <tableColumn id="8145" xr3:uid="{C65D0271-EA6A-432F-B05A-A1C7938ADECB}" name="Column8126"/>
    <tableColumn id="8146" xr3:uid="{6D1A6E16-4799-4282-A9E8-D6D252A2DB95}" name="Column8127"/>
    <tableColumn id="8147" xr3:uid="{128C4992-917F-4851-9E9F-599C88A60441}" name="Column8128"/>
    <tableColumn id="8148" xr3:uid="{01E17E69-59F5-4F9E-BCE5-715D6D6C4A0C}" name="Column8129"/>
    <tableColumn id="8149" xr3:uid="{FED1208D-2037-4349-BBC5-ABB8B5EBB976}" name="Column8130"/>
    <tableColumn id="8150" xr3:uid="{4721B4D3-A654-4648-BF28-A6246AE71585}" name="Column8131"/>
    <tableColumn id="8151" xr3:uid="{6FEFAA2D-1FA8-49E8-83BB-D63F67B0F2BC}" name="Column8132"/>
    <tableColumn id="8152" xr3:uid="{0FDF9229-D14B-44B2-895D-73FF12C0A64A}" name="Column8133"/>
    <tableColumn id="8153" xr3:uid="{7D0C7A29-3DD9-4C8F-85F2-F830050BD3CC}" name="Column8134"/>
    <tableColumn id="8154" xr3:uid="{573D556A-CEB7-4013-9543-6948F7920729}" name="Column8135"/>
    <tableColumn id="8155" xr3:uid="{F93DD23D-2973-47FD-B76A-7F50BF0C8E89}" name="Column8136"/>
    <tableColumn id="8156" xr3:uid="{D4794FF5-15E7-4F95-95A6-EAD4B5D3E8E0}" name="Column8137"/>
    <tableColumn id="8157" xr3:uid="{CF58F85E-4B62-43BB-A66E-2179379FD508}" name="Column8138"/>
    <tableColumn id="8158" xr3:uid="{FF69D92F-07D1-4CAC-9714-DE04DD097AE5}" name="Column8139"/>
    <tableColumn id="8159" xr3:uid="{4962B0FF-8F86-4F9D-B103-9E491AECC66C}" name="Column8140"/>
    <tableColumn id="8160" xr3:uid="{BF84F998-BD39-4FA8-B70C-F6966178279F}" name="Column8141"/>
    <tableColumn id="8161" xr3:uid="{B2262E91-F5FF-45D4-AC64-782D843633E4}" name="Column8142"/>
    <tableColumn id="8162" xr3:uid="{D6B154A2-2721-4B48-A2D3-08967D67D105}" name="Column8143"/>
    <tableColumn id="8163" xr3:uid="{76932023-41A8-4E3A-B62E-66D49A3476DC}" name="Column8144"/>
    <tableColumn id="8164" xr3:uid="{654342B7-CBA4-4C99-9B69-FC46764170DE}" name="Column8145"/>
    <tableColumn id="8165" xr3:uid="{6E6E92A0-2FAA-4F64-B559-3E6BBC414F33}" name="Column8146"/>
    <tableColumn id="8166" xr3:uid="{4C9CA3EE-FCA0-4BED-A7ED-B9FCF1C20F4A}" name="Column8147"/>
    <tableColumn id="8167" xr3:uid="{BDBB8D61-87F2-423D-AA12-BCF5C853F7E2}" name="Column8148"/>
    <tableColumn id="8168" xr3:uid="{59D6CE7C-03C9-46B5-9B5F-12C15175C952}" name="Column8149"/>
    <tableColumn id="8169" xr3:uid="{16937F88-867F-4120-93A4-0BF79299FD7A}" name="Column8150"/>
    <tableColumn id="8170" xr3:uid="{8CC78F8F-4898-44DC-80EE-D81B4F531F62}" name="Column8151"/>
    <tableColumn id="8171" xr3:uid="{7174B804-6ED4-418C-9311-CA6A8CC0FB76}" name="Column8152"/>
    <tableColumn id="8172" xr3:uid="{5D1F6D15-8359-4AD2-886C-14CFB3E7213D}" name="Column8153"/>
    <tableColumn id="8173" xr3:uid="{1ECE1416-1D02-4A45-B382-FD6C851083F9}" name="Column8154"/>
    <tableColumn id="8174" xr3:uid="{8C474AC8-E26F-4054-9367-E4D41A53E821}" name="Column8155"/>
    <tableColumn id="8175" xr3:uid="{D8F40BFB-23D5-425A-BB63-CE064D4AB977}" name="Column8156"/>
    <tableColumn id="8176" xr3:uid="{F7396A44-FDE4-4A0A-9A2A-8C13F28F1CE6}" name="Column8157"/>
    <tableColumn id="8177" xr3:uid="{4F50C66B-B969-4A22-BB34-8878DBA30F0A}" name="Column8158"/>
    <tableColumn id="8178" xr3:uid="{C7A55012-BA65-4058-99D1-4C21BDA19055}" name="Column8159"/>
    <tableColumn id="8179" xr3:uid="{DD686A77-9FF8-4D74-AE3F-9CBD0D828951}" name="Column8160"/>
    <tableColumn id="8180" xr3:uid="{374EC9D1-5B61-4471-A4F8-78673C5EF47E}" name="Column8161"/>
    <tableColumn id="8181" xr3:uid="{148BD4E7-C059-456F-A84F-6160B27718ED}" name="Column8162"/>
    <tableColumn id="8182" xr3:uid="{52115965-2335-4D71-AD56-6EC7D60BD2B7}" name="Column8163"/>
    <tableColumn id="8183" xr3:uid="{78787596-6CC4-467A-A869-7BC5E01AB85A}" name="Column8164"/>
    <tableColumn id="8184" xr3:uid="{4743EDA8-0C9C-4169-9133-4F045594B8C0}" name="Column8165"/>
    <tableColumn id="8185" xr3:uid="{BB508862-148E-4648-B253-4FCA47CEAED7}" name="Column8166"/>
    <tableColumn id="8186" xr3:uid="{24316BAD-EA22-4EB4-875A-EC3C501A64F8}" name="Column8167"/>
    <tableColumn id="8187" xr3:uid="{5CF7D522-B254-4FBE-B4C1-8FA1DEDF4ED8}" name="Column8168"/>
    <tableColumn id="8188" xr3:uid="{227B996E-3278-4F38-8B5B-62A7348645D9}" name="Column8169"/>
    <tableColumn id="8189" xr3:uid="{9C855804-06A1-4087-AAD8-CE3CB97084AE}" name="Column8170"/>
    <tableColumn id="8190" xr3:uid="{DCDCB923-75F1-446C-96F6-A8362BC9F5EF}" name="Column8171"/>
    <tableColumn id="8191" xr3:uid="{EFD16864-C82A-4719-8FA0-5A9D20F741E9}" name="Column8172"/>
    <tableColumn id="8192" xr3:uid="{AAF8445E-90A4-416B-ABBE-44DDC167F900}" name="Column8173"/>
    <tableColumn id="8193" xr3:uid="{A0560AE4-A453-4ECC-A252-7F9E047C05CF}" name="Column8174"/>
    <tableColumn id="8194" xr3:uid="{2165DB04-47F3-49B0-B53B-A73E33C40E50}" name="Column8175"/>
    <tableColumn id="8195" xr3:uid="{2A61EA72-891C-470F-AB4C-4D2C391B0B70}" name="Column8176"/>
    <tableColumn id="8196" xr3:uid="{868C41EE-F4E2-41E4-B250-8ABC9FCE3750}" name="Column8177"/>
    <tableColumn id="8197" xr3:uid="{DB8C06EA-4540-452A-8AFA-925642D4470C}" name="Column8178"/>
    <tableColumn id="8198" xr3:uid="{1E939614-90C3-4151-ADDD-2A4783970E50}" name="Column8179"/>
    <tableColumn id="8199" xr3:uid="{5750B664-4841-4019-84BE-B41D71533496}" name="Column8180"/>
    <tableColumn id="8200" xr3:uid="{FD9DC32F-E76B-46BA-9EC4-508847FB11DF}" name="Column8181"/>
    <tableColumn id="8201" xr3:uid="{5D67B6C8-BFCD-4C3C-9273-CD50922BB73D}" name="Column8182"/>
    <tableColumn id="8202" xr3:uid="{B86F9463-4EEF-4ED0-9410-6BC5B8AA2B63}" name="Column8183"/>
    <tableColumn id="8203" xr3:uid="{631550F9-278A-4CE9-A3C5-C3F57190BCA4}" name="Column8184"/>
    <tableColumn id="8204" xr3:uid="{E56EE27C-1E0A-427C-8F65-9FDA6F39B7D8}" name="Column8185"/>
    <tableColumn id="8205" xr3:uid="{79E23B86-F14F-4289-8025-1C4F21ABB30C}" name="Column8186"/>
    <tableColumn id="8206" xr3:uid="{68B1FD6B-943E-4DFA-8718-9AFBA9A35A90}" name="Column8187"/>
    <tableColumn id="8207" xr3:uid="{804CEB77-7669-4004-82C6-EF76AFF75507}" name="Column8188"/>
    <tableColumn id="8208" xr3:uid="{CC885CCC-882B-4DAE-87CA-09C6BBE16C50}" name="Column8189"/>
    <tableColumn id="8209" xr3:uid="{4C45DCF3-784C-4981-BA76-9B058C2A74CF}" name="Column8190"/>
    <tableColumn id="8210" xr3:uid="{D04E5229-DB7B-463A-9678-D452123F4BF0}" name="Column8191"/>
    <tableColumn id="8211" xr3:uid="{4EC849FE-FCF3-452B-ACBF-E67EDFA5B6D2}" name="Column8192"/>
    <tableColumn id="8212" xr3:uid="{49E46017-5948-47C2-B3B0-3AD2DE2E465F}" name="Column8193"/>
    <tableColumn id="8213" xr3:uid="{2926C5F3-88FD-4ABA-971D-5B1FCB2BFC51}" name="Column8194"/>
    <tableColumn id="8214" xr3:uid="{E7D1B311-1D12-489B-B172-95475C1D9B55}" name="Column8195"/>
    <tableColumn id="8215" xr3:uid="{D37867DE-EA67-459E-B73C-BC42510B329F}" name="Column8196"/>
    <tableColumn id="8216" xr3:uid="{A2D01FE4-253B-40C5-A0F9-DC403784D712}" name="Column8197"/>
    <tableColumn id="8217" xr3:uid="{7ECC545B-55FE-473E-884E-CB594170A195}" name="Column8198"/>
    <tableColumn id="8218" xr3:uid="{6A07BC41-B44C-413D-8475-6ACC568ED007}" name="Column8199"/>
    <tableColumn id="8219" xr3:uid="{9554F613-89AD-4FD1-B0C8-8A3FAEF9D62F}" name="Column8200"/>
    <tableColumn id="8220" xr3:uid="{F784EC8C-7242-4513-B540-C23DBA952570}" name="Column8201"/>
    <tableColumn id="8221" xr3:uid="{08BA76E3-F79E-45CF-9838-803ABE8CB4F2}" name="Column8202"/>
    <tableColumn id="8222" xr3:uid="{D4CF244C-DE65-4252-8B38-B02134F9D6B1}" name="Column8203"/>
    <tableColumn id="8223" xr3:uid="{65A39522-004F-470A-A838-078FF284EDDA}" name="Column8204"/>
    <tableColumn id="8224" xr3:uid="{ADD0A249-B503-4FA5-AD56-BC6C556B3401}" name="Column8205"/>
    <tableColumn id="8225" xr3:uid="{B771EB28-49C4-4522-914A-1A2B4785689A}" name="Column8206"/>
    <tableColumn id="8226" xr3:uid="{70B224AD-CF67-4374-89A9-3D9F6B6CAC2B}" name="Column8207"/>
    <tableColumn id="8227" xr3:uid="{40CE6AB6-E111-4B7F-B591-0C405203CCA9}" name="Column8208"/>
    <tableColumn id="8228" xr3:uid="{2F0D582A-6CA7-417E-B57D-75B2231DCCE5}" name="Column8209"/>
    <tableColumn id="8229" xr3:uid="{22A1EB6E-88C0-4CBF-889B-6D52C9F94C50}" name="Column8210"/>
    <tableColumn id="8230" xr3:uid="{3AE58DFA-3F6D-4103-88CD-1EA064E05BFA}" name="Column8211"/>
    <tableColumn id="8231" xr3:uid="{4B29F7ED-625B-4068-A5DD-2824D28AE461}" name="Column8212"/>
    <tableColumn id="8232" xr3:uid="{B06C5101-207D-4441-9A2E-1780E9BCBCAE}" name="Column8213"/>
    <tableColumn id="8233" xr3:uid="{0B249A3F-641C-4C7A-98E1-37A5CB02FAE5}" name="Column8214"/>
    <tableColumn id="8234" xr3:uid="{524AB472-09F9-4746-BCE6-A11D0BF05125}" name="Column8215"/>
    <tableColumn id="8235" xr3:uid="{6E6BC22E-856B-4ECB-9632-1EEAF17E798A}" name="Column8216"/>
    <tableColumn id="8236" xr3:uid="{A1B4D671-A820-4C91-8931-3AA4A5C1488C}" name="Column8217"/>
    <tableColumn id="8237" xr3:uid="{61BC0486-49CC-40D2-9284-2470D64EAF59}" name="Column8218"/>
    <tableColumn id="8238" xr3:uid="{208C6DE4-06C8-493B-89C5-10FB51285626}" name="Column8219"/>
    <tableColumn id="8239" xr3:uid="{B05FB7BA-D62F-432F-AF06-673213ECA7F9}" name="Column8220"/>
    <tableColumn id="8240" xr3:uid="{8105FB55-0540-40EB-A54C-1BA96B418394}" name="Column8221"/>
    <tableColumn id="8241" xr3:uid="{460E8058-553A-4CF4-A738-D2787AB01ADA}" name="Column8222"/>
    <tableColumn id="8242" xr3:uid="{FD477BC3-A0FA-43BB-A88F-11296DC2A736}" name="Column8223"/>
    <tableColumn id="8243" xr3:uid="{3BFB6104-FB8B-404D-95E7-67216775E310}" name="Column8224"/>
    <tableColumn id="8244" xr3:uid="{4876014B-0022-4DF4-BA5F-CFEBD17FE76D}" name="Column8225"/>
    <tableColumn id="8245" xr3:uid="{EFFDD90A-E741-4CE9-A746-85F9392A4CAB}" name="Column8226"/>
    <tableColumn id="8246" xr3:uid="{FF5A6AA4-BBC4-4E66-AF05-E42CB91FEB7A}" name="Column8227"/>
    <tableColumn id="8247" xr3:uid="{FECF1F33-E4FE-4676-A16A-9C85AAB38746}" name="Column8228"/>
    <tableColumn id="8248" xr3:uid="{501B4FD1-B9F4-430D-ABCB-37CB692ECEED}" name="Column8229"/>
    <tableColumn id="8249" xr3:uid="{02CDCD99-8245-446D-8AA3-0CB2822BC819}" name="Column8230"/>
    <tableColumn id="8250" xr3:uid="{57CF712C-6EE1-49DC-9B17-A4532A2809ED}" name="Column8231"/>
    <tableColumn id="8251" xr3:uid="{4CBE3FC6-4B7D-4F83-9BDA-6354BB98F264}" name="Column8232"/>
    <tableColumn id="8252" xr3:uid="{E3440346-58FC-46F3-9503-041C06DC14C2}" name="Column8233"/>
    <tableColumn id="8253" xr3:uid="{43A4A4FE-BC47-496F-AA40-250C9B4429B8}" name="Column8234"/>
    <tableColumn id="8254" xr3:uid="{7C3D77C4-FC79-4178-89D5-E6BF17696233}" name="Column8235"/>
    <tableColumn id="8255" xr3:uid="{A0B57144-6808-45E0-B85D-39ABAA3F14AB}" name="Column8236"/>
    <tableColumn id="8256" xr3:uid="{A208A8A3-D68A-469D-B5FE-7FDAB0A342FC}" name="Column8237"/>
    <tableColumn id="8257" xr3:uid="{A9E9CC50-E544-4000-ABE1-444EC874FB47}" name="Column8238"/>
    <tableColumn id="8258" xr3:uid="{7F9B74E1-6720-4C8B-9FD5-A9BE26FB9AB5}" name="Column8239"/>
    <tableColumn id="8259" xr3:uid="{00214D79-271F-4414-92E6-03779118A4DF}" name="Column8240"/>
    <tableColumn id="8260" xr3:uid="{A0EBA3D5-B2EA-4A6F-BD08-7DC1757B91D2}" name="Column8241"/>
    <tableColumn id="8261" xr3:uid="{1EA081D1-9B42-4B46-B1EB-99ECAA86AA05}" name="Column8242"/>
    <tableColumn id="8262" xr3:uid="{32E482A1-F0DA-4153-896B-7068D4C03485}" name="Column8243"/>
    <tableColumn id="8263" xr3:uid="{FFF8F354-06D0-4A3F-9C42-EC6A3D14A30F}" name="Column8244"/>
    <tableColumn id="8264" xr3:uid="{63045CD5-6577-4C74-8FEF-8EFF49D016C4}" name="Column8245"/>
    <tableColumn id="8265" xr3:uid="{B783726D-6592-41F7-99B5-7FB160F96EB7}" name="Column8246"/>
    <tableColumn id="8266" xr3:uid="{4CE96E41-FBCD-4178-AF2A-0BDC457FAE7E}" name="Column8247"/>
    <tableColumn id="8267" xr3:uid="{0FA5B78E-230F-4F0F-9187-4971350ED6CB}" name="Column8248"/>
    <tableColumn id="8268" xr3:uid="{ED01D45C-52D3-469F-8E16-7D2E26482CE7}" name="Column8249"/>
    <tableColumn id="8269" xr3:uid="{3CBECDC9-4B39-44AB-93AB-9D82D72B7107}" name="Column8250"/>
    <tableColumn id="8270" xr3:uid="{54C2E16B-0BB1-4553-B344-376D6EB43A21}" name="Column8251"/>
    <tableColumn id="8271" xr3:uid="{70236220-326A-4D24-879D-E87F74888426}" name="Column8252"/>
    <tableColumn id="8272" xr3:uid="{1683D6D6-8CF0-4FEC-BBDB-73BE93BA29C4}" name="Column8253"/>
    <tableColumn id="8273" xr3:uid="{C07DBC28-D7C2-43CA-BCEB-2AC213C97BAA}" name="Column8254"/>
    <tableColumn id="8274" xr3:uid="{E5B78A95-B834-4C0E-B75A-A2DF76978C3E}" name="Column8255"/>
    <tableColumn id="8275" xr3:uid="{D037766F-CA08-404D-8829-1664DD8519FA}" name="Column8256"/>
    <tableColumn id="8276" xr3:uid="{9344F7EF-627A-4DF9-A42A-734304FDAF16}" name="Column8257"/>
    <tableColumn id="8277" xr3:uid="{CA494A69-7A19-493D-9552-21247518726B}" name="Column8258"/>
    <tableColumn id="8278" xr3:uid="{812B5DDF-E406-4415-84DE-B8CD073D1FD5}" name="Column8259"/>
    <tableColumn id="8279" xr3:uid="{85FF81C9-B87C-4692-95BD-54CB85A5C2D4}" name="Column8260"/>
    <tableColumn id="8280" xr3:uid="{FC5F3CCB-B14A-49E0-BCFD-07F90734D5B8}" name="Column8261"/>
    <tableColumn id="8281" xr3:uid="{D6F9F9A8-559B-469A-A2E8-4F8C9A200CB9}" name="Column8262"/>
    <tableColumn id="8282" xr3:uid="{4BF2BCEC-0739-477B-994C-974C19E27E80}" name="Column8263"/>
    <tableColumn id="8283" xr3:uid="{5683C79A-329B-4C0A-BD86-2E0858EC2DD7}" name="Column8264"/>
    <tableColumn id="8284" xr3:uid="{E10AD5D8-4E2C-4C4B-9917-B6243C1CD6F3}" name="Column8265"/>
    <tableColumn id="8285" xr3:uid="{26A784A0-1B35-406F-8A1C-22A46E896C48}" name="Column8266"/>
    <tableColumn id="8286" xr3:uid="{56483EF8-F5C7-489C-9509-CB51D6CBD971}" name="Column8267"/>
    <tableColumn id="8287" xr3:uid="{6D75A594-1F60-44FA-B05E-6B1D46899E3D}" name="Column8268"/>
    <tableColumn id="8288" xr3:uid="{8B5A8E02-BC91-4E09-A93E-A8CA3717A4ED}" name="Column8269"/>
    <tableColumn id="8289" xr3:uid="{AE31CB8D-CE59-441B-95EA-98BFC5368A6B}" name="Column8270"/>
    <tableColumn id="8290" xr3:uid="{25BB9CED-2098-4DC7-A572-9D2673D7F815}" name="Column8271"/>
    <tableColumn id="8291" xr3:uid="{DDCEEF4D-1A67-430C-A626-AF942CBC4515}" name="Column8272"/>
    <tableColumn id="8292" xr3:uid="{6B5B2811-BC51-4C53-8A24-A94732CEE448}" name="Column8273"/>
    <tableColumn id="8293" xr3:uid="{C05F42DD-DB76-440B-AFC8-98A170AB39DD}" name="Column8274"/>
    <tableColumn id="8294" xr3:uid="{C17C16B2-2704-4347-8CB2-AF33BE9C57C8}" name="Column8275"/>
    <tableColumn id="8295" xr3:uid="{2FA603A2-925A-42A2-919A-E19B099C4A5F}" name="Column8276"/>
    <tableColumn id="8296" xr3:uid="{055F99CC-C998-4EF9-9F81-75409F7CB32E}" name="Column8277"/>
    <tableColumn id="8297" xr3:uid="{C572C8B0-B474-4B58-BB9B-060E4700AC6A}" name="Column8278"/>
    <tableColumn id="8298" xr3:uid="{0E4A44A9-B11A-41E8-B34E-99D012BE9A24}" name="Column8279"/>
    <tableColumn id="8299" xr3:uid="{6EEFA0C1-A229-40FC-B871-DAC319559D43}" name="Column8280"/>
    <tableColumn id="8300" xr3:uid="{96C74397-A983-48B8-9A50-8FA7BCCE7018}" name="Column8281"/>
    <tableColumn id="8301" xr3:uid="{FFF90D3B-E7F7-4F70-8BEB-587E46B6F864}" name="Column8282"/>
    <tableColumn id="8302" xr3:uid="{06FFB3C8-6AA2-4EE1-9ACB-CB17B06867D6}" name="Column8283"/>
    <tableColumn id="8303" xr3:uid="{47971DE6-576E-49AB-884E-4DBE5236D015}" name="Column8284"/>
    <tableColumn id="8304" xr3:uid="{D305D4F9-9C16-4984-B5F7-618BE49D24D9}" name="Column8285"/>
    <tableColumn id="8305" xr3:uid="{95F16620-1757-4886-92AD-DEEDD81F13BF}" name="Column8286"/>
    <tableColumn id="8306" xr3:uid="{2E0DE195-8482-485D-B914-07436C3B2A3A}" name="Column8287"/>
    <tableColumn id="8307" xr3:uid="{B303CA3C-46D1-4E46-A228-77B467395A03}" name="Column8288"/>
    <tableColumn id="8308" xr3:uid="{50A0F796-2D1A-457E-85D8-5C1E6B879D4E}" name="Column8289"/>
    <tableColumn id="8309" xr3:uid="{375D30B8-3489-4CF8-927B-42CF9A27E61F}" name="Column8290"/>
    <tableColumn id="8310" xr3:uid="{217C8E47-32DD-4EB8-BCE7-076511313EE4}" name="Column8291"/>
    <tableColumn id="8311" xr3:uid="{F246024A-ABB9-4C1E-AF12-99D12181D781}" name="Column8292"/>
    <tableColumn id="8312" xr3:uid="{54DFB677-2387-43F4-A076-94BE2E840008}" name="Column8293"/>
    <tableColumn id="8313" xr3:uid="{7BDD66BD-90F9-4D1B-AB6B-D30F3A99A1D6}" name="Column8294"/>
    <tableColumn id="8314" xr3:uid="{C9C93E9B-3CFA-41C7-B791-B8DE15C903EE}" name="Column8295"/>
    <tableColumn id="8315" xr3:uid="{ED71998B-49A3-4C7A-8F62-47B76AAE2A55}" name="Column8296"/>
    <tableColumn id="8316" xr3:uid="{E977FD11-11A0-4F77-A5A8-49E57C1402DF}" name="Column8297"/>
    <tableColumn id="8317" xr3:uid="{991F5501-EFBC-4E05-A3E9-A065E3022E93}" name="Column8298"/>
    <tableColumn id="8318" xr3:uid="{D3EAF512-5600-4829-8E3F-6C2DE56A5C72}" name="Column8299"/>
    <tableColumn id="8319" xr3:uid="{4417E691-1813-4500-BA9E-93E128D52A47}" name="Column8300"/>
    <tableColumn id="8320" xr3:uid="{5A01A3EC-6625-449A-88A7-76924B083E27}" name="Column8301"/>
    <tableColumn id="8321" xr3:uid="{3590D638-F939-4E3B-9DFE-E4C35DA1E6F5}" name="Column8302"/>
    <tableColumn id="8322" xr3:uid="{FD87A704-6474-49BC-9447-AAA23C4B6E3E}" name="Column8303"/>
    <tableColumn id="8323" xr3:uid="{704EEF6D-AF75-49DC-877B-5E7743758A1F}" name="Column8304"/>
    <tableColumn id="8324" xr3:uid="{A01D6EB5-C1AA-4A26-AD18-601D87B00423}" name="Column8305"/>
    <tableColumn id="8325" xr3:uid="{C0A33CB6-323A-49FD-8076-BF145DA6C9AE}" name="Column8306"/>
    <tableColumn id="8326" xr3:uid="{6B651556-6163-4276-A920-E89213673BE9}" name="Column8307"/>
    <tableColumn id="8327" xr3:uid="{737108AC-588C-49B4-A621-47164466F5D6}" name="Column8308"/>
    <tableColumn id="8328" xr3:uid="{0C114358-E06B-4DB6-A04E-4BCE96673180}" name="Column8309"/>
    <tableColumn id="8329" xr3:uid="{965D72FE-5DEE-4560-A976-29572811EC8F}" name="Column8310"/>
    <tableColumn id="8330" xr3:uid="{50CEF742-1063-40B8-8B17-4A4BCD6CBB5F}" name="Column8311"/>
    <tableColumn id="8331" xr3:uid="{816CB84A-E1F9-4F8A-9EC3-7518758EB2E3}" name="Column8312"/>
    <tableColumn id="8332" xr3:uid="{E4F7B709-B494-4107-95A7-DF55C9370196}" name="Column8313"/>
    <tableColumn id="8333" xr3:uid="{9F823991-4AEC-473C-8D58-206B338FC8BF}" name="Column8314"/>
    <tableColumn id="8334" xr3:uid="{A796D0F2-E6C0-4318-A76D-223B89C42347}" name="Column8315"/>
    <tableColumn id="8335" xr3:uid="{9C7E83F1-499B-4E7D-8FAB-382E65FBF236}" name="Column8316"/>
    <tableColumn id="8336" xr3:uid="{1E76D7EA-EEF9-420B-85D7-382154DB043A}" name="Column8317"/>
    <tableColumn id="8337" xr3:uid="{990C788F-D2C0-4BA6-A028-069B57DD3FEE}" name="Column8318"/>
    <tableColumn id="8338" xr3:uid="{785CAD0E-CF98-498D-B40A-ABD85A40DD1E}" name="Column8319"/>
    <tableColumn id="8339" xr3:uid="{2C4830A8-74F3-42D7-804F-B1A518167C62}" name="Column8320"/>
    <tableColumn id="8340" xr3:uid="{505B1BDC-E50C-434D-B494-FC485C79107D}" name="Column8321"/>
    <tableColumn id="8341" xr3:uid="{0924526A-D9CB-4C53-9F50-7F5F4E5B9C48}" name="Column8322"/>
    <tableColumn id="8342" xr3:uid="{9DB8A8BC-4BD6-4741-8DE3-10E356AF7D6F}" name="Column8323"/>
    <tableColumn id="8343" xr3:uid="{D4D8D322-1948-4DAF-9D46-EC11E035AA0D}" name="Column8324"/>
    <tableColumn id="8344" xr3:uid="{28DDA7CB-565D-4471-A3FF-A7EA8DAF67BE}" name="Column8325"/>
    <tableColumn id="8345" xr3:uid="{5EDB4B44-8F37-4068-8538-ED497167981A}" name="Column8326"/>
    <tableColumn id="8346" xr3:uid="{1F5C9C7A-FF87-4687-A751-BDCA5B74DAA7}" name="Column8327"/>
    <tableColumn id="8347" xr3:uid="{03BEED6F-4C41-4EB0-A4D7-2B0696A48D1D}" name="Column8328"/>
    <tableColumn id="8348" xr3:uid="{32742309-C15D-4CF1-91B6-05BDBBBB889B}" name="Column8329"/>
    <tableColumn id="8349" xr3:uid="{4074883B-5C49-4C7D-9469-61C44884A6DB}" name="Column8330"/>
    <tableColumn id="8350" xr3:uid="{848ECB6F-73C5-4F41-8659-042CF2CCEBF3}" name="Column8331"/>
    <tableColumn id="8351" xr3:uid="{98B53FB0-A25D-4FC7-BBBD-EF3AA6434411}" name="Column8332"/>
    <tableColumn id="8352" xr3:uid="{41A3D05C-3325-482B-9434-827CD8171ABD}" name="Column8333"/>
    <tableColumn id="8353" xr3:uid="{A1B66844-87A5-41CE-837A-9FC32530169A}" name="Column8334"/>
    <tableColumn id="8354" xr3:uid="{E8399CC6-8996-4735-99D2-DA2D8223E81F}" name="Column8335"/>
    <tableColumn id="8355" xr3:uid="{CB84DAD2-B3A5-417A-ABEC-C519CDFF520C}" name="Column8336"/>
    <tableColumn id="8356" xr3:uid="{18A7E4E4-3DF2-4C95-85E6-851175EFAE6D}" name="Column8337"/>
    <tableColumn id="8357" xr3:uid="{B8A2CA42-0826-4003-A471-1150E775EA05}" name="Column8338"/>
    <tableColumn id="8358" xr3:uid="{6BFA5D38-B4CA-4F93-B5E5-146C03F9BE2B}" name="Column8339"/>
    <tableColumn id="8359" xr3:uid="{9012AA02-4B16-460E-91AA-8750589589DE}" name="Column8340"/>
    <tableColumn id="8360" xr3:uid="{13967E08-46FF-40EF-ADB7-2EC0E2D5FE34}" name="Column8341"/>
    <tableColumn id="8361" xr3:uid="{D4B4B8E9-4499-41DF-9DA3-40BBAFD00162}" name="Column8342"/>
    <tableColumn id="8362" xr3:uid="{187EE3DC-43BB-4F24-A799-AAE9FBD84FF4}" name="Column8343"/>
    <tableColumn id="8363" xr3:uid="{3480CABD-91FB-43D9-A19C-A04137C3DE03}" name="Column8344"/>
    <tableColumn id="8364" xr3:uid="{EC68FA7A-9CA3-4528-95CA-D4B475DD10A6}" name="Column8345"/>
    <tableColumn id="8365" xr3:uid="{BEBE6262-A2C4-404D-9FEE-55DC9D173522}" name="Column8346"/>
    <tableColumn id="8366" xr3:uid="{59DEAD09-DD22-4DC5-B11E-57B22B061419}" name="Column8347"/>
    <tableColumn id="8367" xr3:uid="{3C0737D0-36C3-4C45-8F11-AAC349CB235F}" name="Column8348"/>
    <tableColumn id="8368" xr3:uid="{DB11B530-AE46-479C-ABB6-A3BC8B5A1433}" name="Column8349"/>
    <tableColumn id="8369" xr3:uid="{0526AEAB-48E3-4244-B4CD-6DC36E27A58C}" name="Column8350"/>
    <tableColumn id="8370" xr3:uid="{93EFF4E9-1619-4D2E-ABD4-66DE7B29E5A7}" name="Column8351"/>
    <tableColumn id="8371" xr3:uid="{F004D73B-5CB3-445B-965B-719F96EE415A}" name="Column8352"/>
    <tableColumn id="8372" xr3:uid="{D54BE167-F91B-4241-897B-C4BD0467AC8B}" name="Column8353"/>
    <tableColumn id="8373" xr3:uid="{AE09FC24-7D1A-415E-99DC-5BD6BD4197A5}" name="Column8354"/>
    <tableColumn id="8374" xr3:uid="{F1952176-9543-4A9E-AC8E-EF3FBEA832FA}" name="Column8355"/>
    <tableColumn id="8375" xr3:uid="{39A75895-9E2D-4840-8AD9-3C7406CE7C29}" name="Column8356"/>
    <tableColumn id="8376" xr3:uid="{6D430F3F-014F-4B50-BFB7-41346CDC22F4}" name="Column8357"/>
    <tableColumn id="8377" xr3:uid="{4CF4CC74-8F25-4601-ACC5-9830103BBBB9}" name="Column8358"/>
    <tableColumn id="8378" xr3:uid="{7455639F-6B2E-44E3-B665-A05CFFAE6D05}" name="Column8359"/>
    <tableColumn id="8379" xr3:uid="{036D1C1F-1578-4428-97B7-F613B576474E}" name="Column8360"/>
    <tableColumn id="8380" xr3:uid="{A6291628-A7ED-4E8A-9C08-19763ED8E465}" name="Column8361"/>
    <tableColumn id="8381" xr3:uid="{8BBD735D-B151-4AC0-B924-924DD98EEEA8}" name="Column8362"/>
    <tableColumn id="8382" xr3:uid="{FCE46AC5-CC00-44B2-B363-FEA1496400E6}" name="Column8363"/>
    <tableColumn id="8383" xr3:uid="{F0BD38A6-7811-4852-A132-39C20D0B33DC}" name="Column8364"/>
    <tableColumn id="8384" xr3:uid="{BDFB42B8-0520-4C12-8139-CFB46DB7EEEF}" name="Column8365"/>
    <tableColumn id="8385" xr3:uid="{CBC2F182-604E-469A-9E6F-467C1E896188}" name="Column8366"/>
    <tableColumn id="8386" xr3:uid="{DB98912D-8F73-4EA6-81F5-5B94D8668FFF}" name="Column8367"/>
    <tableColumn id="8387" xr3:uid="{3E8C517D-E8C8-4A12-9A83-F3BE8B2BD5D4}" name="Column8368"/>
    <tableColumn id="8388" xr3:uid="{B07E5793-A9E3-438E-8503-3D77195BAF26}" name="Column8369"/>
    <tableColumn id="8389" xr3:uid="{8BFE4328-19A8-4B61-9DF2-A532E03AB696}" name="Column8370"/>
    <tableColumn id="8390" xr3:uid="{EE6D33EF-81CA-4C93-92A2-A7093409DC89}" name="Column8371"/>
    <tableColumn id="8391" xr3:uid="{A1A5BDA6-4060-4C45-93D9-6419ABF7AF4A}" name="Column8372"/>
    <tableColumn id="8392" xr3:uid="{7631703F-0494-40C7-B7BB-A49250CAB64B}" name="Column8373"/>
    <tableColumn id="8393" xr3:uid="{88C0BF3E-1639-4CA0-BDDC-3E0FBD7F65A3}" name="Column8374"/>
    <tableColumn id="8394" xr3:uid="{28F82C06-E173-49AA-B646-A195ABD9422C}" name="Column8375"/>
    <tableColumn id="8395" xr3:uid="{D699F681-8FF6-4AB2-988B-529F510F8F76}" name="Column8376"/>
    <tableColumn id="8396" xr3:uid="{979352E7-3BFF-467B-896D-FF400C36BE50}" name="Column8377"/>
    <tableColumn id="8397" xr3:uid="{3FF47FF7-6889-455F-8EC4-EDEAE0A8F3A7}" name="Column8378"/>
    <tableColumn id="8398" xr3:uid="{5BF1D6D5-4155-4124-BC63-591ACFFF207C}" name="Column8379"/>
    <tableColumn id="8399" xr3:uid="{8D8F9D3F-6296-413A-A450-102474A0E6F2}" name="Column8380"/>
    <tableColumn id="8400" xr3:uid="{9AEED7F6-1B99-4DE8-9AAA-815147F1412C}" name="Column8381"/>
    <tableColumn id="8401" xr3:uid="{9E9C1556-534B-4A4E-AD63-BCED0BC53B18}" name="Column8382"/>
    <tableColumn id="8402" xr3:uid="{777F4D1A-7FFA-4DA5-90FE-358366F213C8}" name="Column8383"/>
    <tableColumn id="8403" xr3:uid="{62FA311C-92D4-4EBB-A5A4-491C7D7C9C7D}" name="Column8384"/>
    <tableColumn id="8404" xr3:uid="{C45227A3-A46E-482B-B553-29F00B257ACC}" name="Column8385"/>
    <tableColumn id="8405" xr3:uid="{C07B01F7-C182-462C-BF35-BFDBA7C27FB4}" name="Column8386"/>
    <tableColumn id="8406" xr3:uid="{43178F2E-5D94-4572-9E1F-EDF9FEA97977}" name="Column8387"/>
    <tableColumn id="8407" xr3:uid="{66887380-E34A-4780-B817-A73146E875F4}" name="Column8388"/>
    <tableColumn id="8408" xr3:uid="{CB772869-E780-4466-90E9-600508E9750D}" name="Column8389"/>
    <tableColumn id="8409" xr3:uid="{546BA178-DC84-484E-86FA-C81ECB172483}" name="Column8390"/>
    <tableColumn id="8410" xr3:uid="{5EA8410F-DE18-4410-82AA-0FC4CDF72A74}" name="Column8391"/>
    <tableColumn id="8411" xr3:uid="{F0C1DF0B-B8F8-466F-AB4D-E32A4DB87A6B}" name="Column8392"/>
    <tableColumn id="8412" xr3:uid="{381C8828-2765-4627-97CC-BBBC0705FBA3}" name="Column8393"/>
    <tableColumn id="8413" xr3:uid="{A51A26B2-C4F6-480A-8FF3-62A84F511BE7}" name="Column8394"/>
    <tableColumn id="8414" xr3:uid="{0549D002-84BF-4D33-B126-04F18D6CE430}" name="Column8395"/>
    <tableColumn id="8415" xr3:uid="{0550C1EF-D706-441D-8A0D-6C2779A543BE}" name="Column8396"/>
    <tableColumn id="8416" xr3:uid="{FD7909B7-91EC-47A2-94AF-03D8D35FB4A6}" name="Column8397"/>
    <tableColumn id="8417" xr3:uid="{57FE474B-88C0-41C4-BE15-9E1E99B4E2D6}" name="Column8398"/>
    <tableColumn id="8418" xr3:uid="{66F47158-BF00-4E10-BBC7-C1F5D8844D48}" name="Column8399"/>
    <tableColumn id="8419" xr3:uid="{EF1DB3E3-9284-4D4A-A6E1-6AAA1AEC06BA}" name="Column8400"/>
    <tableColumn id="8420" xr3:uid="{D427726E-2855-42FB-9BF7-4B4E14566488}" name="Column8401"/>
    <tableColumn id="8421" xr3:uid="{EF438F78-D41A-4444-89FD-134BF96F89CA}" name="Column8402"/>
    <tableColumn id="8422" xr3:uid="{2F5F1584-6654-4E93-8719-97E53C69B3F0}" name="Column8403"/>
    <tableColumn id="8423" xr3:uid="{0690A983-AE00-4A0A-8F4F-897AF4503ACF}" name="Column8404"/>
    <tableColumn id="8424" xr3:uid="{A7528E29-BC2D-485B-A439-2C53EDC6CECE}" name="Column8405"/>
    <tableColumn id="8425" xr3:uid="{5330575D-E6CC-44F1-A4D0-4BDA09E75DF3}" name="Column8406"/>
    <tableColumn id="8426" xr3:uid="{67D1DA49-9F0D-49E9-8FDC-2C9F0839D5CC}" name="Column8407"/>
    <tableColumn id="8427" xr3:uid="{CFAE4C8E-D7A8-4EAC-B5D8-2769D381F200}" name="Column8408"/>
    <tableColumn id="8428" xr3:uid="{A85C2C00-1078-4665-83FB-13CA55E81612}" name="Column8409"/>
    <tableColumn id="8429" xr3:uid="{21FC4CD8-72B2-48B5-A4F8-1E4470B3AA1A}" name="Column8410"/>
    <tableColumn id="8430" xr3:uid="{17509AF3-5466-46BF-90E9-568FC6DA67BA}" name="Column8411"/>
    <tableColumn id="8431" xr3:uid="{1C5C6D37-ACCF-4DDF-B727-5CABE47424B9}" name="Column8412"/>
    <tableColumn id="8432" xr3:uid="{4A79A6F7-1293-473D-9197-E13AA14073C9}" name="Column8413"/>
    <tableColumn id="8433" xr3:uid="{B7F75E7B-E8B8-45F1-8026-976C428E2699}" name="Column8414"/>
    <tableColumn id="8434" xr3:uid="{B8FFB6BF-DE30-4B8F-8079-3E03217F953D}" name="Column8415"/>
    <tableColumn id="8435" xr3:uid="{8B739359-3D3D-4DFE-BC33-77C2277E2A97}" name="Column8416"/>
    <tableColumn id="8436" xr3:uid="{13AFE0D9-5D8B-4041-9D53-F574686F8F78}" name="Column8417"/>
    <tableColumn id="8437" xr3:uid="{4360C75D-EADB-4937-8469-12499903FEC9}" name="Column8418"/>
    <tableColumn id="8438" xr3:uid="{BB223A06-C287-4E79-BAFC-5E8732273D67}" name="Column8419"/>
    <tableColumn id="8439" xr3:uid="{5D37C284-FF79-46B1-B411-C2D08733B705}" name="Column8420"/>
    <tableColumn id="8440" xr3:uid="{7E628C90-FBF1-4C73-809F-B0A4559D3D44}" name="Column8421"/>
    <tableColumn id="8441" xr3:uid="{3C018990-1519-4941-8C0B-0C1C042E2D08}" name="Column8422"/>
    <tableColumn id="8442" xr3:uid="{75503DDE-D256-4AAE-A5CA-3E28D4950C7F}" name="Column8423"/>
    <tableColumn id="8443" xr3:uid="{320FE627-CD70-4AE1-8CB4-4E10C1825BE9}" name="Column8424"/>
    <tableColumn id="8444" xr3:uid="{AA4B8E17-724F-497A-AB3A-00FEEBD8C711}" name="Column8425"/>
    <tableColumn id="8445" xr3:uid="{A609CAAE-E07C-4225-AE89-0C7E9CF95552}" name="Column8426"/>
    <tableColumn id="8446" xr3:uid="{E7721F7A-7481-4632-96E7-11D2FD6696C1}" name="Column8427"/>
    <tableColumn id="8447" xr3:uid="{06A3BA4B-495B-4253-8838-87CB0901D537}" name="Column8428"/>
    <tableColumn id="8448" xr3:uid="{CC7C7728-A9E1-4197-A5CA-94F6E210BA1C}" name="Column8429"/>
    <tableColumn id="8449" xr3:uid="{99C841BB-88B7-446F-B573-387B8843828B}" name="Column8430"/>
    <tableColumn id="8450" xr3:uid="{D7A4D598-B30C-4B3C-AE29-0AB2D3E775B9}" name="Column8431"/>
    <tableColumn id="8451" xr3:uid="{3284E0B9-CDBB-4C57-B35E-DFBD7EA4FB40}" name="Column8432"/>
    <tableColumn id="8452" xr3:uid="{AF7EC766-7075-4B38-84CB-55A2F34947C8}" name="Column8433"/>
    <tableColumn id="8453" xr3:uid="{0E474DEB-1451-4CDC-9D3F-B5467AD9F8B7}" name="Column8434"/>
    <tableColumn id="8454" xr3:uid="{AE53F09B-9790-4D6E-8BA6-472D0EF4A55A}" name="Column8435"/>
    <tableColumn id="8455" xr3:uid="{58A1D948-1AC6-439D-9CD7-1C88EE6C4D73}" name="Column8436"/>
    <tableColumn id="8456" xr3:uid="{063254B6-C33D-4585-943B-974294079283}" name="Column8437"/>
    <tableColumn id="8457" xr3:uid="{BDD69696-C2D7-4A41-8DE5-6BA893380384}" name="Column8438"/>
    <tableColumn id="8458" xr3:uid="{620670D8-B4B9-448C-9C4D-B5CA07DB639D}" name="Column8439"/>
    <tableColumn id="8459" xr3:uid="{9E3BB8F2-24ED-4130-AE14-029E893702AB}" name="Column8440"/>
    <tableColumn id="8460" xr3:uid="{38253FCB-2B01-475B-A642-801F261AAD94}" name="Column8441"/>
    <tableColumn id="8461" xr3:uid="{18F6B24B-EED2-4D9F-829C-F3A33E9CDDF2}" name="Column8442"/>
    <tableColumn id="8462" xr3:uid="{2DB79494-F899-46BE-A434-199C4E8A3696}" name="Column8443"/>
    <tableColumn id="8463" xr3:uid="{EECDE85A-FAB7-455B-BCBE-4B084D01DE34}" name="Column8444"/>
    <tableColumn id="8464" xr3:uid="{BD6EA27F-09B5-43CD-9590-F87472BEC452}" name="Column8445"/>
    <tableColumn id="8465" xr3:uid="{C0BB2868-6728-4931-910E-9674C282AFEF}" name="Column8446"/>
    <tableColumn id="8466" xr3:uid="{2CA68823-8736-475D-A56D-4FFD8C9E5025}" name="Column8447"/>
    <tableColumn id="8467" xr3:uid="{094AEF95-1274-499C-8874-173A1EECCD66}" name="Column8448"/>
    <tableColumn id="8468" xr3:uid="{654A4A2F-9406-4238-8725-FDC086F0A4EB}" name="Column8449"/>
    <tableColumn id="8469" xr3:uid="{AF1B1393-4DFF-4A23-834A-ABE19D342FB6}" name="Column8450"/>
    <tableColumn id="8470" xr3:uid="{E247AB9E-C14E-401B-812D-4505E933EE93}" name="Column8451"/>
    <tableColumn id="8471" xr3:uid="{8CBDF74C-E7F2-49F2-9582-598A6D6D9C14}" name="Column8452"/>
    <tableColumn id="8472" xr3:uid="{2F0E36E4-F50C-42CA-B4D3-62D1688848E9}" name="Column8453"/>
    <tableColumn id="8473" xr3:uid="{184A955F-C35F-473F-A012-1D2F3E76DBA5}" name="Column8454"/>
    <tableColumn id="8474" xr3:uid="{00CC32A9-B933-4F02-82F6-6F4E15D342EF}" name="Column8455"/>
    <tableColumn id="8475" xr3:uid="{F3EBD68A-2C30-4734-821E-C22D38F06C0F}" name="Column8456"/>
    <tableColumn id="8476" xr3:uid="{5C478B57-5419-4F46-9E53-C2AF69829987}" name="Column8457"/>
    <tableColumn id="8477" xr3:uid="{99F4F682-7B22-447F-A063-BA53D05B153A}" name="Column8458"/>
    <tableColumn id="8478" xr3:uid="{39D53131-4F32-4937-AEB8-7C54696E89B0}" name="Column8459"/>
    <tableColumn id="8479" xr3:uid="{B47EB9D6-36C9-4599-AD03-F42C0CFCA6F0}" name="Column8460"/>
    <tableColumn id="8480" xr3:uid="{D18133AB-044C-4D34-9225-AF478FA658BC}" name="Column8461"/>
    <tableColumn id="8481" xr3:uid="{D354A43E-4A49-4CFE-81B2-70CC624279DB}" name="Column8462"/>
    <tableColumn id="8482" xr3:uid="{9EF89708-27E2-4C78-920E-0B142A43C6BA}" name="Column8463"/>
    <tableColumn id="8483" xr3:uid="{B7063761-B7CD-4BC2-B52B-3579FA81457F}" name="Column8464"/>
    <tableColumn id="8484" xr3:uid="{7E9FDE47-A392-406F-A56B-6737CFB87989}" name="Column8465"/>
    <tableColumn id="8485" xr3:uid="{0B5118EE-282C-483D-AA60-C837C38AECF0}" name="Column8466"/>
    <tableColumn id="8486" xr3:uid="{55A18A16-47CE-480B-B6B9-05FFBA2235D2}" name="Column8467"/>
    <tableColumn id="8487" xr3:uid="{C160FF49-8C5E-4635-80A8-BFE55337488B}" name="Column8468"/>
    <tableColumn id="8488" xr3:uid="{706F198F-D86A-4F03-AA0C-77B7B1C2A7FA}" name="Column8469"/>
    <tableColumn id="8489" xr3:uid="{E180FE02-FA53-4246-803B-95E524AACC87}" name="Column8470"/>
    <tableColumn id="8490" xr3:uid="{691E04F1-B076-49F7-B10F-A398E4BBC860}" name="Column8471"/>
    <tableColumn id="8491" xr3:uid="{09E11670-E609-43AD-A534-267F7461D7F0}" name="Column8472"/>
    <tableColumn id="8492" xr3:uid="{017602F1-F0F9-4F2A-809E-ABC67D504926}" name="Column8473"/>
    <tableColumn id="8493" xr3:uid="{A4974E3F-A3D1-45EB-9747-3C4731965EDB}" name="Column8474"/>
    <tableColumn id="8494" xr3:uid="{EB55A12D-C88B-41FB-B82D-B11AE95545C4}" name="Column8475"/>
    <tableColumn id="8495" xr3:uid="{4C5D92CA-06BA-45E2-8F50-9EF43DE1C4FE}" name="Column8476"/>
    <tableColumn id="8496" xr3:uid="{3545D97C-209F-4727-AF8D-B0085F6631AB}" name="Column8477"/>
    <tableColumn id="8497" xr3:uid="{74BC62FB-11B8-4EEB-BDAA-0D45053CB24C}" name="Column8478"/>
    <tableColumn id="8498" xr3:uid="{9F77022C-813F-4B9A-97BD-0F5B93F65A56}" name="Column8479"/>
    <tableColumn id="8499" xr3:uid="{0B8CAE2E-4F5B-48FD-B3C8-88C369A82BE2}" name="Column8480"/>
    <tableColumn id="8500" xr3:uid="{B2062C62-F5B1-49EE-9F7F-353FAD542114}" name="Column8481"/>
    <tableColumn id="8501" xr3:uid="{C3AAE3F3-3A37-4FBB-98D2-ABA6B15B2620}" name="Column8482"/>
    <tableColumn id="8502" xr3:uid="{F2FDAC64-A1CA-41C3-B9C9-E7CEA4E64B29}" name="Column8483"/>
    <tableColumn id="8503" xr3:uid="{656CD966-0B5A-44CF-B9C7-E9994A906408}" name="Column8484"/>
    <tableColumn id="8504" xr3:uid="{B94AD3DE-DC50-4883-A797-71BE9233BFFD}" name="Column8485"/>
    <tableColumn id="8505" xr3:uid="{751FA219-8276-4615-A16D-497BB19E8BEB}" name="Column8486"/>
    <tableColumn id="8506" xr3:uid="{AB41BEE8-9DAA-41F2-A25B-E684B08C0470}" name="Column8487"/>
    <tableColumn id="8507" xr3:uid="{204EAC68-A1DB-4A8C-9FDF-C1313E1F5288}" name="Column8488"/>
    <tableColumn id="8508" xr3:uid="{31881B12-A19B-4DC0-996F-218E8D36D8D8}" name="Column8489"/>
    <tableColumn id="8509" xr3:uid="{19831139-05BD-4E35-AB64-177E162D8F14}" name="Column8490"/>
    <tableColumn id="8510" xr3:uid="{BBE52310-2667-4246-A255-1CC46D3D906A}" name="Column8491"/>
    <tableColumn id="8511" xr3:uid="{FC9C281B-9942-4A06-8FE3-091EB40041FD}" name="Column8492"/>
    <tableColumn id="8512" xr3:uid="{F9FF2E2B-031D-495B-8054-E24BCA9E8A9A}" name="Column8493"/>
    <tableColumn id="8513" xr3:uid="{E0933768-D2B0-4CEA-B202-3C7F3EA73D7E}" name="Column8494"/>
    <tableColumn id="8514" xr3:uid="{9A084035-2799-491F-B2AA-713AAC99D116}" name="Column8495"/>
    <tableColumn id="8515" xr3:uid="{79EEF706-97C4-4F98-8439-1E24C3040212}" name="Column8496"/>
    <tableColumn id="8516" xr3:uid="{C595B0E7-99B4-4487-A978-C8E291DAD198}" name="Column8497"/>
    <tableColumn id="8517" xr3:uid="{BDC63417-87AA-4FAE-B8D5-310939B2AC86}" name="Column8498"/>
    <tableColumn id="8518" xr3:uid="{C33DF3F1-4A45-4B36-A344-BD6DA158C13F}" name="Column8499"/>
    <tableColumn id="8519" xr3:uid="{742CB5C8-0B1F-4185-81BF-174EC1A36CF6}" name="Column8500"/>
    <tableColumn id="8520" xr3:uid="{671B81B4-4B22-4FB2-9D09-6884161798DB}" name="Column8501"/>
    <tableColumn id="8521" xr3:uid="{63605A09-B7BE-41D2-BCDC-DFABB72D8D75}" name="Column8502"/>
    <tableColumn id="8522" xr3:uid="{8EED21D8-593E-476A-9590-A129ED4D3776}" name="Column8503"/>
    <tableColumn id="8523" xr3:uid="{8DA504D3-1460-4669-8861-15482D6FAEED}" name="Column8504"/>
    <tableColumn id="8524" xr3:uid="{D599E7D9-3D3D-4422-9C4F-0251FBCCDB99}" name="Column8505"/>
    <tableColumn id="8525" xr3:uid="{0E9AC0CF-DB28-492D-A8EF-032FB0372675}" name="Column8506"/>
    <tableColumn id="8526" xr3:uid="{D058F3CD-D8B0-4A40-A12C-8979D49F12AD}" name="Column8507"/>
    <tableColumn id="8527" xr3:uid="{D11B2CA3-1F07-452B-9747-87DE81F8B4DC}" name="Column8508"/>
    <tableColumn id="8528" xr3:uid="{610F0355-3C05-4845-89C7-3F908563AAE1}" name="Column8509"/>
    <tableColumn id="8529" xr3:uid="{04D059F4-C5F2-4B45-B50B-C15FB5438EA7}" name="Column8510"/>
    <tableColumn id="8530" xr3:uid="{F50751D1-9246-4B4A-BEB2-B1B8138F35C1}" name="Column8511"/>
    <tableColumn id="8531" xr3:uid="{9176484B-4DF6-4AA5-819B-67099FCFD953}" name="Column8512"/>
    <tableColumn id="8532" xr3:uid="{20701D56-0FB4-403D-A811-32A3B4C018D7}" name="Column8513"/>
    <tableColumn id="8533" xr3:uid="{F52BCB5F-C745-4538-BEE2-7489FE8CAD88}" name="Column8514"/>
    <tableColumn id="8534" xr3:uid="{F7C768D7-6713-4C60-A742-402E407AF04D}" name="Column8515"/>
    <tableColumn id="8535" xr3:uid="{C7C2776A-3EA0-4697-94C3-D7FC11AA9E9C}" name="Column8516"/>
    <tableColumn id="8536" xr3:uid="{BF5C8F32-96E0-4843-8E35-3DC172044F4A}" name="Column8517"/>
    <tableColumn id="8537" xr3:uid="{952D925E-A910-4C1F-A778-07C1B96789A1}" name="Column8518"/>
    <tableColumn id="8538" xr3:uid="{99A8FFBE-4901-4ADA-B6F0-2EB1AC9246ED}" name="Column8519"/>
    <tableColumn id="8539" xr3:uid="{D2781B5D-5883-4325-BF01-9764E05BEA65}" name="Column8520"/>
    <tableColumn id="8540" xr3:uid="{75646D56-D7A9-48BC-A14C-D5B5B40DB161}" name="Column8521"/>
    <tableColumn id="8541" xr3:uid="{B721BB3B-29D9-4BD2-9952-B38578D64430}" name="Column8522"/>
    <tableColumn id="8542" xr3:uid="{6EF7FB43-4C5F-431C-9201-9450254A580E}" name="Column8523"/>
    <tableColumn id="8543" xr3:uid="{A885DCE9-68E2-45EC-8FA1-2B31D1D29976}" name="Column8524"/>
    <tableColumn id="8544" xr3:uid="{B58298D0-6A24-42C6-861C-788A48AF0B1F}" name="Column8525"/>
    <tableColumn id="8545" xr3:uid="{F074B66D-C799-4332-B69B-4FF6E854319D}" name="Column8526"/>
    <tableColumn id="8546" xr3:uid="{1E9E0144-B0E7-40C9-95A4-44CF29D33F7B}" name="Column8527"/>
    <tableColumn id="8547" xr3:uid="{F1F98EFA-5BD7-4AB4-B561-F83F3E59D0C7}" name="Column8528"/>
    <tableColumn id="8548" xr3:uid="{1B7811C1-E58B-4659-BB36-388B6CA60353}" name="Column8529"/>
    <tableColumn id="8549" xr3:uid="{C2D102F8-297B-4FCC-8ACD-8972B0C3F5E5}" name="Column8530"/>
    <tableColumn id="8550" xr3:uid="{55AD9926-FDC6-4C73-B692-CEB4A01127DA}" name="Column8531"/>
    <tableColumn id="8551" xr3:uid="{10277BF6-1F91-424C-ADA8-AD28044FFAA7}" name="Column8532"/>
    <tableColumn id="8552" xr3:uid="{BFB6C413-893D-433D-8042-39D92CCA6757}" name="Column8533"/>
    <tableColumn id="8553" xr3:uid="{F470AF55-BDCE-40B2-AED1-AF80D6ED43A2}" name="Column8534"/>
    <tableColumn id="8554" xr3:uid="{83A35B7F-5A8D-4694-8303-9A4DA1345C39}" name="Column8535"/>
    <tableColumn id="8555" xr3:uid="{40F39EF5-E0CD-4495-81D9-5EB55175E8CB}" name="Column8536"/>
    <tableColumn id="8556" xr3:uid="{EF6F4FD0-3B0E-42F4-98AD-F6DF9AC9994B}" name="Column8537"/>
    <tableColumn id="8557" xr3:uid="{50F300B3-0B1B-4A2E-90BD-7F197A4F181D}" name="Column8538"/>
    <tableColumn id="8558" xr3:uid="{89B319D6-618F-4A0A-A896-4DE521C4AAA0}" name="Column8539"/>
    <tableColumn id="8559" xr3:uid="{9288E057-0D29-43AF-A3D7-D7C0295BAB45}" name="Column8540"/>
    <tableColumn id="8560" xr3:uid="{484E512B-C12B-48A3-A8DB-0E88DCCCD25D}" name="Column8541"/>
    <tableColumn id="8561" xr3:uid="{DCDF0FE4-247F-4BE3-B7DC-633ED5678EDB}" name="Column8542"/>
    <tableColumn id="8562" xr3:uid="{D21E14B1-EEE0-4508-9B1B-08F94C8F44D8}" name="Column8543"/>
    <tableColumn id="8563" xr3:uid="{BD485F10-7565-4477-B9BF-48C5820095CD}" name="Column8544"/>
    <tableColumn id="8564" xr3:uid="{AB76B7D4-6D49-4630-B858-D813A0FEC0E1}" name="Column8545"/>
    <tableColumn id="8565" xr3:uid="{75857F92-94F0-488C-872D-1CFE6DE680D4}" name="Column8546"/>
    <tableColumn id="8566" xr3:uid="{7B052D12-B1DA-408C-9816-D09BF7739FEA}" name="Column8547"/>
    <tableColumn id="8567" xr3:uid="{AA8D8519-00E9-4330-ADEA-58B8D28EA5A6}" name="Column8548"/>
    <tableColumn id="8568" xr3:uid="{857C7964-25DF-4266-B7DD-5F8B10B3780A}" name="Column8549"/>
    <tableColumn id="8569" xr3:uid="{2B37F6BA-FB47-4764-A0E7-D6CD89FAAEF1}" name="Column8550"/>
    <tableColumn id="8570" xr3:uid="{71E0F978-6636-4B8C-AF4A-3A7E59E74A5A}" name="Column8551"/>
    <tableColumn id="8571" xr3:uid="{58B82B6D-1D6A-4A2C-B214-29E04374B93E}" name="Column8552"/>
    <tableColumn id="8572" xr3:uid="{8DA361A1-8476-4CA9-AEB0-41DF0DEC2328}" name="Column8553"/>
    <tableColumn id="8573" xr3:uid="{A571BD80-9B32-443B-AF33-F22B1309EB70}" name="Column8554"/>
    <tableColumn id="8574" xr3:uid="{C8CA427E-2393-49ED-B2D3-6B97970C5F7F}" name="Column8555"/>
    <tableColumn id="8575" xr3:uid="{46C6716A-FBBC-47D7-B2A6-2613DA9DFFBB}" name="Column8556"/>
    <tableColumn id="8576" xr3:uid="{7827B357-A5FF-4263-9D61-E063EC896D17}" name="Column8557"/>
    <tableColumn id="8577" xr3:uid="{8ABE10AD-2799-422A-AA0F-661DB0E72C60}" name="Column8558"/>
    <tableColumn id="8578" xr3:uid="{60DE5F94-0FBC-4E69-858E-AAB0E244766A}" name="Column8559"/>
    <tableColumn id="8579" xr3:uid="{2ED48E66-F6CB-4952-9811-CDC609648B2B}" name="Column8560"/>
    <tableColumn id="8580" xr3:uid="{423E8AAA-1B2F-40B9-B5C6-75A46E8CD53A}" name="Column8561"/>
    <tableColumn id="8581" xr3:uid="{8919EDCB-EDF3-4516-9D02-B9C7DE9BFA17}" name="Column8562"/>
    <tableColumn id="8582" xr3:uid="{C25E6F5B-FEBE-4A3C-AB58-497BB498DBA3}" name="Column8563"/>
    <tableColumn id="8583" xr3:uid="{A40CE4FB-CB19-4646-8A32-C44D710B45CA}" name="Column8564"/>
    <tableColumn id="8584" xr3:uid="{AB5378E1-DDC1-49E9-AEC7-32B774CD3636}" name="Column8565"/>
    <tableColumn id="8585" xr3:uid="{50AA56AC-878F-4792-959F-0341E30A7D08}" name="Column8566"/>
    <tableColumn id="8586" xr3:uid="{78922E41-7187-4AC0-8519-104451A34009}" name="Column8567"/>
    <tableColumn id="8587" xr3:uid="{669B523F-C48B-4D2C-92AD-F49627BBDD91}" name="Column8568"/>
    <tableColumn id="8588" xr3:uid="{253A3127-FDB4-4C73-97E4-344DE9BE0FEB}" name="Column8569"/>
    <tableColumn id="8589" xr3:uid="{C0328D70-2510-4550-9FEB-4A9D617CF13D}" name="Column8570"/>
    <tableColumn id="8590" xr3:uid="{7925CE08-089F-472C-8917-B8D85605DE1C}" name="Column8571"/>
    <tableColumn id="8591" xr3:uid="{821A7456-ACA3-40CE-A06B-B08526CA2D4A}" name="Column8572"/>
    <tableColumn id="8592" xr3:uid="{1DA9B286-07B4-4DE5-A931-E62999F7EB6D}" name="Column8573"/>
    <tableColumn id="8593" xr3:uid="{97EF0A1B-CCD5-4BEB-BBD5-802FCA089DF1}" name="Column8574"/>
    <tableColumn id="8594" xr3:uid="{DE80B695-B956-4056-AA7F-419A19CA6B9E}" name="Column8575"/>
    <tableColumn id="8595" xr3:uid="{DC3F0606-BA22-4AFA-8DAD-B7A790AA288B}" name="Column8576"/>
    <tableColumn id="8596" xr3:uid="{C077EA71-C323-4078-9AEF-31E5D4019FEF}" name="Column8577"/>
    <tableColumn id="8597" xr3:uid="{6681C67D-9A9B-40D7-A2D1-580369741D72}" name="Column8578"/>
    <tableColumn id="8598" xr3:uid="{6D0A0604-ED17-4A27-9BF8-2EEDD2EFEF70}" name="Column8579"/>
    <tableColumn id="8599" xr3:uid="{7A233BFC-AAB3-4009-B14E-CB159845898A}" name="Column8580"/>
    <tableColumn id="8600" xr3:uid="{89E4435C-7AA8-4677-BCB0-C0317EEC1457}" name="Column8581"/>
    <tableColumn id="8601" xr3:uid="{E74A7924-FD55-4412-9A91-520E00BE14FD}" name="Column8582"/>
    <tableColumn id="8602" xr3:uid="{7071A36C-DB9A-4AEF-A9D3-3D8A5F796F9B}" name="Column8583"/>
    <tableColumn id="8603" xr3:uid="{90CFBA38-178E-4B60-A33B-80FE179312A0}" name="Column8584"/>
    <tableColumn id="8604" xr3:uid="{6EE5F6D4-6CFB-41F7-98DC-CDAE389136CD}" name="Column8585"/>
    <tableColumn id="8605" xr3:uid="{5DF9268F-04B2-4DA7-8D34-DA05317A66BC}" name="Column8586"/>
    <tableColumn id="8606" xr3:uid="{FEBCF334-664B-458F-9064-D18DD6824D83}" name="Column8587"/>
    <tableColumn id="8607" xr3:uid="{3AA239FB-6436-4AA9-9655-C98A59F12604}" name="Column8588"/>
    <tableColumn id="8608" xr3:uid="{F218E421-B7A7-4CCE-A5FD-DC51B878BC29}" name="Column8589"/>
    <tableColumn id="8609" xr3:uid="{66EFBD95-2B0C-4FAE-A7A2-E99C200A2F8D}" name="Column8590"/>
    <tableColumn id="8610" xr3:uid="{18CE0C8A-064C-4511-BD0D-6E47E8619F2B}" name="Column8591"/>
    <tableColumn id="8611" xr3:uid="{136E7EE2-B8F5-4E9E-B55E-5DADB1C0800E}" name="Column8592"/>
    <tableColumn id="8612" xr3:uid="{FD13E027-3E25-4151-83E2-8C86B0DDA489}" name="Column8593"/>
    <tableColumn id="8613" xr3:uid="{12D39FFD-0FC9-40F5-8311-987B77F84982}" name="Column8594"/>
    <tableColumn id="8614" xr3:uid="{98E04D4B-ABE2-4D50-8D0B-2939CCB85FE2}" name="Column8595"/>
    <tableColumn id="8615" xr3:uid="{FEDAFEDE-586D-4C25-8065-D74836511B1F}" name="Column8596"/>
    <tableColumn id="8616" xr3:uid="{B2FD0C82-9835-4431-ABF2-69574997DE79}" name="Column8597"/>
    <tableColumn id="8617" xr3:uid="{CAB6ECF6-10A2-454E-87DA-4C292F4C220F}" name="Column8598"/>
    <tableColumn id="8618" xr3:uid="{04352840-AB58-46B5-8891-F2717543EFA5}" name="Column8599"/>
    <tableColumn id="8619" xr3:uid="{57A7FF1F-8D5E-4262-9E68-C5BCF752F80A}" name="Column8600"/>
    <tableColumn id="8620" xr3:uid="{BE6984E8-E012-49F7-8CF5-A4890C2DC9E0}" name="Column8601"/>
    <tableColumn id="8621" xr3:uid="{6C3BAC39-2D4B-40F3-88C2-D0048DC5A04C}" name="Column8602"/>
    <tableColumn id="8622" xr3:uid="{2EE66396-5103-481D-9C34-EB194DDBF001}" name="Column8603"/>
    <tableColumn id="8623" xr3:uid="{F5C08928-F65A-4B24-A05F-F35D944ECFEC}" name="Column8604"/>
    <tableColumn id="8624" xr3:uid="{3BA8B674-2D40-448B-8BAB-50DE934E4931}" name="Column8605"/>
    <tableColumn id="8625" xr3:uid="{B418D6A4-DF15-400D-A929-A7E52C8A3180}" name="Column8606"/>
    <tableColumn id="8626" xr3:uid="{F8A58C2B-DD0F-415C-8723-F3554841874B}" name="Column8607"/>
    <tableColumn id="8627" xr3:uid="{A2D6F5CB-3383-4A37-93C2-611A44D54A40}" name="Column8608"/>
    <tableColumn id="8628" xr3:uid="{BB085A84-29AC-4E47-ACC9-0390AD3977E5}" name="Column8609"/>
    <tableColumn id="8629" xr3:uid="{05233F0F-CF6F-4FF2-A989-85313AEFABFD}" name="Column8610"/>
    <tableColumn id="8630" xr3:uid="{6F9D7758-A5DC-4809-B055-3490AA6FAF59}" name="Column8611"/>
    <tableColumn id="8631" xr3:uid="{EE9B4591-532C-4C64-8D73-212898D29D8A}" name="Column8612"/>
    <tableColumn id="8632" xr3:uid="{2C08CD78-EEC6-4840-A476-65312EEF9EDC}" name="Column8613"/>
    <tableColumn id="8633" xr3:uid="{E577674C-EE56-401A-9E89-3BFDC5D1E7DB}" name="Column8614"/>
    <tableColumn id="8634" xr3:uid="{B23EBF54-2B0A-415C-B9D7-39812144C3E7}" name="Column8615"/>
    <tableColumn id="8635" xr3:uid="{5AE6147C-D907-4ACF-B6B8-7A1C26E3F710}" name="Column8616"/>
    <tableColumn id="8636" xr3:uid="{2C0B7D7D-B1D2-40C1-86A2-3FBD080FA69B}" name="Column8617"/>
    <tableColumn id="8637" xr3:uid="{61442B25-CD58-4DEE-8E17-FCF8F1FB7DB4}" name="Column8618"/>
    <tableColumn id="8638" xr3:uid="{4E6AA506-E276-4513-8297-BA955DC25CCB}" name="Column8619"/>
    <tableColumn id="8639" xr3:uid="{E72BF71B-ED54-414D-93B4-C152DBC74AE0}" name="Column8620"/>
    <tableColumn id="8640" xr3:uid="{F381C03E-8D26-4FFA-A036-33F39B84BFA3}" name="Column8621"/>
    <tableColumn id="8641" xr3:uid="{B1C4EB69-91B0-4E01-A2D3-86C4A2DE962C}" name="Column8622"/>
    <tableColumn id="8642" xr3:uid="{8EA5E2F5-458C-42FA-B2D4-1E4D043AE181}" name="Column8623"/>
    <tableColumn id="8643" xr3:uid="{28B6DA19-C2D4-461A-B194-BA111A50B191}" name="Column8624"/>
    <tableColumn id="8644" xr3:uid="{851A846A-2FF0-48A0-AFBB-B5DD3203142B}" name="Column8625"/>
    <tableColumn id="8645" xr3:uid="{08821F03-0F38-4A6B-B3F2-77709A37205C}" name="Column8626"/>
    <tableColumn id="8646" xr3:uid="{FBCBD0AA-012A-49AE-9674-A5FDEB97B08E}" name="Column8627"/>
    <tableColumn id="8647" xr3:uid="{60F2C095-9700-41D3-9FBE-02B0B2952A9D}" name="Column8628"/>
    <tableColumn id="8648" xr3:uid="{935130C2-5DDA-47CD-9493-7E306DAE6C34}" name="Column8629"/>
    <tableColumn id="8649" xr3:uid="{FB8FF92E-0D0B-4511-AA0A-57B66CCC52F7}" name="Column8630"/>
    <tableColumn id="8650" xr3:uid="{1C16A83C-0368-4EC3-AB8F-BCD1C7F339F2}" name="Column8631"/>
    <tableColumn id="8651" xr3:uid="{53788B60-3ADA-47AA-924D-C1AC0CED7C8A}" name="Column8632"/>
    <tableColumn id="8652" xr3:uid="{1DE4125F-AD67-425C-9D12-62F38BFCDC8C}" name="Column8633"/>
    <tableColumn id="8653" xr3:uid="{38C776E0-0655-455B-BD77-FCC4839C80AD}" name="Column8634"/>
    <tableColumn id="8654" xr3:uid="{4EEFB9ED-1C2C-4C2E-AF3F-450DE10520CD}" name="Column8635"/>
    <tableColumn id="8655" xr3:uid="{38199107-D457-4215-95B9-A5E57323F478}" name="Column8636"/>
    <tableColumn id="8656" xr3:uid="{159075C1-9C15-4DDA-8026-08016B378451}" name="Column8637"/>
    <tableColumn id="8657" xr3:uid="{3ED8A8C8-C0F6-4C69-B9A2-FDC967F954D1}" name="Column8638"/>
    <tableColumn id="8658" xr3:uid="{F8311E9F-5238-40FB-BA33-A900E4E08756}" name="Column8639"/>
    <tableColumn id="8659" xr3:uid="{5A9E18DC-969A-49CC-AC34-978925AC2A15}" name="Column8640"/>
    <tableColumn id="8660" xr3:uid="{9F2E5ABD-C237-4063-8334-205C9955B877}" name="Column8641"/>
    <tableColumn id="8661" xr3:uid="{DC4A2956-7D64-4DCC-A863-02EA596C329F}" name="Column8642"/>
    <tableColumn id="8662" xr3:uid="{609107CD-99CF-40B0-B6F3-66A5DFED8CA8}" name="Column8643"/>
    <tableColumn id="8663" xr3:uid="{A1539945-A66F-4C8E-84C9-FAFF3EE8A61E}" name="Column8644"/>
    <tableColumn id="8664" xr3:uid="{56427F58-24E7-41E9-88ED-9178EDA1B74B}" name="Column8645"/>
    <tableColumn id="8665" xr3:uid="{0FBFD560-447E-40D2-8C37-A443FDFF53A4}" name="Column8646"/>
    <tableColumn id="8666" xr3:uid="{19238C21-F402-4D19-A5F2-E806BBD29322}" name="Column8647"/>
    <tableColumn id="8667" xr3:uid="{0F1A4F67-904F-4C8C-A71E-8245F5005ABD}" name="Column8648"/>
    <tableColumn id="8668" xr3:uid="{C4E32F83-3F02-4C31-A408-4C9F8ABC1EB1}" name="Column8649"/>
    <tableColumn id="8669" xr3:uid="{BFDE152B-D3AE-4CA5-9265-C49796C79220}" name="Column8650"/>
    <tableColumn id="8670" xr3:uid="{3F8F02F7-C282-4DB3-B81D-281B4BE6D203}" name="Column8651"/>
    <tableColumn id="8671" xr3:uid="{CD363EBD-C526-435C-9279-8FEE3CC60126}" name="Column8652"/>
    <tableColumn id="8672" xr3:uid="{A0DEF212-D8BE-451B-B434-67728914ABD8}" name="Column8653"/>
    <tableColumn id="8673" xr3:uid="{B3F48978-21A0-44FF-9324-13096D0B3E74}" name="Column8654"/>
    <tableColumn id="8674" xr3:uid="{287A3EFA-2273-48CC-833B-4EC96F009A4F}" name="Column8655"/>
    <tableColumn id="8675" xr3:uid="{6C33CBF8-D338-4A9B-8E54-5EE2491EBBC3}" name="Column8656"/>
    <tableColumn id="8676" xr3:uid="{4E754A18-CD0D-40BD-A9CF-7AC77B4ACBDA}" name="Column8657"/>
    <tableColumn id="8677" xr3:uid="{853F5F18-F1DA-44BB-A29E-A34DEEB20E5E}" name="Column8658"/>
    <tableColumn id="8678" xr3:uid="{828CA80F-016E-424F-9AFC-00067C52772B}" name="Column8659"/>
    <tableColumn id="8679" xr3:uid="{ED234FFD-E343-4EB0-B1D7-FB9A96845DA1}" name="Column8660"/>
    <tableColumn id="8680" xr3:uid="{0D2A01C2-6095-4AF2-8851-3018F0112260}" name="Column8661"/>
    <tableColumn id="8681" xr3:uid="{8EB28F9A-191C-4378-A07A-BB6D99A357F4}" name="Column8662"/>
    <tableColumn id="8682" xr3:uid="{9891B165-3E7C-4ED5-A6C6-F08371E9AA40}" name="Column8663"/>
    <tableColumn id="8683" xr3:uid="{712989BF-9C13-419C-8FC5-C44B0F39BE5E}" name="Column8664"/>
    <tableColumn id="8684" xr3:uid="{D497948F-980D-4827-B4C0-252511EC6E3E}" name="Column8665"/>
    <tableColumn id="8685" xr3:uid="{8EF0AAE6-49CB-4392-A5F4-1F5E1A083F6D}" name="Column8666"/>
    <tableColumn id="8686" xr3:uid="{1017592B-25E7-46A7-9B7D-57C59A259778}" name="Column8667"/>
    <tableColumn id="8687" xr3:uid="{AE6EBA15-FB67-47E4-AD27-945C5B04C657}" name="Column8668"/>
    <tableColumn id="8688" xr3:uid="{5B0D8CA7-B77D-45D3-9A83-407B1A9B6683}" name="Column8669"/>
    <tableColumn id="8689" xr3:uid="{DE42E1C0-DC4C-4F62-8F0B-4E374D4C7B37}" name="Column8670"/>
    <tableColumn id="8690" xr3:uid="{5259DB49-E0B9-45FB-829D-FBF470AC663E}" name="Column8671"/>
    <tableColumn id="8691" xr3:uid="{00B6442C-5481-4C07-A391-330E01991C9A}" name="Column8672"/>
    <tableColumn id="8692" xr3:uid="{513F35F8-672E-40A7-9DBC-71F49573AB3E}" name="Column8673"/>
    <tableColumn id="8693" xr3:uid="{DA35DB32-2DDD-462E-BAA0-3944467B38FA}" name="Column8674"/>
    <tableColumn id="8694" xr3:uid="{D3372832-0773-4264-BEDD-BA36B99F44EF}" name="Column8675"/>
    <tableColumn id="8695" xr3:uid="{BCC2806B-09D6-4184-BF2B-3C1B04189B11}" name="Column8676"/>
    <tableColumn id="8696" xr3:uid="{F8B08415-F2F9-432C-B32B-62AEFAA6E644}" name="Column8677"/>
    <tableColumn id="8697" xr3:uid="{CD18EB63-E3D6-46DB-A779-843704162C04}" name="Column8678"/>
    <tableColumn id="8698" xr3:uid="{F4764CD6-2395-4955-A29D-835E5B2F687D}" name="Column8679"/>
    <tableColumn id="8699" xr3:uid="{228EA296-FFCF-48D7-84E0-1C5A4CD58C20}" name="Column8680"/>
    <tableColumn id="8700" xr3:uid="{547FC0CA-79EC-4CBF-9E82-FB9FC4E66119}" name="Column8681"/>
    <tableColumn id="8701" xr3:uid="{56E0D417-E6EC-4078-BE97-47234FEEE995}" name="Column8682"/>
    <tableColumn id="8702" xr3:uid="{10B2A00B-A09D-4FE3-80BD-FF59EF207B44}" name="Column8683"/>
    <tableColumn id="8703" xr3:uid="{75EA8A28-8CEC-4D08-9FAE-559955DD1376}" name="Column8684"/>
    <tableColumn id="8704" xr3:uid="{9A2C2C23-926A-4AAB-96E7-C60CC5194567}" name="Column8685"/>
    <tableColumn id="8705" xr3:uid="{79DE5E05-1988-4C90-9235-A786F352E085}" name="Column8686"/>
    <tableColumn id="8706" xr3:uid="{AD61EFA3-44FE-417A-B404-60B04B57845D}" name="Column8687"/>
    <tableColumn id="8707" xr3:uid="{3EA715A1-C72E-4B4D-AFA0-30E0F9EB580C}" name="Column8688"/>
    <tableColumn id="8708" xr3:uid="{09118DD8-E655-4879-937F-40AC86E06B9B}" name="Column8689"/>
    <tableColumn id="8709" xr3:uid="{036481EA-A56D-4A79-8F66-ACAD9C677545}" name="Column8690"/>
    <tableColumn id="8710" xr3:uid="{A5D70E8A-0D00-4856-89FC-35ED9C2F3164}" name="Column8691"/>
    <tableColumn id="8711" xr3:uid="{809DFB16-5E21-428C-9700-CCB1EE8F1B57}" name="Column8692"/>
    <tableColumn id="8712" xr3:uid="{3A1CF697-03E4-419E-84D2-984ABBBF40C7}" name="Column8693"/>
    <tableColumn id="8713" xr3:uid="{7561A393-D989-4C19-97CE-EE234C8DE4CE}" name="Column8694"/>
    <tableColumn id="8714" xr3:uid="{C82F09FD-B030-42FC-912E-8ED6324095E5}" name="Column8695"/>
    <tableColumn id="8715" xr3:uid="{95D6843C-22F7-4870-9A22-3403CA42412D}" name="Column8696"/>
    <tableColumn id="8716" xr3:uid="{AF1A26A6-B133-4BDC-AA96-3F7DC6FD134F}" name="Column8697"/>
    <tableColumn id="8717" xr3:uid="{70881A36-1BC5-4D8C-92BF-3AB47216CE6E}" name="Column8698"/>
    <tableColumn id="8718" xr3:uid="{90593D55-8D0A-4E47-855B-944F6EA8D828}" name="Column8699"/>
    <tableColumn id="8719" xr3:uid="{F25F6883-41C6-4488-8AB4-9BF3D77254A0}" name="Column8700"/>
    <tableColumn id="8720" xr3:uid="{80814888-A95A-4CC0-8EDD-9BA40B046705}" name="Column8701"/>
    <tableColumn id="8721" xr3:uid="{B4A93253-E853-458E-A519-38347E41730B}" name="Column8702"/>
    <tableColumn id="8722" xr3:uid="{6DAA222E-0FA3-4D72-9216-8B2CFF98F987}" name="Column8703"/>
    <tableColumn id="8723" xr3:uid="{67A65F28-970F-4CD9-A201-9DB6F1295E63}" name="Column8704"/>
    <tableColumn id="8724" xr3:uid="{3FFB437C-EE47-4152-8CC1-87394329523D}" name="Column8705"/>
    <tableColumn id="8725" xr3:uid="{BD05FD2B-9F7C-4FDF-AA92-0D03373F3435}" name="Column8706"/>
    <tableColumn id="8726" xr3:uid="{83F93436-D65D-42D6-808D-B2DCD1710F3D}" name="Column8707"/>
    <tableColumn id="8727" xr3:uid="{D1FC579B-1835-4E4F-9899-2D36B6A01611}" name="Column8708"/>
    <tableColumn id="8728" xr3:uid="{846A5199-CA5D-4AE2-97D8-C1065C5C8F5A}" name="Column8709"/>
    <tableColumn id="8729" xr3:uid="{B3B3F10E-5EA6-4B99-BCB8-874ED49A2AE9}" name="Column8710"/>
    <tableColumn id="8730" xr3:uid="{3D2F30D7-0A3A-405E-8EFF-BE6ABEC94D42}" name="Column8711"/>
    <tableColumn id="8731" xr3:uid="{5A795394-7A8A-48B3-A27B-56538E172D3B}" name="Column8712"/>
    <tableColumn id="8732" xr3:uid="{95D2F2C5-D8D9-4519-9184-1A44AB6B4A3C}" name="Column8713"/>
    <tableColumn id="8733" xr3:uid="{E454065F-2531-4A3C-873C-3B342C2D1E2F}" name="Column8714"/>
    <tableColumn id="8734" xr3:uid="{39B642E9-4B3E-441E-BDAC-5E4324ABE917}" name="Column8715"/>
    <tableColumn id="8735" xr3:uid="{3590CB7E-7B84-44B8-892E-7C461AD850A0}" name="Column8716"/>
    <tableColumn id="8736" xr3:uid="{5932102C-1EF8-445A-8D25-B0DBBB77BDD8}" name="Column8717"/>
    <tableColumn id="8737" xr3:uid="{0FFA9E76-F378-4251-910C-E4BE2B257B75}" name="Column8718"/>
    <tableColumn id="8738" xr3:uid="{B7B69EAB-8EBE-4ABA-A5B2-6A8CE3B87313}" name="Column8719"/>
    <tableColumn id="8739" xr3:uid="{54C63012-A1CF-4170-B8A4-B6F95C7D3F3F}" name="Column8720"/>
    <tableColumn id="8740" xr3:uid="{548EE2E7-6BED-4B64-A21C-ADFF53FA7A06}" name="Column8721"/>
    <tableColumn id="8741" xr3:uid="{0B557742-4BB8-48C2-9ADD-5C11C0EB6DDD}" name="Column8722"/>
    <tableColumn id="8742" xr3:uid="{590158DC-B3E0-45A7-B7D3-11ED20D29509}" name="Column8723"/>
    <tableColumn id="8743" xr3:uid="{06DB238F-5C97-4297-9978-3514F36E9077}" name="Column8724"/>
    <tableColumn id="8744" xr3:uid="{DC26414F-25F0-4C8C-9C8D-471F473C2EB2}" name="Column8725"/>
    <tableColumn id="8745" xr3:uid="{E8E63EA5-3646-4468-85FD-5452B92CB831}" name="Column8726"/>
    <tableColumn id="8746" xr3:uid="{630F0F89-0842-49D4-B589-BFAA08C9AA09}" name="Column8727"/>
    <tableColumn id="8747" xr3:uid="{3200AB39-F075-466E-B94F-B893E3C92043}" name="Column8728"/>
    <tableColumn id="8748" xr3:uid="{1F4CF213-1AF7-4597-B4D1-40930C8F6F8E}" name="Column8729"/>
    <tableColumn id="8749" xr3:uid="{18D62F9A-C925-4DCF-B5ED-67590819850C}" name="Column8730"/>
    <tableColumn id="8750" xr3:uid="{850C6190-5669-489A-A87D-8B5A18BE3799}" name="Column8731"/>
    <tableColumn id="8751" xr3:uid="{B87E2FBE-B1B5-446A-AA1A-0A6672AD7BF6}" name="Column8732"/>
    <tableColumn id="8752" xr3:uid="{A36E9E94-8B52-4121-B8BC-C4C8964C2C19}" name="Column8733"/>
    <tableColumn id="8753" xr3:uid="{954BE8C7-7833-4357-81AA-2DF3AEEC1B6F}" name="Column8734"/>
    <tableColumn id="8754" xr3:uid="{EEDF5593-42B6-40FA-A600-0B5DCA4B8372}" name="Column8735"/>
    <tableColumn id="8755" xr3:uid="{30B96136-B2AD-4447-81F2-0473C69F6FDA}" name="Column8736"/>
    <tableColumn id="8756" xr3:uid="{02A24117-AF8A-4185-A0DC-F718DCFB008E}" name="Column8737"/>
    <tableColumn id="8757" xr3:uid="{627FE4E7-ED63-4838-A1AD-C7249AF6B762}" name="Column8738"/>
    <tableColumn id="8758" xr3:uid="{1248117C-F297-405C-8412-9E17E069C8A2}" name="Column8739"/>
    <tableColumn id="8759" xr3:uid="{4AFEAD4C-B1EA-4D9A-8A35-F0B4A43A516E}" name="Column8740"/>
    <tableColumn id="8760" xr3:uid="{4043A036-A25D-4FFB-BE1C-F1976B48F4AF}" name="Column8741"/>
    <tableColumn id="8761" xr3:uid="{7E6FCD9B-CF05-4FC1-82CC-B2C64B0D4F78}" name="Column8742"/>
    <tableColumn id="8762" xr3:uid="{AFA8A5D0-07F2-4D66-94B4-DFF9DB0EFA3A}" name="Column8743"/>
    <tableColumn id="8763" xr3:uid="{42A9F17D-8E75-44F4-97FD-23E3B8370ABB}" name="Column8744"/>
    <tableColumn id="8764" xr3:uid="{8C03AFD1-2EDE-48DD-8696-E6CDFFFD52DD}" name="Column8745"/>
    <tableColumn id="8765" xr3:uid="{753FAC79-7F43-4B56-B586-615D0957CA3A}" name="Column8746"/>
    <tableColumn id="8766" xr3:uid="{CEDB74B3-3A07-462B-A861-D3D3180EC555}" name="Column8747"/>
    <tableColumn id="8767" xr3:uid="{BB358E6F-5E27-4BB1-AC15-C02BE791553A}" name="Column8748"/>
    <tableColumn id="8768" xr3:uid="{183E02A9-59CE-4860-8A36-2DFE56ABAA7D}" name="Column8749"/>
    <tableColumn id="8769" xr3:uid="{8C2722C8-A65E-4C30-BCA2-E438E5FA9DCE}" name="Column8750"/>
    <tableColumn id="8770" xr3:uid="{11A34337-81CD-46DB-A896-ACA7EE6DD919}" name="Column8751"/>
    <tableColumn id="8771" xr3:uid="{0D3ECF51-EBC2-444A-A604-8B109796C5CA}" name="Column8752"/>
    <tableColumn id="8772" xr3:uid="{AEE35C42-AB58-4D39-8DA0-6BE64CB003E5}" name="Column8753"/>
    <tableColumn id="8773" xr3:uid="{D971AB4E-7ED6-403A-952E-433A274F304D}" name="Column8754"/>
    <tableColumn id="8774" xr3:uid="{4A913E12-29CD-4839-968E-E7B519227700}" name="Column8755"/>
    <tableColumn id="8775" xr3:uid="{5D3B781E-DEE9-4620-A80A-B39A104D2D1B}" name="Column8756"/>
    <tableColumn id="8776" xr3:uid="{AA67DEC7-FCBD-46B5-9700-FC610EA2590C}" name="Column8757"/>
    <tableColumn id="8777" xr3:uid="{4F9880D9-EA51-40DA-9DB1-3701E559AD8A}" name="Column8758"/>
    <tableColumn id="8778" xr3:uid="{EE9F94EB-C21A-4A91-859A-CE725E8DE01D}" name="Column8759"/>
    <tableColumn id="8779" xr3:uid="{A419E145-1F19-4DD2-8062-036883630A55}" name="Column8760"/>
    <tableColumn id="8780" xr3:uid="{411FB1C0-42E1-4B50-9244-132CEB86F158}" name="Column8761"/>
    <tableColumn id="8781" xr3:uid="{2FF52CD7-E47D-4603-A12D-F6EBEAD87FAC}" name="Column8762"/>
    <tableColumn id="8782" xr3:uid="{6A419A99-7F6A-4E55-A461-603FE692350A}" name="Column8763"/>
    <tableColumn id="8783" xr3:uid="{7D988A9A-EE08-42CB-AE61-AA1E02FD5435}" name="Column8764"/>
    <tableColumn id="8784" xr3:uid="{EB4E1EF3-BC8C-4D7E-9BA1-7C60D4D5856B}" name="Column8765"/>
    <tableColumn id="8785" xr3:uid="{D764270E-A479-4AEB-899F-32C9E96BF07C}" name="Column8766"/>
    <tableColumn id="8786" xr3:uid="{4A659633-CFEA-4678-B48D-C8F4EFB469A9}" name="Column8767"/>
    <tableColumn id="8787" xr3:uid="{3C8F7E75-210B-4AB9-8967-95E947D3959B}" name="Column8768"/>
    <tableColumn id="8788" xr3:uid="{E26CF7BA-8D7C-4D5C-97FE-47449BBBF8EF}" name="Column8769"/>
    <tableColumn id="8789" xr3:uid="{C5AC3D16-C155-47ED-9AB8-F352A96EE00A}" name="Column8770"/>
    <tableColumn id="8790" xr3:uid="{6C57C293-2244-4706-8836-426D309AA753}" name="Column8771"/>
    <tableColumn id="8791" xr3:uid="{7B39F207-965D-496D-BA2C-485AAEFFBA46}" name="Column8772"/>
    <tableColumn id="8792" xr3:uid="{96508A13-7BFA-4E94-BC83-2A8E218A0181}" name="Column8773"/>
    <tableColumn id="8793" xr3:uid="{4B1D24C8-8D48-4D44-B5C3-10EBD597D246}" name="Column8774"/>
    <tableColumn id="8794" xr3:uid="{BCD55DB5-6271-4941-819C-F40DC3F36B36}" name="Column8775"/>
    <tableColumn id="8795" xr3:uid="{4583CC54-13CF-4CA6-A554-5A92E1FD293F}" name="Column8776"/>
    <tableColumn id="8796" xr3:uid="{D3CF61E3-DC88-4AA3-BFEC-25E479BDD10D}" name="Column8777"/>
    <tableColumn id="8797" xr3:uid="{9D0CB785-A3F7-49AA-AEA6-F9D6A0C902C3}" name="Column8778"/>
    <tableColumn id="8798" xr3:uid="{6C58F294-C2F1-40A8-84BD-F53F763C2BEC}" name="Column8779"/>
    <tableColumn id="8799" xr3:uid="{2ABDED11-BA4D-4381-9376-EA4A52386241}" name="Column8780"/>
    <tableColumn id="8800" xr3:uid="{F269A497-8141-4B2F-9F08-73384F7F8B56}" name="Column8781"/>
    <tableColumn id="8801" xr3:uid="{873B0B48-AB13-4136-A5CE-2C416479585B}" name="Column8782"/>
    <tableColumn id="8802" xr3:uid="{5D04705E-C90A-4D57-AF73-AC6C9F609E1E}" name="Column8783"/>
    <tableColumn id="8803" xr3:uid="{47F0E889-48C1-4C8E-A231-6CFB26CDD25E}" name="Column8784"/>
    <tableColumn id="8804" xr3:uid="{9231898E-1D4A-4C2B-BD2D-FF145D64AC9A}" name="Column8785"/>
    <tableColumn id="8805" xr3:uid="{4AEFA9AE-EC57-4C9E-A37C-5A1BDD268B92}" name="Column8786"/>
    <tableColumn id="8806" xr3:uid="{C21BE1F1-43E5-4A7A-B2D2-35188BC5E6B1}" name="Column8787"/>
    <tableColumn id="8807" xr3:uid="{6073EF2F-2A96-45B1-9C60-A8FEF3777799}" name="Column8788"/>
    <tableColumn id="8808" xr3:uid="{0CFEA39C-53C5-4B29-A5A7-E1161A9A5E1A}" name="Column8789"/>
    <tableColumn id="8809" xr3:uid="{543611BF-49A8-4BDC-9C13-600D7864A84F}" name="Column8790"/>
    <tableColumn id="8810" xr3:uid="{6E24C676-A994-4C7A-9ACC-8C6011DE36CD}" name="Column8791"/>
    <tableColumn id="8811" xr3:uid="{A88E69A5-5AC0-4D10-BF92-4C0B400D3AAB}" name="Column8792"/>
    <tableColumn id="8812" xr3:uid="{7F894A9E-79E8-4347-B142-6D13CB80E08F}" name="Column8793"/>
    <tableColumn id="8813" xr3:uid="{006987D4-C394-4A4D-AA9D-79A299324787}" name="Column8794"/>
    <tableColumn id="8814" xr3:uid="{5E2ACA69-6CC0-45DB-B491-C1BB53BD12BD}" name="Column8795"/>
    <tableColumn id="8815" xr3:uid="{F45CDD1A-5A1B-450F-9386-DDE7A0D041E4}" name="Column8796"/>
    <tableColumn id="8816" xr3:uid="{18BF9348-381F-4D63-AB53-5940C5D89E5F}" name="Column8797"/>
    <tableColumn id="8817" xr3:uid="{58D9AB77-53B9-4EE1-97AE-038848348EE5}" name="Column8798"/>
    <tableColumn id="8818" xr3:uid="{7EA00523-B86B-4A9A-BED7-3AE2B67887B4}" name="Column8799"/>
    <tableColumn id="8819" xr3:uid="{2A1BAA67-FCDC-4D88-97B6-B705FE9D2A07}" name="Column8800"/>
    <tableColumn id="8820" xr3:uid="{2EED612A-216D-4C40-A36B-BB089B0B30FE}" name="Column8801"/>
    <tableColumn id="8821" xr3:uid="{028A0159-2741-4733-AAC1-967BFFAD36FF}" name="Column8802"/>
    <tableColumn id="8822" xr3:uid="{4136AFBB-F1E8-4EF3-9844-37257CBF088D}" name="Column8803"/>
    <tableColumn id="8823" xr3:uid="{E15C27B5-6805-4925-8BEC-6F9384510D1F}" name="Column8804"/>
    <tableColumn id="8824" xr3:uid="{8520E6E6-4127-4DE1-9EB3-36C3D64AB14E}" name="Column8805"/>
    <tableColumn id="8825" xr3:uid="{3B8F9DC4-A5C5-4F22-AE1B-F147A21AB94F}" name="Column8806"/>
    <tableColumn id="8826" xr3:uid="{E049D2F6-604E-47DA-A62D-793BE88296BA}" name="Column8807"/>
    <tableColumn id="8827" xr3:uid="{01763A35-1A36-4F70-8A1E-3FB205043F54}" name="Column8808"/>
    <tableColumn id="8828" xr3:uid="{25EB2716-F534-433D-A4FF-F708B78D303D}" name="Column8809"/>
    <tableColumn id="8829" xr3:uid="{766E68C7-579E-4519-BBAA-1AFADF83A390}" name="Column8810"/>
    <tableColumn id="8830" xr3:uid="{4B8CB968-958E-4598-A496-E658FC860343}" name="Column8811"/>
    <tableColumn id="8831" xr3:uid="{D48427C1-B7B1-4768-B698-A2A67B342D13}" name="Column8812"/>
    <tableColumn id="8832" xr3:uid="{79090CD9-3BDE-4D0F-8047-4C35939E6692}" name="Column8813"/>
    <tableColumn id="8833" xr3:uid="{5F7CF4D5-28F3-4352-9FDB-D98421B2F88E}" name="Column8814"/>
    <tableColumn id="8834" xr3:uid="{F444F814-A0CF-4DD5-B8A2-1E42AC65998D}" name="Column8815"/>
    <tableColumn id="8835" xr3:uid="{E0B2247F-82A8-4E84-B378-12282E597411}" name="Column8816"/>
    <tableColumn id="8836" xr3:uid="{2F677356-5B91-4697-AB79-ADCB4B6F1FD7}" name="Column8817"/>
    <tableColumn id="8837" xr3:uid="{F0621543-F7DA-4837-A059-1BD5883953EC}" name="Column8818"/>
    <tableColumn id="8838" xr3:uid="{749E6448-E703-483E-B254-B35CB26C9278}" name="Column8819"/>
    <tableColumn id="8839" xr3:uid="{66FBB214-8F90-4718-BFFE-226405F26E16}" name="Column8820"/>
    <tableColumn id="8840" xr3:uid="{F168AC2F-121B-4BAF-8413-76FEC2385E3A}" name="Column8821"/>
    <tableColumn id="8841" xr3:uid="{51A64140-4A8C-4464-89B2-CAE5A96D83C0}" name="Column8822"/>
    <tableColumn id="8842" xr3:uid="{2F7C6B14-E058-434B-86F8-0CEF4AF8534A}" name="Column8823"/>
    <tableColumn id="8843" xr3:uid="{65E06C95-3EAF-4539-99C7-1F783384C108}" name="Column8824"/>
    <tableColumn id="8844" xr3:uid="{FE7D3878-B0E2-4BC4-ABA9-63ED5B07C18D}" name="Column8825"/>
    <tableColumn id="8845" xr3:uid="{02D8C915-D2ED-4A7A-BE31-6D05C5B3D4BB}" name="Column8826"/>
    <tableColumn id="8846" xr3:uid="{32C1234C-1F24-4F8B-8394-D50929274FC4}" name="Column8827"/>
    <tableColumn id="8847" xr3:uid="{601697C6-9EB5-4954-BC91-4101D3F997A2}" name="Column8828"/>
    <tableColumn id="8848" xr3:uid="{FAD1E195-402F-40E2-A673-AA58B055F12E}" name="Column8829"/>
    <tableColumn id="8849" xr3:uid="{3756838E-3A82-45DA-A3AC-D6E60D7212A3}" name="Column8830"/>
    <tableColumn id="8850" xr3:uid="{8005CCF0-DA77-40C7-8D1F-E2C5DDD1BDA3}" name="Column8831"/>
    <tableColumn id="8851" xr3:uid="{03800BC9-D8E0-4A24-9F61-EF369F9DBAC4}" name="Column8832"/>
    <tableColumn id="8852" xr3:uid="{BF8F0E8D-816A-4CD2-A53A-EA7893FE47FE}" name="Column8833"/>
    <tableColumn id="8853" xr3:uid="{992F5D66-7C66-4943-9F4D-106F05B4F283}" name="Column8834"/>
    <tableColumn id="8854" xr3:uid="{C512E83B-A1E0-42DB-BDB0-FBF68D38570F}" name="Column8835"/>
    <tableColumn id="8855" xr3:uid="{812452EB-C1C6-4A15-A022-E06E86040E3F}" name="Column8836"/>
    <tableColumn id="8856" xr3:uid="{17246AB1-3C39-40B7-9804-EEE59B46F167}" name="Column8837"/>
    <tableColumn id="8857" xr3:uid="{E8AA29CA-7F61-4781-8C7C-8770012B4AE2}" name="Column8838"/>
    <tableColumn id="8858" xr3:uid="{1B839D6E-19F6-41AB-8B7F-B060D72F4A6F}" name="Column8839"/>
    <tableColumn id="8859" xr3:uid="{523918A4-BB57-470B-832D-200DBA0D5B9E}" name="Column8840"/>
    <tableColumn id="8860" xr3:uid="{09975EDC-F5CB-415E-9D3C-DFBFB80C0EA1}" name="Column8841"/>
    <tableColumn id="8861" xr3:uid="{43EAD030-F3A0-4759-AED6-4917247EEFA4}" name="Column8842"/>
    <tableColumn id="8862" xr3:uid="{39DD4A27-611D-4270-ABA2-EAF78B9A2E64}" name="Column8843"/>
    <tableColumn id="8863" xr3:uid="{BF9A163B-4334-4B6C-B1B8-A6E6F8F978EB}" name="Column8844"/>
    <tableColumn id="8864" xr3:uid="{77587A55-9638-4950-975D-9C5F569267A3}" name="Column8845"/>
    <tableColumn id="8865" xr3:uid="{50FB17E2-BB7B-4DAF-A40D-DBF710A1D0E0}" name="Column8846"/>
    <tableColumn id="8866" xr3:uid="{2BF57E50-5407-49BD-B2BC-B17BB85397B7}" name="Column8847"/>
    <tableColumn id="8867" xr3:uid="{76E7E5F7-1FA7-4034-892F-1C152EC53EAC}" name="Column8848"/>
    <tableColumn id="8868" xr3:uid="{89DC1E19-EF7B-42BB-BCCF-9FBFC4402B8F}" name="Column8849"/>
    <tableColumn id="8869" xr3:uid="{837D9E86-F0C1-4CF6-A480-FF90017A7A55}" name="Column8850"/>
    <tableColumn id="8870" xr3:uid="{C01B10C3-0DC4-4D03-BEA3-811D68925082}" name="Column8851"/>
    <tableColumn id="8871" xr3:uid="{96C77EA8-617B-4BE3-807E-ADDE5618760C}" name="Column8852"/>
    <tableColumn id="8872" xr3:uid="{65913677-DAC7-44A5-87EE-28F7ED786183}" name="Column8853"/>
    <tableColumn id="8873" xr3:uid="{65A1739E-1165-4D7D-9B69-E8FD110C311E}" name="Column8854"/>
    <tableColumn id="8874" xr3:uid="{A991A784-840D-4DBF-8ED9-1A0A9D117601}" name="Column8855"/>
    <tableColumn id="8875" xr3:uid="{2AA07B81-E5A9-46AB-9C5D-EA9BA459FB28}" name="Column8856"/>
    <tableColumn id="8876" xr3:uid="{3D0B6619-342E-4C9D-A0D3-64A8B4B4DA58}" name="Column8857"/>
    <tableColumn id="8877" xr3:uid="{A2F26FAD-5140-4A61-9EDE-683C97217582}" name="Column8858"/>
    <tableColumn id="8878" xr3:uid="{A23247CA-3A02-41C3-A403-A7FFCD6BEA77}" name="Column8859"/>
    <tableColumn id="8879" xr3:uid="{3989FF9D-3BEA-4BB3-9C76-A39A0F2B4497}" name="Column8860"/>
    <tableColumn id="8880" xr3:uid="{981A018D-AF3D-4763-9589-53CC92549001}" name="Column8861"/>
    <tableColumn id="8881" xr3:uid="{6984FBD5-5176-481C-B4A9-D965754DF780}" name="Column8862"/>
    <tableColumn id="8882" xr3:uid="{61C57A60-A492-418B-9B9E-67DFB372B7B8}" name="Column8863"/>
    <tableColumn id="8883" xr3:uid="{E7F38802-E1FB-4AB9-8D5F-FE819177AB25}" name="Column8864"/>
    <tableColumn id="8884" xr3:uid="{6793F30D-42DD-479A-8ABA-322633DBE55D}" name="Column8865"/>
    <tableColumn id="8885" xr3:uid="{2CA0AD99-0F0C-4237-A283-845209417BAF}" name="Column8866"/>
    <tableColumn id="8886" xr3:uid="{CAFDEE4F-178D-4129-9D71-1E0E835FF19A}" name="Column8867"/>
    <tableColumn id="8887" xr3:uid="{3DB01F00-BF03-4ACB-9C37-323AA63855F1}" name="Column8868"/>
    <tableColumn id="8888" xr3:uid="{17C1FF0E-9B15-411D-AD4D-9C31F3E47B80}" name="Column8869"/>
    <tableColumn id="8889" xr3:uid="{4AF4993C-2178-444F-AA0A-4A9BE7658E5C}" name="Column8870"/>
    <tableColumn id="8890" xr3:uid="{DA9F901A-7C79-426B-9462-29854DF6E7F1}" name="Column8871"/>
    <tableColumn id="8891" xr3:uid="{2130B261-8C74-45A4-B5C3-0CC544EB7FBC}" name="Column8872"/>
    <tableColumn id="8892" xr3:uid="{EF20A42B-C216-45BD-B8B1-B59602349713}" name="Column8873"/>
    <tableColumn id="8893" xr3:uid="{3A174AFF-0511-42F5-8677-99D0F5E6937C}" name="Column8874"/>
    <tableColumn id="8894" xr3:uid="{844A6A61-9E26-434F-BB10-1B8FF86AAA4B}" name="Column8875"/>
    <tableColumn id="8895" xr3:uid="{DBEE47AF-FD62-4EDC-AB03-E8C3C1CCBACB}" name="Column8876"/>
    <tableColumn id="8896" xr3:uid="{F6DD2987-B3BA-4E91-A19C-89BF3E91F088}" name="Column8877"/>
    <tableColumn id="8897" xr3:uid="{6B5B5592-B9B0-495D-8B75-ECDFAEF139FE}" name="Column8878"/>
    <tableColumn id="8898" xr3:uid="{54233446-016A-4E9B-B7EB-38E6A82AFEA4}" name="Column8879"/>
    <tableColumn id="8899" xr3:uid="{954B6833-5825-4285-8D6F-D53C16E2A4AD}" name="Column8880"/>
    <tableColumn id="8900" xr3:uid="{AD905D19-CC73-4B1A-8253-C04B40A20D79}" name="Column8881"/>
    <tableColumn id="8901" xr3:uid="{A21F3E22-8E7F-4BF1-B25D-D7686502E987}" name="Column8882"/>
    <tableColumn id="8902" xr3:uid="{5E7B66BF-16C5-41BC-B918-B2362FB885E0}" name="Column8883"/>
    <tableColumn id="8903" xr3:uid="{BF2870CF-1FCD-4AC2-8F69-400FFD65AD51}" name="Column8884"/>
    <tableColumn id="8904" xr3:uid="{2982E1D8-2F8C-4C80-A077-A10E6A6481F8}" name="Column8885"/>
    <tableColumn id="8905" xr3:uid="{1B738F0E-DD52-46BF-B830-E9488DDC7219}" name="Column8886"/>
    <tableColumn id="8906" xr3:uid="{928367B5-CD9A-401B-B827-35419ACA9C18}" name="Column8887"/>
    <tableColumn id="8907" xr3:uid="{D7C6072A-9DA2-496A-B96C-3295CF22F3B8}" name="Column8888"/>
    <tableColumn id="8908" xr3:uid="{6BD71102-37CA-4FBD-8F27-9C40F8595EB8}" name="Column8889"/>
    <tableColumn id="8909" xr3:uid="{7B33618F-39A5-4CE7-848B-2722D6E4B684}" name="Column8890"/>
    <tableColumn id="8910" xr3:uid="{BCCD6FDD-29BB-45BB-9315-AB7182F0801B}" name="Column8891"/>
    <tableColumn id="8911" xr3:uid="{485C3F29-8F14-4168-899E-B39A6E7352C2}" name="Column8892"/>
    <tableColumn id="8912" xr3:uid="{F1E8F012-3678-4EF3-A8C5-F5233F03FECE}" name="Column8893"/>
    <tableColumn id="8913" xr3:uid="{630DB2A3-9DAF-4F37-826F-9976E88E54E9}" name="Column8894"/>
    <tableColumn id="8914" xr3:uid="{58ECEAB8-B6D4-47FC-94D9-CDBD5514E2D8}" name="Column8895"/>
    <tableColumn id="8915" xr3:uid="{7750FC40-26D5-4322-B88F-0CDC6A4C8394}" name="Column8896"/>
    <tableColumn id="8916" xr3:uid="{B604DB0D-091E-4BE8-A14D-575F88B98758}" name="Column8897"/>
    <tableColumn id="8917" xr3:uid="{387D2EB2-4056-4BBF-96D3-808C83EFBB84}" name="Column8898"/>
    <tableColumn id="8918" xr3:uid="{5A307950-3CC8-4511-8305-E76B1E8CE212}" name="Column8899"/>
    <tableColumn id="8919" xr3:uid="{3EE9703F-DA87-496C-BE20-AE7E4C3933A2}" name="Column8900"/>
    <tableColumn id="8920" xr3:uid="{14DB7B79-71BC-4972-8891-D75626E44A56}" name="Column8901"/>
    <tableColumn id="8921" xr3:uid="{86B49DB3-2BE8-4B6E-A492-19CDCD0CBCAB}" name="Column8902"/>
    <tableColumn id="8922" xr3:uid="{B325E700-21DA-44D9-B61F-8E88EA637E33}" name="Column8903"/>
    <tableColumn id="8923" xr3:uid="{7BEE49C1-17B3-44C4-ACCE-1E9AA5679C92}" name="Column8904"/>
    <tableColumn id="8924" xr3:uid="{FB8E635E-1122-4564-B63D-922876BE633E}" name="Column8905"/>
    <tableColumn id="8925" xr3:uid="{68C9A82E-58D2-4E6F-B49D-A4F8EBD876D8}" name="Column8906"/>
    <tableColumn id="8926" xr3:uid="{7F9477E1-87F7-48AA-8128-D455A8A4F637}" name="Column8907"/>
    <tableColumn id="8927" xr3:uid="{FD78449A-A7E9-46DC-AB5D-36DAF7458147}" name="Column8908"/>
    <tableColumn id="8928" xr3:uid="{CD00EA7C-369A-45CD-A00D-DDE7ADE7916B}" name="Column8909"/>
    <tableColumn id="8929" xr3:uid="{4E6474D4-E9D0-41DC-B0F3-787E10E589E7}" name="Column8910"/>
    <tableColumn id="8930" xr3:uid="{62EE43BC-9BDD-4250-B2EB-A14937AE856B}" name="Column8911"/>
    <tableColumn id="8931" xr3:uid="{D248CB99-AD0C-480C-A06E-94A403E8B790}" name="Column8912"/>
    <tableColumn id="8932" xr3:uid="{975C4138-3911-4764-9623-EE11869387E4}" name="Column8913"/>
    <tableColumn id="8933" xr3:uid="{E5BFA87A-8250-4176-819F-6D3B5C91679B}" name="Column8914"/>
    <tableColumn id="8934" xr3:uid="{AC66B31F-1238-4687-BBE0-5C409CB342E2}" name="Column8915"/>
    <tableColumn id="8935" xr3:uid="{93D7E976-144E-403D-B926-CADD0747195C}" name="Column8916"/>
    <tableColumn id="8936" xr3:uid="{1F26F256-B575-4D79-B221-2073B9D6AA65}" name="Column8917"/>
    <tableColumn id="8937" xr3:uid="{AE3227E1-EE8C-4293-9044-59F0E1D95B94}" name="Column8918"/>
    <tableColumn id="8938" xr3:uid="{1D06405B-EAE0-4181-B49C-9FDA3C593134}" name="Column8919"/>
    <tableColumn id="8939" xr3:uid="{2FE97CD8-8AB5-4A38-A4A5-BA10DD734BFC}" name="Column8920"/>
    <tableColumn id="8940" xr3:uid="{EBAD81CB-2336-4593-8ABC-E99DE3E8D82B}" name="Column8921"/>
    <tableColumn id="8941" xr3:uid="{7CF92AA8-94B6-46C9-8F84-E81A0310FF6B}" name="Column8922"/>
    <tableColumn id="8942" xr3:uid="{8DF814FE-71CF-447E-885F-102BF9BFE041}" name="Column8923"/>
    <tableColumn id="8943" xr3:uid="{5C62128F-2EC0-484F-A6B1-C449D2C1BFDD}" name="Column8924"/>
    <tableColumn id="8944" xr3:uid="{16177E01-E1E4-4854-BB22-B21C89BF2BB6}" name="Column8925"/>
    <tableColumn id="8945" xr3:uid="{43F0931C-9A09-4366-AF9F-A1261252B11F}" name="Column8926"/>
    <tableColumn id="8946" xr3:uid="{7E563F39-F2BB-45C5-824E-2123FD25F4FA}" name="Column8927"/>
    <tableColumn id="8947" xr3:uid="{BCFB84EA-DD34-45D6-8AC6-71D5604EDC43}" name="Column8928"/>
    <tableColumn id="8948" xr3:uid="{8493B1C9-B72F-4FB1-A739-3F670E039025}" name="Column8929"/>
    <tableColumn id="8949" xr3:uid="{D72B481A-872C-4813-9016-AE40751ADFA3}" name="Column8930"/>
    <tableColumn id="8950" xr3:uid="{BCD5429D-BCC0-471C-ABA1-596335CB0F7B}" name="Column8931"/>
    <tableColumn id="8951" xr3:uid="{F6B53755-0B6B-4ACF-94B8-961CD03851D2}" name="Column8932"/>
    <tableColumn id="8952" xr3:uid="{F2A6C614-252F-4456-B33B-7753ED2E4AC9}" name="Column8933"/>
    <tableColumn id="8953" xr3:uid="{18395E88-F182-4ADF-BCE1-E4C35BE88D1F}" name="Column8934"/>
    <tableColumn id="8954" xr3:uid="{834860CF-10BD-4587-BC8A-1C6D7210FF9C}" name="Column8935"/>
    <tableColumn id="8955" xr3:uid="{DE3FB88B-FCF1-4685-9F94-262DEB6CFEB4}" name="Column8936"/>
    <tableColumn id="8956" xr3:uid="{E36BDA87-51C7-412B-A76B-2A8ADF0E280F}" name="Column8937"/>
    <tableColumn id="8957" xr3:uid="{F332F6F4-CF51-44D8-84B2-5A6A216E97C2}" name="Column8938"/>
    <tableColumn id="8958" xr3:uid="{586EEBB2-0101-44A7-86C9-884D75DF7D9C}" name="Column8939"/>
    <tableColumn id="8959" xr3:uid="{0D7ACCA7-DCD4-4C82-A5A4-9B1CBB40714D}" name="Column8940"/>
    <tableColumn id="8960" xr3:uid="{9BFECA4D-677D-4E0B-A1BB-4FB0D294B672}" name="Column8941"/>
    <tableColumn id="8961" xr3:uid="{D4F9B916-6A8A-4F0B-821D-DA7D19FDFFB3}" name="Column8942"/>
    <tableColumn id="8962" xr3:uid="{555FD2D0-6248-46E9-9B2B-C97AFDBA4928}" name="Column8943"/>
    <tableColumn id="8963" xr3:uid="{E238EABE-2D32-49A4-88C3-FE9F93F821DD}" name="Column8944"/>
    <tableColumn id="8964" xr3:uid="{89570837-3C69-41E2-8A50-E0CD678A1158}" name="Column8945"/>
    <tableColumn id="8965" xr3:uid="{22074D02-FF7C-4D10-8C05-1D74D60AF759}" name="Column8946"/>
    <tableColumn id="8966" xr3:uid="{70E1EDB5-F404-4FAE-8CCB-C7FAFEDF0192}" name="Column8947"/>
    <tableColumn id="8967" xr3:uid="{A89C3FBC-16B6-41CD-9CEA-6168C8F50845}" name="Column8948"/>
    <tableColumn id="8968" xr3:uid="{8EBA46D5-AA0D-4202-BE75-0D10B042702C}" name="Column8949"/>
    <tableColumn id="8969" xr3:uid="{B9659CD6-5EF1-4285-8F56-8A3148396C77}" name="Column8950"/>
    <tableColumn id="8970" xr3:uid="{B02CA33D-A1F9-44A2-A348-07179D42B14D}" name="Column8951"/>
    <tableColumn id="8971" xr3:uid="{1AED4FFD-9F01-4E15-935D-C63ECEC40885}" name="Column8952"/>
    <tableColumn id="8972" xr3:uid="{F810FF6D-83AC-4907-ACE0-2D890E7D5C2F}" name="Column8953"/>
    <tableColumn id="8973" xr3:uid="{2336D776-2F5D-456C-8B25-838D714E1413}" name="Column8954"/>
    <tableColumn id="8974" xr3:uid="{301995AB-C6AC-4B8B-8039-9EB028BD1A64}" name="Column8955"/>
    <tableColumn id="8975" xr3:uid="{92F33074-ACD5-47FB-88E9-724102698E2C}" name="Column8956"/>
    <tableColumn id="8976" xr3:uid="{40E5F1AF-E418-418B-A72A-E79FE66DC5DE}" name="Column8957"/>
    <tableColumn id="8977" xr3:uid="{5D850BCD-501E-4275-BDAC-3F7321ED6AB6}" name="Column8958"/>
    <tableColumn id="8978" xr3:uid="{5AB07432-29FA-498C-BBB9-E25A53304131}" name="Column8959"/>
    <tableColumn id="8979" xr3:uid="{F486D16B-FF72-4E57-AD38-2177CF360F11}" name="Column8960"/>
    <tableColumn id="8980" xr3:uid="{037B9781-FA04-41DD-81F8-4AD9B26E614E}" name="Column8961"/>
    <tableColumn id="8981" xr3:uid="{DF2AC80A-FAA7-4565-B918-26B838AD7528}" name="Column8962"/>
    <tableColumn id="8982" xr3:uid="{E0C344FF-AF6A-498B-BA96-344E10AB88A1}" name="Column8963"/>
    <tableColumn id="8983" xr3:uid="{3314D4BA-21DE-4EB2-958F-32968EBAFF04}" name="Column8964"/>
    <tableColumn id="8984" xr3:uid="{B38C0CD9-2917-4645-BCB4-6F443F69BFD6}" name="Column8965"/>
    <tableColumn id="8985" xr3:uid="{A0EA463A-5A8C-4B58-B1BA-64B69093BDF8}" name="Column8966"/>
    <tableColumn id="8986" xr3:uid="{DD35B225-9FDB-4CC2-AE36-3FDD0FF502FD}" name="Column8967"/>
    <tableColumn id="8987" xr3:uid="{ABCC47FD-B803-4CC2-A9B4-9BDA2A9E6A6D}" name="Column8968"/>
    <tableColumn id="8988" xr3:uid="{B78477B5-F81B-4A03-9166-E5554C10D80B}" name="Column8969"/>
    <tableColumn id="8989" xr3:uid="{282B7AB3-AB37-4FB6-9FCA-34F133D67113}" name="Column8970"/>
    <tableColumn id="8990" xr3:uid="{14C889A7-3539-4456-BFF4-1B6D8019DBF6}" name="Column8971"/>
    <tableColumn id="8991" xr3:uid="{BCCFD9A1-1FF6-4E36-B1C9-EE0EC401F246}" name="Column8972"/>
    <tableColumn id="8992" xr3:uid="{D0902808-31D2-48A8-BF9A-CC0E7F01BF52}" name="Column8973"/>
    <tableColumn id="8993" xr3:uid="{8C9B0A23-6CBD-40B5-B77E-C88DF9860DAB}" name="Column8974"/>
    <tableColumn id="8994" xr3:uid="{880F786F-B17E-4E71-835D-7278211EA35C}" name="Column8975"/>
    <tableColumn id="8995" xr3:uid="{A52E5D96-4ECA-4EB1-ACE2-DC85E085086F}" name="Column8976"/>
    <tableColumn id="8996" xr3:uid="{E2BE0FE8-085E-4439-B5F5-85FC61B26F07}" name="Column8977"/>
    <tableColumn id="8997" xr3:uid="{FE1A566C-28EA-4EB2-B499-D537E4D3B52D}" name="Column8978"/>
    <tableColumn id="8998" xr3:uid="{0344AB79-7209-4FDE-9A3F-7B95DBB41BEB}" name="Column8979"/>
    <tableColumn id="8999" xr3:uid="{4D877F35-2117-4A01-9BF0-A9121708C9ED}" name="Column8980"/>
    <tableColumn id="9000" xr3:uid="{075EF79B-9332-4D6A-9E9A-E69350E502A4}" name="Column8981"/>
    <tableColumn id="9001" xr3:uid="{AA89BD56-8337-4B40-B809-6322F0FFD969}" name="Column8982"/>
    <tableColumn id="9002" xr3:uid="{AE2F3236-4AFF-47BC-A674-FB8246987994}" name="Column8983"/>
    <tableColumn id="9003" xr3:uid="{5D8B8140-21F5-4CDE-A081-AC19D4B04379}" name="Column8984"/>
    <tableColumn id="9004" xr3:uid="{1DF59CFE-F3EC-47C3-87F5-0236F2B7AE10}" name="Column8985"/>
    <tableColumn id="9005" xr3:uid="{E02CF7C9-9BE2-4B2B-816A-B8E424B33BB9}" name="Column8986"/>
    <tableColumn id="9006" xr3:uid="{3EEE9CE1-AE8E-4DD7-8C56-1CBE78211052}" name="Column8987"/>
    <tableColumn id="9007" xr3:uid="{CD3A3384-3ABF-4D17-993A-245DE1D985E3}" name="Column8988"/>
    <tableColumn id="9008" xr3:uid="{A54E405C-8C93-44D9-A225-09C75A09DBF7}" name="Column8989"/>
    <tableColumn id="9009" xr3:uid="{E982C9F8-64E7-4A24-AD24-E06EC6FAE2E2}" name="Column8990"/>
    <tableColumn id="9010" xr3:uid="{365ECF0F-2949-42F4-A2A1-9703B1A67AFC}" name="Column8991"/>
    <tableColumn id="9011" xr3:uid="{3E6C572A-FFB7-433D-8DC3-CE3794144959}" name="Column8992"/>
    <tableColumn id="9012" xr3:uid="{520DD4CE-D4B6-471B-A35A-4D1801412511}" name="Column8993"/>
    <tableColumn id="9013" xr3:uid="{3185C9EA-549F-41C8-B7FA-53CC2EC7FE65}" name="Column8994"/>
    <tableColumn id="9014" xr3:uid="{D5F5F5E4-F0B0-4EC4-9DE3-EA6DDCC5D78D}" name="Column8995"/>
    <tableColumn id="9015" xr3:uid="{C051566F-3E60-482E-9FEF-442A83E95739}" name="Column8996"/>
    <tableColumn id="9016" xr3:uid="{F1BE47A2-F20B-4125-BF7E-954DD64C5F66}" name="Column8997"/>
    <tableColumn id="9017" xr3:uid="{316A7B60-9F1D-465B-95CD-6BB746E8F152}" name="Column8998"/>
    <tableColumn id="9018" xr3:uid="{80EF12BB-07F9-47AF-896A-1EC493B15C3A}" name="Column8999"/>
    <tableColumn id="9019" xr3:uid="{7F952609-4F00-4D49-85DE-AE43CBFF150D}" name="Column9000"/>
    <tableColumn id="9020" xr3:uid="{E4002090-5E43-425F-B7BE-59134FFA93C2}" name="Column9001"/>
    <tableColumn id="9021" xr3:uid="{E3139CE5-B2E5-44D3-B596-192CBB7170AC}" name="Column9002"/>
    <tableColumn id="9022" xr3:uid="{DD1861BD-D102-4B26-8851-3A6284D91510}" name="Column9003"/>
    <tableColumn id="9023" xr3:uid="{723E48EC-96C1-496D-AF09-50258DB56D17}" name="Column9004"/>
    <tableColumn id="9024" xr3:uid="{DBADD2B1-8E29-4392-B43C-88F9241F3D4F}" name="Column9005"/>
    <tableColumn id="9025" xr3:uid="{47B01151-2340-480D-8134-29674528B53C}" name="Column9006"/>
    <tableColumn id="9026" xr3:uid="{BBA4E45C-0DC9-4AD3-8FFD-313351D69717}" name="Column9007"/>
    <tableColumn id="9027" xr3:uid="{02CD02AF-EA1C-405A-8A7A-6C37E6C7B9BF}" name="Column9008"/>
    <tableColumn id="9028" xr3:uid="{5E490E54-C84B-4B50-9D53-4C38101383FA}" name="Column9009"/>
    <tableColumn id="9029" xr3:uid="{7C3A4FCE-ACC0-4F64-A6E4-4F7892A42597}" name="Column9010"/>
    <tableColumn id="9030" xr3:uid="{99FD7A26-0475-4488-8971-95E8C5416A40}" name="Column9011"/>
    <tableColumn id="9031" xr3:uid="{0C5AAEBE-7A62-4281-B7CC-9DD5F4E6AFD9}" name="Column9012"/>
    <tableColumn id="9032" xr3:uid="{E5FCC4F0-4FDA-4FAF-ABE6-EBB9C02D58BA}" name="Column9013"/>
    <tableColumn id="9033" xr3:uid="{C9B379E2-AE12-426D-8DA3-ABD45043CD09}" name="Column9014"/>
    <tableColumn id="9034" xr3:uid="{FF1D4C61-575B-4A40-85A4-423E2CB7AC9C}" name="Column9015"/>
    <tableColumn id="9035" xr3:uid="{42CC449D-4CD7-4FB9-8C4F-E472A8A78A38}" name="Column9016"/>
    <tableColumn id="9036" xr3:uid="{885FCC87-AEB7-4CDF-AF16-257A8271ABAB}" name="Column9017"/>
    <tableColumn id="9037" xr3:uid="{A13DB8D0-5DA6-4BC8-A08A-68B03E39C3A4}" name="Column9018"/>
    <tableColumn id="9038" xr3:uid="{33481C44-17F4-47AB-A797-6EDA0CFCE840}" name="Column9019"/>
    <tableColumn id="9039" xr3:uid="{A5418BAF-1696-49AA-9521-2D664D22938E}" name="Column9020"/>
    <tableColumn id="9040" xr3:uid="{5E877910-2716-4190-BC8F-C9AFDC516379}" name="Column9021"/>
    <tableColumn id="9041" xr3:uid="{2DAA1EDB-EAB1-4E5C-8232-5B47D419FA6E}" name="Column9022"/>
    <tableColumn id="9042" xr3:uid="{202A2C89-BCDB-4BF8-8CA3-3CA1D8C1B77A}" name="Column9023"/>
    <tableColumn id="9043" xr3:uid="{D7887B27-1ABE-4CC3-88F2-55FA26B86758}" name="Column9024"/>
    <tableColumn id="9044" xr3:uid="{56CAB560-422D-460D-9F69-94F4248B0EAF}" name="Column9025"/>
    <tableColumn id="9045" xr3:uid="{1740A446-2FC0-4C23-B1EA-1EC533F2D6C0}" name="Column9026"/>
    <tableColumn id="9046" xr3:uid="{08BB39B8-8782-4D7B-A417-16CEA3E4FB34}" name="Column9027"/>
    <tableColumn id="9047" xr3:uid="{9A2BF7C4-0C79-46D9-9C41-7A6B54BEAD8A}" name="Column9028"/>
    <tableColumn id="9048" xr3:uid="{2DEA16DD-3B74-4BBC-9505-064D5C056EB7}" name="Column9029"/>
    <tableColumn id="9049" xr3:uid="{93BB783A-371B-4D2A-8BC8-BD0581A5F753}" name="Column9030"/>
    <tableColumn id="9050" xr3:uid="{5F6866D1-97A7-4699-AFBF-FD9568361ECE}" name="Column9031"/>
    <tableColumn id="9051" xr3:uid="{9DC58BE3-A6DF-492F-ADA7-DD4F26175C3E}" name="Column9032"/>
    <tableColumn id="9052" xr3:uid="{2251DABE-0219-4B32-B44E-1470B1458CBE}" name="Column9033"/>
    <tableColumn id="9053" xr3:uid="{5E1C176A-B431-40C6-ABBE-D0D7479EC5A7}" name="Column9034"/>
    <tableColumn id="9054" xr3:uid="{867E636C-1844-4D8A-9F2F-D656EB677D1F}" name="Column9035"/>
    <tableColumn id="9055" xr3:uid="{614C376A-3F86-4379-A85F-9603FCF8BB5D}" name="Column9036"/>
    <tableColumn id="9056" xr3:uid="{FA2470E4-856C-4DB1-AB67-A9C76D1217AE}" name="Column9037"/>
    <tableColumn id="9057" xr3:uid="{E5892463-59C8-48FC-A5CE-EEFECACEDC32}" name="Column9038"/>
    <tableColumn id="9058" xr3:uid="{AAA7DD41-54A9-4D33-9A3C-9FBE73C4FEAF}" name="Column9039"/>
    <tableColumn id="9059" xr3:uid="{60B8D94B-0687-4411-98B1-4708480B5E75}" name="Column9040"/>
    <tableColumn id="9060" xr3:uid="{19B61FA9-9316-42C3-A1E6-475DC05A6924}" name="Column9041"/>
    <tableColumn id="9061" xr3:uid="{BA290815-0D1F-4BE2-8905-8B3C02E1D29C}" name="Column9042"/>
    <tableColumn id="9062" xr3:uid="{DD72AFDF-4C03-4D5D-BE62-EED944189C06}" name="Column9043"/>
    <tableColumn id="9063" xr3:uid="{9F1E83F5-900C-4172-87EA-63A220048231}" name="Column9044"/>
    <tableColumn id="9064" xr3:uid="{63BC3A2B-94F5-46BA-A799-473BBDB273DF}" name="Column9045"/>
    <tableColumn id="9065" xr3:uid="{2AA98177-9A63-422E-8114-401EBB464FB0}" name="Column9046"/>
    <tableColumn id="9066" xr3:uid="{2246F18B-73AB-4AE0-9D38-578EBEEDCB38}" name="Column9047"/>
    <tableColumn id="9067" xr3:uid="{068689C3-2547-4D37-9285-A02D286DDE94}" name="Column9048"/>
    <tableColumn id="9068" xr3:uid="{35056213-C6C9-44CD-9374-EE202EEC8950}" name="Column9049"/>
    <tableColumn id="9069" xr3:uid="{7E32C1AB-2F72-4BE3-B7DF-E9131FD71FF2}" name="Column9050"/>
    <tableColumn id="9070" xr3:uid="{6810DB0A-4883-4AA4-A107-4EAF72E2AB79}" name="Column9051"/>
    <tableColumn id="9071" xr3:uid="{3BF8985D-D359-44F4-ACBE-4CCDAD762345}" name="Column9052"/>
    <tableColumn id="9072" xr3:uid="{C50893DF-3EDB-4FC2-94C0-405B093E3F9E}" name="Column9053"/>
    <tableColumn id="9073" xr3:uid="{4C4B7FF2-D117-40AE-BEF3-9499F11E7BF0}" name="Column9054"/>
    <tableColumn id="9074" xr3:uid="{332E989E-78E7-44D0-9D37-267CEC0C4229}" name="Column9055"/>
    <tableColumn id="9075" xr3:uid="{A24A83FE-51E0-4386-8619-BF949C1528D1}" name="Column9056"/>
    <tableColumn id="9076" xr3:uid="{B42C0E38-650A-4B52-8AB3-E935FC3AF267}" name="Column9057"/>
    <tableColumn id="9077" xr3:uid="{67FD53DA-E908-4C4F-BE78-57230897188C}" name="Column9058"/>
    <tableColumn id="9078" xr3:uid="{6A03AE13-130F-4EE4-9A01-60C3E71C4A44}" name="Column9059"/>
    <tableColumn id="9079" xr3:uid="{FF2A51E3-29A3-475C-AB2C-603DDD35B06C}" name="Column9060"/>
    <tableColumn id="9080" xr3:uid="{A12DC142-C0E6-45A8-AC74-6E5F6BACD2EF}" name="Column9061"/>
    <tableColumn id="9081" xr3:uid="{8D41DF9A-C0DE-4EC2-AAB7-2F3E4E39B87A}" name="Column9062"/>
    <tableColumn id="9082" xr3:uid="{0F7EFF14-638C-4637-96FF-CD6F0CECF343}" name="Column9063"/>
    <tableColumn id="9083" xr3:uid="{E145763C-85DF-47DA-BF0D-12D51F38BC18}" name="Column9064"/>
    <tableColumn id="9084" xr3:uid="{120363AB-835E-463F-B1D8-940E8F4DB958}" name="Column9065"/>
    <tableColumn id="9085" xr3:uid="{94A19AA1-D326-4316-86E6-16808B5FD528}" name="Column9066"/>
    <tableColumn id="9086" xr3:uid="{027974B4-773F-4D9E-9F1A-BB2AD749706A}" name="Column9067"/>
    <tableColumn id="9087" xr3:uid="{B81A1CB0-0248-457A-9780-A84B5F197FE1}" name="Column9068"/>
    <tableColumn id="9088" xr3:uid="{30CCCF79-C3F3-4AF1-9B73-9A3AAE3C7264}" name="Column9069"/>
    <tableColumn id="9089" xr3:uid="{45171542-5DF4-450A-A2AB-63AC26D2C6F5}" name="Column9070"/>
    <tableColumn id="9090" xr3:uid="{8019AA16-D009-401C-B128-8FB5F4AFEC64}" name="Column9071"/>
    <tableColumn id="9091" xr3:uid="{79CB6F86-3C2D-4067-96FC-24B2C1E23257}" name="Column9072"/>
    <tableColumn id="9092" xr3:uid="{6ECF8AF2-F465-49F0-A4A8-5531A873DE34}" name="Column9073"/>
    <tableColumn id="9093" xr3:uid="{BFF132D2-7C95-47FA-9646-1E525295B985}" name="Column9074"/>
    <tableColumn id="9094" xr3:uid="{47C24ED7-8899-4800-89B8-05A271A2D52D}" name="Column9075"/>
    <tableColumn id="9095" xr3:uid="{07641A04-8505-4402-AE09-6118B2DE9C14}" name="Column9076"/>
    <tableColumn id="9096" xr3:uid="{9F522BF2-E0AB-4DE3-AE30-D08229F34015}" name="Column9077"/>
    <tableColumn id="9097" xr3:uid="{78EB514E-0FAB-4352-AC0E-E59960F58506}" name="Column9078"/>
    <tableColumn id="9098" xr3:uid="{39444327-AA88-44DB-8612-BE587599740A}" name="Column9079"/>
    <tableColumn id="9099" xr3:uid="{54928847-9C45-4ECC-AD8C-9CC6C0DF0542}" name="Column9080"/>
    <tableColumn id="9100" xr3:uid="{F4580227-5894-4A35-8F3A-015F45647EB3}" name="Column9081"/>
    <tableColumn id="9101" xr3:uid="{F392923B-6E5B-4542-918A-91DCCEB3590E}" name="Column9082"/>
    <tableColumn id="9102" xr3:uid="{918CAA29-54B4-48E4-BAAA-7707549BB268}" name="Column9083"/>
    <tableColumn id="9103" xr3:uid="{201927EB-E93E-40B7-B7AC-861CA0816285}" name="Column9084"/>
    <tableColumn id="9104" xr3:uid="{4576D06D-4905-4B98-9F1B-23935BC5C1A0}" name="Column9085"/>
    <tableColumn id="9105" xr3:uid="{47D63DD4-E374-4C84-A89B-85E9B5266A5A}" name="Column9086"/>
    <tableColumn id="9106" xr3:uid="{DB1A40E9-6302-4A7B-B555-B4975C872CFB}" name="Column9087"/>
    <tableColumn id="9107" xr3:uid="{A2F058EB-DE36-4C5C-97F4-B153E6310626}" name="Column9088"/>
    <tableColumn id="9108" xr3:uid="{91F9CF14-40F0-437B-953F-0144DEE53A9E}" name="Column9089"/>
    <tableColumn id="9109" xr3:uid="{9A6514AC-03EB-40CA-98C6-CBA4D1C69CF7}" name="Column9090"/>
    <tableColumn id="9110" xr3:uid="{ADC5BED8-23AD-4133-A160-A01AC1ED78AE}" name="Column9091"/>
    <tableColumn id="9111" xr3:uid="{C6222112-E27F-4C59-980B-BE69F721FF55}" name="Column9092"/>
    <tableColumn id="9112" xr3:uid="{0CA9E343-2E50-4B96-81A6-EE84FBB0467D}" name="Column9093"/>
    <tableColumn id="9113" xr3:uid="{27169910-69F8-49E9-B832-897524627649}" name="Column9094"/>
    <tableColumn id="9114" xr3:uid="{C289A633-1703-41C6-A223-9D4F457DD60F}" name="Column9095"/>
    <tableColumn id="9115" xr3:uid="{0D8C9608-7DA7-4298-8391-D7290503CA05}" name="Column9096"/>
    <tableColumn id="9116" xr3:uid="{AF8229DC-538C-457B-93FB-23866FED3179}" name="Column9097"/>
    <tableColumn id="9117" xr3:uid="{99B6ABAC-221D-4181-B779-D7BFA46F27EF}" name="Column9098"/>
    <tableColumn id="9118" xr3:uid="{20271569-DF1F-4C41-8D2A-8F908753DFE2}" name="Column9099"/>
    <tableColumn id="9119" xr3:uid="{78EC3887-F82F-4918-BDF9-1143DE700FA1}" name="Column9100"/>
    <tableColumn id="9120" xr3:uid="{CAF40F38-8C39-424D-8E68-E0BB47D5B809}" name="Column9101"/>
    <tableColumn id="9121" xr3:uid="{51888B51-6F9A-4D74-84FB-6CD2A3E5596F}" name="Column9102"/>
    <tableColumn id="9122" xr3:uid="{8FE4C007-C751-4E27-A0AB-AEC35AB13F74}" name="Column9103"/>
    <tableColumn id="9123" xr3:uid="{D5532044-353D-47DF-BA2F-B9653CCFC60F}" name="Column9104"/>
    <tableColumn id="9124" xr3:uid="{2FBAE1FC-E17A-43C7-BC50-46B6756F8B6D}" name="Column9105"/>
    <tableColumn id="9125" xr3:uid="{DE78E4DB-B118-4AC3-AFFE-A1974DBAC41C}" name="Column9106"/>
    <tableColumn id="9126" xr3:uid="{904B1704-E0D0-424E-ABCE-04CA47C01BD2}" name="Column9107"/>
    <tableColumn id="9127" xr3:uid="{724FE525-3B8C-4444-A125-AC2C8835B315}" name="Column9108"/>
    <tableColumn id="9128" xr3:uid="{221A5367-AE9B-4C89-8E85-FE92F1385EBD}" name="Column9109"/>
    <tableColumn id="9129" xr3:uid="{323C09E7-E2B7-411E-B274-7EE29AAA1556}" name="Column9110"/>
    <tableColumn id="9130" xr3:uid="{CA64BC6C-56D4-4B15-8D97-F05A5CAE2EDD}" name="Column9111"/>
    <tableColumn id="9131" xr3:uid="{01874937-0D55-4CF8-A910-1AC2A6BB5223}" name="Column9112"/>
    <tableColumn id="9132" xr3:uid="{B4E2D588-A6F9-495E-AE82-C7E55CEC2FE5}" name="Column9113"/>
    <tableColumn id="9133" xr3:uid="{039D9812-961B-4912-913E-83CF431F4464}" name="Column9114"/>
    <tableColumn id="9134" xr3:uid="{4F467C48-D9A6-4CF4-95AE-E34362677F9F}" name="Column9115"/>
    <tableColumn id="9135" xr3:uid="{3625F48A-D749-44E3-8186-EBA4CEC8EBE9}" name="Column9116"/>
    <tableColumn id="9136" xr3:uid="{B2A629B4-02FF-4F67-A0C4-7F14711AD2DA}" name="Column9117"/>
    <tableColumn id="9137" xr3:uid="{C5607130-6C09-459A-A02B-265C365236A6}" name="Column9118"/>
    <tableColumn id="9138" xr3:uid="{06821068-D027-4533-8E72-ECEABEF5F3A4}" name="Column9119"/>
    <tableColumn id="9139" xr3:uid="{E6A63B37-680D-4FAA-A6B6-1BAAAA2DAB73}" name="Column9120"/>
    <tableColumn id="9140" xr3:uid="{2541D1F2-FFCD-4A9C-A59C-F1EA1E09E4C5}" name="Column9121"/>
    <tableColumn id="9141" xr3:uid="{5EE56114-2D08-4637-A802-5FF2D2FE9884}" name="Column9122"/>
    <tableColumn id="9142" xr3:uid="{64765144-0570-4F3F-AF47-423B0DD1EF09}" name="Column9123"/>
    <tableColumn id="9143" xr3:uid="{935459EE-158E-477A-B3FF-5122372CBD62}" name="Column9124"/>
    <tableColumn id="9144" xr3:uid="{D2EBD74D-1361-4041-A36C-9CC76150A98D}" name="Column9125"/>
    <tableColumn id="9145" xr3:uid="{BAC79B3D-67D7-43F5-BAC2-D1C0768B3048}" name="Column9126"/>
    <tableColumn id="9146" xr3:uid="{10E3D108-1ADF-4EED-8F13-8D71DB5743C4}" name="Column9127"/>
    <tableColumn id="9147" xr3:uid="{C709F197-07C2-46AA-BB9D-416D6D623A70}" name="Column9128"/>
    <tableColumn id="9148" xr3:uid="{03E54694-0F93-40CD-8302-408E20F90A29}" name="Column9129"/>
    <tableColumn id="9149" xr3:uid="{182AB3CA-FAF7-42AE-9087-F9DEED888194}" name="Column9130"/>
    <tableColumn id="9150" xr3:uid="{CB39611A-3F0E-4D3B-9863-398AFDF086B2}" name="Column9131"/>
    <tableColumn id="9151" xr3:uid="{DD986F99-45B6-4C52-AA2C-8616AB43F907}" name="Column9132"/>
    <tableColumn id="9152" xr3:uid="{A9C34295-CF31-4861-9485-BE91866B14CB}" name="Column9133"/>
    <tableColumn id="9153" xr3:uid="{8533B8B0-2788-4412-8BBB-D0819C0E184F}" name="Column9134"/>
    <tableColumn id="9154" xr3:uid="{737B311E-6F13-4F15-9D86-3FEE19BB14F5}" name="Column9135"/>
    <tableColumn id="9155" xr3:uid="{F3991D5B-3A97-4E4E-ADA0-D54237DB79DC}" name="Column9136"/>
    <tableColumn id="9156" xr3:uid="{8651F4FF-563D-4DF8-9DB5-5E705F9A6CCD}" name="Column9137"/>
    <tableColumn id="9157" xr3:uid="{D03C6522-B785-4968-B614-9C1A9C3203D6}" name="Column9138"/>
    <tableColumn id="9158" xr3:uid="{A8BF1E28-F35F-44F2-8952-44EE24094A2A}" name="Column9139"/>
    <tableColumn id="9159" xr3:uid="{70FE1DD1-3011-4682-A0F5-0B567D2155F7}" name="Column9140"/>
    <tableColumn id="9160" xr3:uid="{08E891EC-9B66-4A22-80AC-EFDDACEC4C77}" name="Column9141"/>
    <tableColumn id="9161" xr3:uid="{C33EAE06-99B9-42C4-BDBC-5A0BB24BAD5A}" name="Column9142"/>
    <tableColumn id="9162" xr3:uid="{DB515BB4-2327-4C17-9AB1-7CC0D6578AE5}" name="Column9143"/>
    <tableColumn id="9163" xr3:uid="{9A33E75C-D8C6-4D72-A0B5-53811A2175E6}" name="Column9144"/>
    <tableColumn id="9164" xr3:uid="{7FF5684B-563C-4556-8FF6-085CD0211BEE}" name="Column9145"/>
    <tableColumn id="9165" xr3:uid="{180A7286-5437-49BA-AA92-D8ED86D3DA8E}" name="Column9146"/>
    <tableColumn id="9166" xr3:uid="{495437BD-14DA-4BE9-9966-2E1DC194B92D}" name="Column9147"/>
    <tableColumn id="9167" xr3:uid="{AE97E231-C2EB-4AA6-9E73-9EBDCED7CEDD}" name="Column9148"/>
    <tableColumn id="9168" xr3:uid="{1C0EADA0-C834-404E-8AA2-C51F933A25A1}" name="Column9149"/>
    <tableColumn id="9169" xr3:uid="{FFEF5587-CEDF-4E20-898E-1B83E576E911}" name="Column9150"/>
    <tableColumn id="9170" xr3:uid="{49B761D7-A391-43B0-8D6B-3E83E576E9AB}" name="Column9151"/>
    <tableColumn id="9171" xr3:uid="{60047E61-454B-42DB-9AFD-096829A1EDEF}" name="Column9152"/>
    <tableColumn id="9172" xr3:uid="{3BC268F5-9047-4831-9CDC-2EAB392884F5}" name="Column9153"/>
    <tableColumn id="9173" xr3:uid="{901F0C93-2428-4B14-BD9B-661799FE069A}" name="Column9154"/>
    <tableColumn id="9174" xr3:uid="{4A91A344-C409-4FB9-B166-B0553688AC45}" name="Column9155"/>
    <tableColumn id="9175" xr3:uid="{0DF0C804-06E5-49C0-B175-CD2630084E03}" name="Column9156"/>
    <tableColumn id="9176" xr3:uid="{5D4EB65E-757B-417B-AD4E-3D0CA44308E2}" name="Column9157"/>
    <tableColumn id="9177" xr3:uid="{50C9938A-3816-45BD-80A8-0E60A827FBB8}" name="Column9158"/>
    <tableColumn id="9178" xr3:uid="{836CF67B-D1A0-40BD-8D0A-C9C98C757C9F}" name="Column9159"/>
    <tableColumn id="9179" xr3:uid="{3C75139F-DC2E-4541-8A88-5F06A4DC3A69}" name="Column9160"/>
    <tableColumn id="9180" xr3:uid="{235BEE26-D25A-4F39-9091-CF4492B93A28}" name="Column9161"/>
    <tableColumn id="9181" xr3:uid="{39105313-62AC-4109-96FF-D399E9FF8BFF}" name="Column9162"/>
    <tableColumn id="9182" xr3:uid="{D4165D9B-2DCD-4247-9B3A-708208F1E096}" name="Column9163"/>
    <tableColumn id="9183" xr3:uid="{11C1E7D6-8E0E-4761-A834-70B614CE61C8}" name="Column9164"/>
    <tableColumn id="9184" xr3:uid="{95830A2A-8074-44BD-AFCE-40EA877F0CB3}" name="Column9165"/>
    <tableColumn id="9185" xr3:uid="{3B3A69DE-6759-4811-B3C3-96001746477F}" name="Column9166"/>
    <tableColumn id="9186" xr3:uid="{5A35922D-DA5D-4755-883C-9479D7EDD64C}" name="Column9167"/>
    <tableColumn id="9187" xr3:uid="{80F70EC4-0C62-41F6-9F2E-7F4C1F7A7E16}" name="Column9168"/>
    <tableColumn id="9188" xr3:uid="{9245B6EE-F290-4FE7-9F08-C63B45B700B9}" name="Column9169"/>
    <tableColumn id="9189" xr3:uid="{96CF6E25-E245-4227-88C0-47C471711606}" name="Column9170"/>
    <tableColumn id="9190" xr3:uid="{D3650537-9CEB-40DE-A774-D7B89CBFC458}" name="Column9171"/>
    <tableColumn id="9191" xr3:uid="{862DC9DA-0077-4A2E-9409-E4CE4B443769}" name="Column9172"/>
    <tableColumn id="9192" xr3:uid="{FA2935C4-D73F-49EC-A24A-204F573F973A}" name="Column9173"/>
    <tableColumn id="9193" xr3:uid="{7AE16F0E-A301-48AE-BA77-DE646EF1556E}" name="Column9174"/>
    <tableColumn id="9194" xr3:uid="{9869CAE1-6653-419C-9085-0A79984AE5F5}" name="Column9175"/>
    <tableColumn id="9195" xr3:uid="{0627F091-66AE-4F3C-ABDB-A744556EE7A7}" name="Column9176"/>
    <tableColumn id="9196" xr3:uid="{20D84994-EA7B-4920-913C-A959C6A10189}" name="Column9177"/>
    <tableColumn id="9197" xr3:uid="{B6FC5A78-09A3-4D77-BE59-C7EA6090B8DC}" name="Column9178"/>
    <tableColumn id="9198" xr3:uid="{BD7DFFA2-E693-4DE3-8BDE-FBA6F3B64D84}" name="Column9179"/>
    <tableColumn id="9199" xr3:uid="{A42B5DBB-F001-4F47-A750-7C43C5F93E9F}" name="Column9180"/>
    <tableColumn id="9200" xr3:uid="{68F0BAE5-F6FE-45F9-9427-5663C74621B4}" name="Column9181"/>
    <tableColumn id="9201" xr3:uid="{34EB3466-C181-42E7-9579-15175E881E19}" name="Column9182"/>
    <tableColumn id="9202" xr3:uid="{3E9E5651-435F-4D7C-A195-FCA163D4A19F}" name="Column9183"/>
    <tableColumn id="9203" xr3:uid="{F21C22BE-DC97-4EC9-858F-8785294A0F77}" name="Column9184"/>
    <tableColumn id="9204" xr3:uid="{1856CC84-FC48-45C3-BFF2-FD614742704D}" name="Column9185"/>
    <tableColumn id="9205" xr3:uid="{CA498066-3AAF-468C-A250-978B0B74E90C}" name="Column9186"/>
    <tableColumn id="9206" xr3:uid="{A0565D64-5F17-42BE-ADA4-8CFE8BA68CF5}" name="Column9187"/>
    <tableColumn id="9207" xr3:uid="{354F7252-7709-4905-9784-F23D05A867B0}" name="Column9188"/>
    <tableColumn id="9208" xr3:uid="{18308CC3-DB78-4DB7-8B16-A59D2032BC14}" name="Column9189"/>
    <tableColumn id="9209" xr3:uid="{B82119A1-6B2A-481D-9CC2-91D44D95D40D}" name="Column9190"/>
    <tableColumn id="9210" xr3:uid="{E73B7D8F-900F-452D-A53B-D0836B7C2312}" name="Column9191"/>
    <tableColumn id="9211" xr3:uid="{490DD5BE-2F4D-4505-A479-7853FF03FF9C}" name="Column9192"/>
    <tableColumn id="9212" xr3:uid="{0E528DF2-1664-4591-BD29-66AB5EADBF28}" name="Column9193"/>
    <tableColumn id="9213" xr3:uid="{864DB7E2-3479-4870-A0A4-0F44617D00BF}" name="Column9194"/>
    <tableColumn id="9214" xr3:uid="{A393DF72-27CD-4C2B-AA39-D979D73F3E0B}" name="Column9195"/>
    <tableColumn id="9215" xr3:uid="{227DEAE0-CB28-4A6C-984F-150B8B665750}" name="Column9196"/>
    <tableColumn id="9216" xr3:uid="{323C744E-54E2-4BDE-B8F1-43A5C2144F93}" name="Column9197"/>
    <tableColumn id="9217" xr3:uid="{36282729-46A8-413F-A3CC-8FD06889C3EC}" name="Column9198"/>
    <tableColumn id="9218" xr3:uid="{40A7A62C-4139-4B03-B869-150E8A15611E}" name="Column9199"/>
    <tableColumn id="9219" xr3:uid="{983451A9-1C08-4732-914B-33C7AB807CD7}" name="Column9200"/>
    <tableColumn id="9220" xr3:uid="{CF6CD38D-B033-43E7-ADA8-0868695603D5}" name="Column9201"/>
    <tableColumn id="9221" xr3:uid="{3D138FCE-0705-4B96-B6F4-9D79A8EF2694}" name="Column9202"/>
    <tableColumn id="9222" xr3:uid="{C0612E7C-6538-4532-9B12-A761F9E33F42}" name="Column9203"/>
    <tableColumn id="9223" xr3:uid="{41AFB1E5-D410-4EDF-BE7A-339E539C4710}" name="Column9204"/>
    <tableColumn id="9224" xr3:uid="{F249FF9D-3DFC-428A-B48D-0937531F4024}" name="Column9205"/>
    <tableColumn id="9225" xr3:uid="{8CF14105-EF42-4CDF-B951-C5CF5843EDE5}" name="Column9206"/>
    <tableColumn id="9226" xr3:uid="{DF6F48A7-2A29-4454-974C-4A03611ABADF}" name="Column9207"/>
    <tableColumn id="9227" xr3:uid="{504EEA6B-A0B3-41F4-B8BE-B9EA960DFB28}" name="Column9208"/>
    <tableColumn id="9228" xr3:uid="{4B4A0606-896F-4E82-86AE-593BB902D039}" name="Column9209"/>
    <tableColumn id="9229" xr3:uid="{3C141F0A-A4B0-4D44-A2E7-A1D100814AF1}" name="Column9210"/>
    <tableColumn id="9230" xr3:uid="{93B0E87F-6FB5-407F-AB22-88DDE3B930EB}" name="Column9211"/>
    <tableColumn id="9231" xr3:uid="{EEF08714-2DA6-4CA4-A462-B0054217BE80}" name="Column9212"/>
    <tableColumn id="9232" xr3:uid="{9463F0A0-47B5-4368-AD6E-39D85F77A255}" name="Column9213"/>
    <tableColumn id="9233" xr3:uid="{9B46CFCB-1160-40CF-A13B-61080199EEEE}" name="Column9214"/>
    <tableColumn id="9234" xr3:uid="{21C83AB5-C998-4CAE-B3C5-9605D04F730C}" name="Column9215"/>
    <tableColumn id="9235" xr3:uid="{606165AA-FABC-4AEB-8487-0D4BE5D2C776}" name="Column9216"/>
    <tableColumn id="9236" xr3:uid="{2144FB0B-E58C-4F93-B646-3A66E2F11BCD}" name="Column9217"/>
    <tableColumn id="9237" xr3:uid="{33B474F1-47F4-4541-88D0-F743E8E9EF08}" name="Column9218"/>
    <tableColumn id="9238" xr3:uid="{DCEAFA6E-C8AB-442D-9C80-FE9EABBB6BA8}" name="Column9219"/>
    <tableColumn id="9239" xr3:uid="{F194B1CD-26D7-4AF5-BD9F-CCA477967BD0}" name="Column9220"/>
    <tableColumn id="9240" xr3:uid="{ED8DD62A-B214-40C0-B415-FC97C56E13A6}" name="Column9221"/>
    <tableColumn id="9241" xr3:uid="{AE3E4793-7E67-4523-A010-9558391F64E9}" name="Column9222"/>
    <tableColumn id="9242" xr3:uid="{F910F006-7485-43D8-8FD0-D75B24847751}" name="Column9223"/>
    <tableColumn id="9243" xr3:uid="{734E42C1-2958-470C-AF54-11117529FCF1}" name="Column9224"/>
    <tableColumn id="9244" xr3:uid="{6B78AF76-90ED-4E31-94A8-6AA64EC34A7C}" name="Column9225"/>
    <tableColumn id="9245" xr3:uid="{E9598058-D3DE-4180-96EA-4CBE45B01A23}" name="Column9226"/>
    <tableColumn id="9246" xr3:uid="{269F2F58-2399-4C83-8EFB-3C77523C2B79}" name="Column9227"/>
    <tableColumn id="9247" xr3:uid="{A0FED49C-D36A-42E2-8A0E-859FC3A10FD1}" name="Column9228"/>
    <tableColumn id="9248" xr3:uid="{DC658F17-590C-48AB-B81E-1B7C291787EE}" name="Column9229"/>
    <tableColumn id="9249" xr3:uid="{1B1FA6AA-5F20-4B25-ADA5-B1192F3A6FA3}" name="Column9230"/>
    <tableColumn id="9250" xr3:uid="{F6944454-C932-4CDE-806A-568D1745B6D1}" name="Column9231"/>
    <tableColumn id="9251" xr3:uid="{F0CDD154-8D11-4854-8FBB-AD82CD12DA77}" name="Column9232"/>
    <tableColumn id="9252" xr3:uid="{FF070200-57F4-47A5-BE5B-6B44E25524F3}" name="Column9233"/>
    <tableColumn id="9253" xr3:uid="{01EFCBC1-350C-4AC2-9D65-6B32EFB3E4CE}" name="Column9234"/>
    <tableColumn id="9254" xr3:uid="{AA23B632-3F35-46AF-8B8E-06483FC9595D}" name="Column9235"/>
    <tableColumn id="9255" xr3:uid="{E23B48F5-1079-4AB1-8F7B-B1C4303E2017}" name="Column9236"/>
    <tableColumn id="9256" xr3:uid="{AE6D5CC7-61AF-44D3-9970-CACA5FEFB951}" name="Column9237"/>
    <tableColumn id="9257" xr3:uid="{0242C0B2-2C31-4946-8711-D37223C16903}" name="Column9238"/>
    <tableColumn id="9258" xr3:uid="{C623BB1A-FB69-4904-9A51-6521058142D0}" name="Column9239"/>
    <tableColumn id="9259" xr3:uid="{627B32ED-B7AB-45AB-A675-82914C47224F}" name="Column9240"/>
    <tableColumn id="9260" xr3:uid="{FD0363E8-A26A-4D22-B2B5-77C00B934B8A}" name="Column9241"/>
    <tableColumn id="9261" xr3:uid="{DD6700BB-306B-4CD7-BFA2-22E3E454D8A3}" name="Column9242"/>
    <tableColumn id="9262" xr3:uid="{89CDCDBB-E080-4C9A-8AC5-62311E905539}" name="Column9243"/>
    <tableColumn id="9263" xr3:uid="{6F963CCC-35B0-47B9-AED6-931B82C36A44}" name="Column9244"/>
    <tableColumn id="9264" xr3:uid="{D1E90516-3D9B-443D-926C-5AA13C3F7B88}" name="Column9245"/>
    <tableColumn id="9265" xr3:uid="{659AFFE0-F9DB-4F91-9D26-48D8961EE035}" name="Column9246"/>
    <tableColumn id="9266" xr3:uid="{D289C247-A8BB-4973-B648-BED9AABD78CA}" name="Column9247"/>
    <tableColumn id="9267" xr3:uid="{71846420-9884-4FA9-9B6E-639092D0CFBF}" name="Column9248"/>
    <tableColumn id="9268" xr3:uid="{5FC0442A-B7DA-415E-9A5A-8270A7F84102}" name="Column9249"/>
    <tableColumn id="9269" xr3:uid="{0C873007-184C-4155-92B0-8E421CEAFEB2}" name="Column9250"/>
    <tableColumn id="9270" xr3:uid="{57D5FBCF-C3A1-4D77-B655-CC63F1FD8E2E}" name="Column9251"/>
    <tableColumn id="9271" xr3:uid="{4AE0D55F-11EB-4CD7-91DD-E6A1943573B1}" name="Column9252"/>
    <tableColumn id="9272" xr3:uid="{90D5E1D6-2300-4A39-A8B9-6C5E7D685BFB}" name="Column9253"/>
    <tableColumn id="9273" xr3:uid="{221C1474-6752-4C1A-93E7-ACB530198D41}" name="Column9254"/>
    <tableColumn id="9274" xr3:uid="{79EDC2C6-DD2A-4824-B247-258BA55B7096}" name="Column9255"/>
    <tableColumn id="9275" xr3:uid="{47AB545D-60EA-48A0-98D3-16E95D52DD63}" name="Column9256"/>
    <tableColumn id="9276" xr3:uid="{762801E6-C66C-4378-849F-0D7CAF39FFE1}" name="Column9257"/>
    <tableColumn id="9277" xr3:uid="{5E08202F-AAFB-4450-B42A-F9FDE7FCC158}" name="Column9258"/>
    <tableColumn id="9278" xr3:uid="{298A4D03-D9C0-4DCB-BC54-3CDBB067AF5A}" name="Column9259"/>
    <tableColumn id="9279" xr3:uid="{0636CC16-E9C3-4D8D-9C4D-02F509F4C905}" name="Column9260"/>
    <tableColumn id="9280" xr3:uid="{E6CD33BE-53F0-4AB2-9CD4-0FE1D5ACD217}" name="Column9261"/>
    <tableColumn id="9281" xr3:uid="{D0ED57DC-861E-4555-B036-75A1CA85DC13}" name="Column9262"/>
    <tableColumn id="9282" xr3:uid="{D0A8F218-97E9-4F12-B846-CEF3ECF52BFC}" name="Column9263"/>
    <tableColumn id="9283" xr3:uid="{4B6E1E89-926E-40E7-810C-A644B3ED8990}" name="Column9264"/>
    <tableColumn id="9284" xr3:uid="{7E8656F9-8DB4-4D73-9CB5-59AAE4B389B3}" name="Column9265"/>
    <tableColumn id="9285" xr3:uid="{11D342F4-C571-46BB-95FD-5478B399E596}" name="Column9266"/>
    <tableColumn id="9286" xr3:uid="{C4E13689-CE99-4FF5-9050-9B946D07F660}" name="Column9267"/>
    <tableColumn id="9287" xr3:uid="{0ACF7AD7-096A-4E4B-B0B1-30D50D33FE20}" name="Column9268"/>
    <tableColumn id="9288" xr3:uid="{FC73CADB-169A-4D39-A58B-DA30FDCE6639}" name="Column9269"/>
    <tableColumn id="9289" xr3:uid="{9073C5D0-FB04-4EDA-BB98-7613124A09D0}" name="Column9270"/>
    <tableColumn id="9290" xr3:uid="{38270E0E-5BBE-40F8-8F09-9BDF226A920B}" name="Column9271"/>
    <tableColumn id="9291" xr3:uid="{580409CC-FCB7-466B-93C5-77E106BEB070}" name="Column9272"/>
    <tableColumn id="9292" xr3:uid="{369963C2-C062-4366-9907-7BF38F0A445E}" name="Column9273"/>
    <tableColumn id="9293" xr3:uid="{D391BEE5-21F1-4400-A708-B2D0949C7573}" name="Column9274"/>
    <tableColumn id="9294" xr3:uid="{BACA3E4E-6E6E-4A83-9940-9A50491CEC94}" name="Column9275"/>
    <tableColumn id="9295" xr3:uid="{A102FD40-CE93-41D4-AB06-D56D79BCEC4F}" name="Column9276"/>
    <tableColumn id="9296" xr3:uid="{F690B2F8-5EF3-458D-AAC1-BFE0ACE6A95C}" name="Column9277"/>
    <tableColumn id="9297" xr3:uid="{56FC96BF-6EAA-438C-B9B4-923714F9A10B}" name="Column9278"/>
    <tableColumn id="9298" xr3:uid="{9F64F711-51C8-40F8-BD90-DA62725A0C94}" name="Column9279"/>
    <tableColumn id="9299" xr3:uid="{411B7DD6-F8D7-4A97-9FE7-AB0E697B7A35}" name="Column9280"/>
    <tableColumn id="9300" xr3:uid="{D3D66792-6ADF-40E1-A4EA-CD1C1C8825AB}" name="Column9281"/>
    <tableColumn id="9301" xr3:uid="{75EF1E7E-5BA0-4254-876E-FE88C79336B6}" name="Column9282"/>
    <tableColumn id="9302" xr3:uid="{1B902CFD-3E51-4072-B7B1-2908E9447C57}" name="Column9283"/>
    <tableColumn id="9303" xr3:uid="{800CE1BE-7C5B-4623-92B1-8906CBDF9CFD}" name="Column9284"/>
    <tableColumn id="9304" xr3:uid="{FCDC27D6-5F4D-4F99-8AB5-3C7E46F33EC1}" name="Column9285"/>
    <tableColumn id="9305" xr3:uid="{1825C6CD-036E-4490-9211-10D4925EB810}" name="Column9286"/>
    <tableColumn id="9306" xr3:uid="{16BA92D2-A32A-4514-BED0-C932E9CF74F7}" name="Column9287"/>
    <tableColumn id="9307" xr3:uid="{2E5FC74E-7278-48CE-91AF-B3E4618CFF8A}" name="Column9288"/>
    <tableColumn id="9308" xr3:uid="{E9FC887A-3F4F-4DE0-A97F-4DE44A47A5C3}" name="Column9289"/>
    <tableColumn id="9309" xr3:uid="{D1025A4B-9CF1-4CFD-9C03-A52A50E72E13}" name="Column9290"/>
    <tableColumn id="9310" xr3:uid="{B61731C9-75CE-4394-86D1-C1C0F66D5533}" name="Column9291"/>
    <tableColumn id="9311" xr3:uid="{C7B2A01B-EAA3-4855-858B-134699F36F2F}" name="Column9292"/>
    <tableColumn id="9312" xr3:uid="{890C8A92-BD7F-41BF-B2FF-AF0150D8F1B0}" name="Column9293"/>
    <tableColumn id="9313" xr3:uid="{66E38B05-63FF-4B06-AD23-CB16CF4B041C}" name="Column9294"/>
    <tableColumn id="9314" xr3:uid="{036096C0-9885-4DEC-899B-7F38C9CE1B89}" name="Column9295"/>
    <tableColumn id="9315" xr3:uid="{C81ADE4E-C4B9-40AD-B861-46211270CF8A}" name="Column9296"/>
    <tableColumn id="9316" xr3:uid="{6369C917-969B-4987-A973-891F96D7053A}" name="Column9297"/>
    <tableColumn id="9317" xr3:uid="{F5D2A174-D59C-4CFE-896B-D0BAA9E41CBF}" name="Column9298"/>
    <tableColumn id="9318" xr3:uid="{45CA6298-2BF6-4F5B-85D8-84C6F3F909B4}" name="Column9299"/>
    <tableColumn id="9319" xr3:uid="{73375E44-7371-46CD-8DE8-CD8D542BCAB3}" name="Column9300"/>
    <tableColumn id="9320" xr3:uid="{B999B07C-E596-4FE4-BEFA-6CD23015AEB2}" name="Column9301"/>
    <tableColumn id="9321" xr3:uid="{21C03D4C-5ADA-42FC-BB48-315AE69F9063}" name="Column9302"/>
    <tableColumn id="9322" xr3:uid="{134B7D40-1ED2-4F55-9522-263E10D7C5C4}" name="Column9303"/>
    <tableColumn id="9323" xr3:uid="{52608488-C3DD-440B-82A1-64C79CEDE609}" name="Column9304"/>
    <tableColumn id="9324" xr3:uid="{9E48723B-3929-4437-9C1D-2446C6BFC7D7}" name="Column9305"/>
    <tableColumn id="9325" xr3:uid="{8531300D-F211-4EA0-8DA4-394ECDF51595}" name="Column9306"/>
    <tableColumn id="9326" xr3:uid="{BE8BFCAE-B48C-47B9-ADF6-304252B5A857}" name="Column9307"/>
    <tableColumn id="9327" xr3:uid="{BBE5C8FD-5C3F-4260-9E57-1FBA889FBD77}" name="Column9308"/>
    <tableColumn id="9328" xr3:uid="{978D544F-72FA-4F30-8C72-323431C6B7A1}" name="Column9309"/>
    <tableColumn id="9329" xr3:uid="{7D976CB8-6CAE-4164-9404-A220F9CB5DB0}" name="Column9310"/>
    <tableColumn id="9330" xr3:uid="{20C82E75-81AA-4C2A-8F66-2D4CD846A7AD}" name="Column9311"/>
    <tableColumn id="9331" xr3:uid="{64840D28-F858-40A1-A9A5-F22CA659FC95}" name="Column9312"/>
    <tableColumn id="9332" xr3:uid="{C3C1025A-F51E-4FC7-AB4A-43CAFED7E50C}" name="Column9313"/>
    <tableColumn id="9333" xr3:uid="{353B76F8-7AEC-4CC2-B6B8-7404010758B1}" name="Column9314"/>
    <tableColumn id="9334" xr3:uid="{76DF92D5-CD36-4A51-AEE7-30394CD05472}" name="Column9315"/>
    <tableColumn id="9335" xr3:uid="{C2D996FD-EF4C-4C1D-B4A8-EFF83E4C0343}" name="Column9316"/>
    <tableColumn id="9336" xr3:uid="{79B769E5-E033-4FA0-9718-CB9B35406E65}" name="Column9317"/>
    <tableColumn id="9337" xr3:uid="{F67CCFA9-D670-4C5A-B8D9-2BB4869D733D}" name="Column9318"/>
    <tableColumn id="9338" xr3:uid="{3CF25B7C-1E3B-481B-A2A0-EC55A2FCCA5C}" name="Column9319"/>
    <tableColumn id="9339" xr3:uid="{40E127B1-208B-44F0-AC58-CFD54667097D}" name="Column9320"/>
    <tableColumn id="9340" xr3:uid="{D0979F6F-2012-47E8-9B01-F953CC433B3F}" name="Column9321"/>
    <tableColumn id="9341" xr3:uid="{AE85EB12-4A1A-4652-8797-FFB951A3832F}" name="Column9322"/>
    <tableColumn id="9342" xr3:uid="{CECD48E5-6AC1-424C-A9B4-117A665F14BD}" name="Column9323"/>
    <tableColumn id="9343" xr3:uid="{43C7BCAB-1E26-4720-A07E-825AE17AD780}" name="Column9324"/>
    <tableColumn id="9344" xr3:uid="{437A6631-25AA-4595-8955-D24297E20D56}" name="Column9325"/>
    <tableColumn id="9345" xr3:uid="{BC86923D-19B8-4F9A-B266-533A8A21EE8B}" name="Column9326"/>
    <tableColumn id="9346" xr3:uid="{E379F4E5-FA03-4C83-A30B-44EE04CE72A1}" name="Column9327"/>
    <tableColumn id="9347" xr3:uid="{7FF97B20-DB7B-4DA1-8479-8DD911543494}" name="Column9328"/>
    <tableColumn id="9348" xr3:uid="{E0D5F0ED-8AE6-46AA-BA2E-ED0BF1675CB6}" name="Column9329"/>
    <tableColumn id="9349" xr3:uid="{6EE70344-F72B-4B98-824A-FA4C9CD6C1A2}" name="Column9330"/>
    <tableColumn id="9350" xr3:uid="{D6AAC72B-ACAD-4AC2-81D4-8D3D360D2657}" name="Column9331"/>
    <tableColumn id="9351" xr3:uid="{37DA94E4-F177-4373-8B34-F329550D657F}" name="Column9332"/>
    <tableColumn id="9352" xr3:uid="{2193180A-7316-4A9E-8B2D-4844CF19EC2B}" name="Column9333"/>
    <tableColumn id="9353" xr3:uid="{73EC5973-ABCC-45AA-8000-54956B7AE563}" name="Column9334"/>
    <tableColumn id="9354" xr3:uid="{5AA5B321-D7E6-45F6-979C-3A0B44B5680B}" name="Column9335"/>
    <tableColumn id="9355" xr3:uid="{D9B81532-AAD4-4C39-8997-CB047F40B625}" name="Column9336"/>
    <tableColumn id="9356" xr3:uid="{88D9750B-C428-4E96-A967-10EE2736CD74}" name="Column9337"/>
    <tableColumn id="9357" xr3:uid="{8E8CC625-2B2E-42C6-B056-99E2FF44CD10}" name="Column9338"/>
    <tableColumn id="9358" xr3:uid="{F69597AC-A4F7-4ADD-8633-AA9A3C60CDE6}" name="Column9339"/>
    <tableColumn id="9359" xr3:uid="{6DCF0D58-B689-4E54-9E38-CE5AD989AE76}" name="Column9340"/>
    <tableColumn id="9360" xr3:uid="{79FB9641-EB9C-43CD-927A-4561F2DD0EF7}" name="Column9341"/>
    <tableColumn id="9361" xr3:uid="{3CB3A2A5-00CC-4CAA-90D1-803A50AE5C6A}" name="Column9342"/>
    <tableColumn id="9362" xr3:uid="{04649286-75D8-48A9-90B7-AE3AE0D50A82}" name="Column9343"/>
    <tableColumn id="9363" xr3:uid="{D4E24E33-9E16-4EA9-9C5F-3EA90B9D55A8}" name="Column9344"/>
    <tableColumn id="9364" xr3:uid="{99A2C14D-F459-4F4C-87AB-2AA33321BA4B}" name="Column9345"/>
    <tableColumn id="9365" xr3:uid="{A291785D-4495-468D-AA6A-0C36B6D9E09E}" name="Column9346"/>
    <tableColumn id="9366" xr3:uid="{7A51C274-A3CB-4C4E-AB33-06262812FC27}" name="Column9347"/>
    <tableColumn id="9367" xr3:uid="{F9D0D2A1-0767-4421-AAFD-6D565BEFD6F3}" name="Column9348"/>
    <tableColumn id="9368" xr3:uid="{C51B12B5-F702-4C92-91DE-7197FDF0497C}" name="Column9349"/>
    <tableColumn id="9369" xr3:uid="{934E1052-5B3B-466F-8B8C-17D1841DECF9}" name="Column9350"/>
    <tableColumn id="9370" xr3:uid="{A62E2047-6BB8-4AE0-96E8-63461F0A3503}" name="Column9351"/>
    <tableColumn id="9371" xr3:uid="{9B8EC15B-C788-4197-8432-C1C9895F7B08}" name="Column9352"/>
    <tableColumn id="9372" xr3:uid="{C64229AF-C61F-4B8C-B330-3FECA38D0A2A}" name="Column9353"/>
    <tableColumn id="9373" xr3:uid="{7EB1F587-F44B-4D00-AA44-98F650D688C7}" name="Column9354"/>
    <tableColumn id="9374" xr3:uid="{EA9DECB9-BAB5-4FD3-AD0C-8DBE507141B2}" name="Column9355"/>
    <tableColumn id="9375" xr3:uid="{871CBE1D-3925-4F57-9874-BA01D56EB35C}" name="Column9356"/>
    <tableColumn id="9376" xr3:uid="{6FE1E5FA-1A50-4E4D-B68B-EF41C1517E07}" name="Column9357"/>
    <tableColumn id="9377" xr3:uid="{63360786-D550-44D2-85B5-8584D9D3A1F5}" name="Column9358"/>
    <tableColumn id="9378" xr3:uid="{A0481A08-8DB7-41C8-8AC6-D8DCCE9BB6B0}" name="Column9359"/>
    <tableColumn id="9379" xr3:uid="{9E8227D4-D3B1-49D0-8DE3-7FD71737F9BA}" name="Column9360"/>
    <tableColumn id="9380" xr3:uid="{7F447B92-8C8F-427F-8F63-7085C43768BD}" name="Column9361"/>
    <tableColumn id="9381" xr3:uid="{CA66FD7F-DAB2-45BC-B069-D59435475438}" name="Column9362"/>
    <tableColumn id="9382" xr3:uid="{6E9CB3DB-AB2F-466C-B27C-55484A4F9067}" name="Column9363"/>
    <tableColumn id="9383" xr3:uid="{E5ACFD3B-163A-4225-83B3-59A0BCFA5936}" name="Column9364"/>
    <tableColumn id="9384" xr3:uid="{5E8AC130-0B7D-4857-AE47-B3F451196261}" name="Column9365"/>
    <tableColumn id="9385" xr3:uid="{3CD9E3CF-FBD2-4D82-983F-BC88C2B751A3}" name="Column9366"/>
    <tableColumn id="9386" xr3:uid="{2B4B461C-930E-41D1-9646-E41E57AADBAC}" name="Column9367"/>
    <tableColumn id="9387" xr3:uid="{32978345-8BEA-4F4D-B843-ED2F91E389FF}" name="Column9368"/>
    <tableColumn id="9388" xr3:uid="{D071B198-2E36-41B3-A7F6-673596EF0B9F}" name="Column9369"/>
    <tableColumn id="9389" xr3:uid="{CF963671-9BE7-4D0E-A62D-FC4710335A4E}" name="Column9370"/>
    <tableColumn id="9390" xr3:uid="{0C2223F5-DBA1-44B5-9650-8E5FBDFE42CD}" name="Column9371"/>
    <tableColumn id="9391" xr3:uid="{9AD891AE-CD5D-48F3-88DB-65339F9F8826}" name="Column9372"/>
    <tableColumn id="9392" xr3:uid="{BB7579B4-4AE2-4044-9CC9-9E6D23BFDC79}" name="Column9373"/>
    <tableColumn id="9393" xr3:uid="{9E567423-1680-494B-ABD5-9073605BF4D9}" name="Column9374"/>
    <tableColumn id="9394" xr3:uid="{20196638-CB91-4BED-A55D-3C7B6DF28FA7}" name="Column9375"/>
    <tableColumn id="9395" xr3:uid="{3E3CA9A8-FFB9-490B-9880-A5CD1C003294}" name="Column9376"/>
    <tableColumn id="9396" xr3:uid="{C7A369B0-07AE-4192-8AC9-156474653B82}" name="Column9377"/>
    <tableColumn id="9397" xr3:uid="{B23DFADC-C862-4DAE-84F7-2A9A3CC0DCD7}" name="Column9378"/>
    <tableColumn id="9398" xr3:uid="{DB6C49DB-113D-45D5-8A0F-6C47392C9007}" name="Column9379"/>
    <tableColumn id="9399" xr3:uid="{730DEF76-D645-4C6B-A19B-661602A4CACC}" name="Column9380"/>
    <tableColumn id="9400" xr3:uid="{12D2AC9E-DB4E-487C-B001-455A613D3671}" name="Column9381"/>
    <tableColumn id="9401" xr3:uid="{4FB089E5-38CB-4140-93D0-E730B5B6BFBC}" name="Column9382"/>
    <tableColumn id="9402" xr3:uid="{0EBC33DE-3D66-4D94-80C7-8C9B22F7229A}" name="Column9383"/>
    <tableColumn id="9403" xr3:uid="{785DC630-C46F-4C56-BE9D-0DC0C597D92C}" name="Column9384"/>
    <tableColumn id="9404" xr3:uid="{9350F9D6-3609-4F04-8B8A-2CC2D082EF39}" name="Column9385"/>
    <tableColumn id="9405" xr3:uid="{DED8681F-AD25-42E3-91D1-83C6FAFAD10B}" name="Column9386"/>
    <tableColumn id="9406" xr3:uid="{515AD46E-4708-460A-BD34-9AF843B6C687}" name="Column9387"/>
    <tableColumn id="9407" xr3:uid="{6A774415-B51D-4549-AA12-7E408BD9C211}" name="Column9388"/>
    <tableColumn id="9408" xr3:uid="{7A0D2995-FE34-4434-9FFE-426D36CC94F5}" name="Column9389"/>
    <tableColumn id="9409" xr3:uid="{43E934E0-3B3E-4201-9EB2-F38742657997}" name="Column9390"/>
    <tableColumn id="9410" xr3:uid="{F1D56736-960C-4A77-B3B5-41FD9818663C}" name="Column9391"/>
    <tableColumn id="9411" xr3:uid="{5C1DC07E-D08C-4692-996D-CAE9CBB35706}" name="Column9392"/>
    <tableColumn id="9412" xr3:uid="{971041AE-6F17-4702-AC30-78D50600FC11}" name="Column9393"/>
    <tableColumn id="9413" xr3:uid="{08A0C1DA-B20A-440C-B5DB-A15A22DA8765}" name="Column9394"/>
    <tableColumn id="9414" xr3:uid="{A2E65941-D769-4D82-81A5-C2DE7754AF05}" name="Column9395"/>
    <tableColumn id="9415" xr3:uid="{F2760C1F-2A09-4428-A4C4-98A793D612F4}" name="Column9396"/>
    <tableColumn id="9416" xr3:uid="{8E50E52F-9327-4FBC-8F3D-B6251BDE0CE8}" name="Column9397"/>
    <tableColumn id="9417" xr3:uid="{544AB0E5-8C62-4A22-A6E9-F77B37D85131}" name="Column9398"/>
    <tableColumn id="9418" xr3:uid="{3BB1CC01-7CED-4010-8B3C-7674C479CBCA}" name="Column9399"/>
    <tableColumn id="9419" xr3:uid="{2CB6FB43-5158-4AE9-A2EC-0553C70AB878}" name="Column9400"/>
    <tableColumn id="9420" xr3:uid="{5D898661-6D20-4608-9A53-67C1E668241E}" name="Column9401"/>
    <tableColumn id="9421" xr3:uid="{47DB2BD9-5425-4CE4-97AD-20FDE2592DFC}" name="Column9402"/>
    <tableColumn id="9422" xr3:uid="{AAA3DBBC-5541-4F36-A94C-1D60B96941B9}" name="Column9403"/>
    <tableColumn id="9423" xr3:uid="{1A06E5A8-3E5E-4679-8FA1-B8E28D3F14BF}" name="Column9404"/>
    <tableColumn id="9424" xr3:uid="{C8F3CEA7-1542-4DDA-BCC5-4FA533709B21}" name="Column9405"/>
    <tableColumn id="9425" xr3:uid="{9C70227A-D39E-4561-A4DD-DE7AC290C33C}" name="Column9406"/>
    <tableColumn id="9426" xr3:uid="{776508A6-E683-4D82-B886-0EC0F9A4B223}" name="Column9407"/>
    <tableColumn id="9427" xr3:uid="{77721EA6-95D4-481A-89FF-401769831C5F}" name="Column9408"/>
    <tableColumn id="9428" xr3:uid="{5D86D117-5251-4619-B0AF-CF6E181A2B5F}" name="Column9409"/>
    <tableColumn id="9429" xr3:uid="{1F96ED32-FE59-4014-90C2-0BF1325C558D}" name="Column9410"/>
    <tableColumn id="9430" xr3:uid="{A4BD4D70-247B-4089-B7EE-79BD140DF7CB}" name="Column9411"/>
    <tableColumn id="9431" xr3:uid="{B65D220D-A65C-48B5-BC0B-219965234CFD}" name="Column9412"/>
    <tableColumn id="9432" xr3:uid="{26DA0E1D-4517-4274-B5BC-EA90161A2C21}" name="Column9413"/>
    <tableColumn id="9433" xr3:uid="{5417C0EB-B5C9-4140-953C-370F5A47C436}" name="Column9414"/>
    <tableColumn id="9434" xr3:uid="{76E4BEF9-0DB3-4CBC-BA9F-B0CE7CFC0F46}" name="Column9415"/>
    <tableColumn id="9435" xr3:uid="{515165D0-2CB3-4B22-930A-418C1E8E2286}" name="Column9416"/>
    <tableColumn id="9436" xr3:uid="{6F5A9D46-CE3C-40D3-9459-D7C5BA4B0F1B}" name="Column9417"/>
    <tableColumn id="9437" xr3:uid="{5D78159E-40AF-43F7-B16D-DA3AB8453D07}" name="Column9418"/>
    <tableColumn id="9438" xr3:uid="{F701A96E-52A7-48B1-8625-32E6E6C14C67}" name="Column9419"/>
    <tableColumn id="9439" xr3:uid="{41B75BA5-EA2F-49D0-BED2-F73970D23462}" name="Column9420"/>
    <tableColumn id="9440" xr3:uid="{D294CCE2-85AF-4D51-AA4B-57A602D4E957}" name="Column9421"/>
    <tableColumn id="9441" xr3:uid="{AB4A89CA-68A1-4DF7-8A54-30060E860414}" name="Column9422"/>
    <tableColumn id="9442" xr3:uid="{DF1B59C2-86B9-44E2-9E0F-F813F0AEF6EF}" name="Column9423"/>
    <tableColumn id="9443" xr3:uid="{5B484D27-56A6-4BD8-B86D-64CAB1B22504}" name="Column9424"/>
    <tableColumn id="9444" xr3:uid="{13F26387-F9E1-4833-BB04-A6A80FD72577}" name="Column9425"/>
    <tableColumn id="9445" xr3:uid="{B4D66918-03E5-45AE-A137-A3ECD57DDCB9}" name="Column9426"/>
    <tableColumn id="9446" xr3:uid="{F41D8DE9-1A21-435B-B83E-223B38FDE6B6}" name="Column9427"/>
    <tableColumn id="9447" xr3:uid="{8E8F90CF-2734-4DAB-ABD5-43200F7BDF73}" name="Column9428"/>
    <tableColumn id="9448" xr3:uid="{A74CCC64-F56C-45B1-818E-8F8FA9655C29}" name="Column9429"/>
    <tableColumn id="9449" xr3:uid="{6DF83DE9-B24D-4721-87FE-A661704ED28C}" name="Column9430"/>
    <tableColumn id="9450" xr3:uid="{4837F004-7B2D-4D23-B549-E49BC275515B}" name="Column9431"/>
    <tableColumn id="9451" xr3:uid="{1A95DA20-6A29-4FF0-B8DB-DD1BAFDCCAD7}" name="Column9432"/>
    <tableColumn id="9452" xr3:uid="{174796D7-3029-4B96-9C2D-2D0BD5163985}" name="Column9433"/>
    <tableColumn id="9453" xr3:uid="{FFC119AF-C5D6-41BF-B9B1-BCF7549E859B}" name="Column9434"/>
    <tableColumn id="9454" xr3:uid="{53F92432-5E77-4DBD-9D4F-94B70424AA20}" name="Column9435"/>
    <tableColumn id="9455" xr3:uid="{7E053B80-B23F-467B-8657-0AEE249E0859}" name="Column9436"/>
    <tableColumn id="9456" xr3:uid="{3CEB69D1-13F3-44F9-BFC5-552EEC9024BC}" name="Column9437"/>
    <tableColumn id="9457" xr3:uid="{E2BBCDA8-D47D-4757-B4F9-115C712CC7AB}" name="Column9438"/>
    <tableColumn id="9458" xr3:uid="{9E6CE5BA-20A9-4BD3-9D4D-AAD58740AD66}" name="Column9439"/>
    <tableColumn id="9459" xr3:uid="{1D779198-DBE9-4EB4-90CB-4F8F66197E2A}" name="Column9440"/>
    <tableColumn id="9460" xr3:uid="{63CA39E7-C12B-425A-A284-E77BB94C8193}" name="Column9441"/>
    <tableColumn id="9461" xr3:uid="{1B63DA16-4FE0-4602-A78F-AA3829F0E5BD}" name="Column9442"/>
    <tableColumn id="9462" xr3:uid="{524F8BEE-8B7A-47D2-B2F2-454CCF58243F}" name="Column9443"/>
    <tableColumn id="9463" xr3:uid="{81BEADA4-FEE4-45E2-B03C-4BCFF362E0ED}" name="Column9444"/>
    <tableColumn id="9464" xr3:uid="{57CEA47F-9A66-4C1E-91EF-32815F35562E}" name="Column9445"/>
    <tableColumn id="9465" xr3:uid="{31686410-AEA6-43AD-B322-CC24992F8214}" name="Column9446"/>
    <tableColumn id="9466" xr3:uid="{93A8448D-0AB7-4478-AD7C-8859D5A8CA36}" name="Column9447"/>
    <tableColumn id="9467" xr3:uid="{F8082457-E74F-4F61-B6C7-D8657F5F6ADA}" name="Column9448"/>
    <tableColumn id="9468" xr3:uid="{A13067C6-4602-43D2-A3CD-07B121C39CC2}" name="Column9449"/>
    <tableColumn id="9469" xr3:uid="{185C2F77-C452-4DAF-82A2-81152AA8EEEE}" name="Column9450"/>
    <tableColumn id="9470" xr3:uid="{F1ED357B-20B6-4050-9CB8-B4F2CF897733}" name="Column9451"/>
    <tableColumn id="9471" xr3:uid="{DFEC73DF-443F-45E5-BE60-7AA1BF38B824}" name="Column9452"/>
    <tableColumn id="9472" xr3:uid="{4B84475B-14C1-4FEE-AE55-E170CFBE53BF}" name="Column9453"/>
    <tableColumn id="9473" xr3:uid="{0BD83D68-FFE2-450A-9949-45CF9F3B9F2D}" name="Column9454"/>
    <tableColumn id="9474" xr3:uid="{CB26D2D6-1ADC-4FE8-B90E-4D50CB3C3B53}" name="Column9455"/>
    <tableColumn id="9475" xr3:uid="{DDBDC5BE-D03B-4970-AC3F-066D8FFB9881}" name="Column9456"/>
    <tableColumn id="9476" xr3:uid="{D96C8C25-A06A-4A14-8CF6-685134B57903}" name="Column9457"/>
    <tableColumn id="9477" xr3:uid="{9BF5D155-BD5E-4DC5-A960-C20534A9C794}" name="Column9458"/>
    <tableColumn id="9478" xr3:uid="{7F3CD729-228A-44DF-B616-4709E8E722BB}" name="Column9459"/>
    <tableColumn id="9479" xr3:uid="{82464D5C-26AD-49D0-BA53-65C0169F1BB2}" name="Column9460"/>
    <tableColumn id="9480" xr3:uid="{FC27D0D8-3A13-466D-B5F9-3AE3FB22D4BF}" name="Column9461"/>
    <tableColumn id="9481" xr3:uid="{3F374510-88A9-4D34-B423-E2278662B13E}" name="Column9462"/>
    <tableColumn id="9482" xr3:uid="{DF8F1EC5-9E9C-4A2E-9682-4C47FFFB6BB6}" name="Column9463"/>
    <tableColumn id="9483" xr3:uid="{D62EA28C-7C88-4DB7-B9D1-DADA13EA311E}" name="Column9464"/>
    <tableColumn id="9484" xr3:uid="{A1CE857B-E5BC-4BC7-9D76-CEDE1F578826}" name="Column9465"/>
    <tableColumn id="9485" xr3:uid="{72277CD5-A6E0-4158-86CA-C242625714C5}" name="Column9466"/>
    <tableColumn id="9486" xr3:uid="{76DA630D-9FF7-4DEC-88AF-EC1A8220D469}" name="Column9467"/>
    <tableColumn id="9487" xr3:uid="{133B61B1-9434-4811-ACF9-88AD9BB975D1}" name="Column9468"/>
    <tableColumn id="9488" xr3:uid="{5DA71F29-7B99-4642-AC23-BE2ADB70484D}" name="Column9469"/>
    <tableColumn id="9489" xr3:uid="{ACD6E939-1FD0-40AE-8D98-9782DD9B6A08}" name="Column9470"/>
    <tableColumn id="9490" xr3:uid="{D57F7733-27FE-45B8-940B-72D5623269EE}" name="Column9471"/>
    <tableColumn id="9491" xr3:uid="{C51129B4-A11E-4E17-B914-F3425D79A68B}" name="Column9472"/>
    <tableColumn id="9492" xr3:uid="{6209DFE1-633A-4AF8-AB7F-B83612BDEF96}" name="Column9473"/>
    <tableColumn id="9493" xr3:uid="{44AF0D75-666B-4F25-BA64-4DFB18D4DBE5}" name="Column9474"/>
    <tableColumn id="9494" xr3:uid="{8D918DBC-7E8D-4CE9-A660-48E6ACB721F9}" name="Column9475"/>
    <tableColumn id="9495" xr3:uid="{9ACDBBDC-679D-4380-9FB6-20A0A16B0426}" name="Column9476"/>
    <tableColumn id="9496" xr3:uid="{340059CE-0D5C-47ED-8A0C-15F087EE1783}" name="Column9477"/>
    <tableColumn id="9497" xr3:uid="{5A2122E4-394E-44DF-8D5B-A91F8FEEE452}" name="Column9478"/>
    <tableColumn id="9498" xr3:uid="{3C9E71EE-6A97-405C-A742-51332F669B71}" name="Column9479"/>
    <tableColumn id="9499" xr3:uid="{00D335A1-7428-4419-A9E4-F1E90B4E9E9E}" name="Column9480"/>
    <tableColumn id="9500" xr3:uid="{AFD5128C-9D2F-4FB4-B755-C1163D278B51}" name="Column9481"/>
    <tableColumn id="9501" xr3:uid="{84799CE8-6C5D-4FF0-B8A5-A8BF74E857EA}" name="Column9482"/>
    <tableColumn id="9502" xr3:uid="{C3C28DF9-1869-43AA-98E9-7A0377AB7B60}" name="Column9483"/>
    <tableColumn id="9503" xr3:uid="{63CA2C18-E6C4-4026-BEE0-5D4C10CCEA95}" name="Column9484"/>
    <tableColumn id="9504" xr3:uid="{78A6A794-98E2-4A8C-9E1E-27FB7247FDE0}" name="Column9485"/>
    <tableColumn id="9505" xr3:uid="{39C71219-28BD-4DFE-8A51-1B0A8B03439C}" name="Column9486"/>
    <tableColumn id="9506" xr3:uid="{47FB5D1E-85DB-45A9-8322-1097ECEAD331}" name="Column9487"/>
    <tableColumn id="9507" xr3:uid="{4A4891E7-D4A6-4164-B042-33760E70AB94}" name="Column9488"/>
    <tableColumn id="9508" xr3:uid="{DC376BFC-9B47-4171-8E01-62193C07D100}" name="Column9489"/>
    <tableColumn id="9509" xr3:uid="{D067E7AD-0530-4511-9B3E-A6373C5DDD56}" name="Column9490"/>
    <tableColumn id="9510" xr3:uid="{D38B9D20-1512-4DE6-87C8-3FBB817B7C18}" name="Column9491"/>
    <tableColumn id="9511" xr3:uid="{27739685-556E-4EC4-8AE4-A213BD7698C8}" name="Column9492"/>
    <tableColumn id="9512" xr3:uid="{627DE7E0-3725-4597-B890-29CE31DAA8E6}" name="Column9493"/>
    <tableColumn id="9513" xr3:uid="{2A046247-F0BC-47F9-ABF4-DF70BBEBF75E}" name="Column9494"/>
    <tableColumn id="9514" xr3:uid="{CB4B2FEF-731D-44E1-820B-6D258F964655}" name="Column9495"/>
    <tableColumn id="9515" xr3:uid="{CAB503E0-36BD-4067-891E-2BDA0E1C1E8D}" name="Column9496"/>
    <tableColumn id="9516" xr3:uid="{545B2ACA-CE9D-400A-B99A-DBF07C7B7552}" name="Column9497"/>
    <tableColumn id="9517" xr3:uid="{252DA8DF-97FD-4080-89C2-7048840E305D}" name="Column9498"/>
    <tableColumn id="9518" xr3:uid="{6522B856-0CFD-4ADF-A7C0-859B6A1003F7}" name="Column9499"/>
    <tableColumn id="9519" xr3:uid="{D0A63EF5-BF2D-423E-8BD3-363D28858115}" name="Column9500"/>
    <tableColumn id="9520" xr3:uid="{6212C026-9C5C-4147-A152-0CEB09EA2636}" name="Column9501"/>
    <tableColumn id="9521" xr3:uid="{62634FB8-2991-4180-94DB-6E82BBA447D6}" name="Column9502"/>
    <tableColumn id="9522" xr3:uid="{BF5B7B12-BE03-4AE8-A90F-B23A184106A6}" name="Column9503"/>
    <tableColumn id="9523" xr3:uid="{606FB6B3-B786-44A9-A796-DB94FB8E76BE}" name="Column9504"/>
    <tableColumn id="9524" xr3:uid="{58354F1A-3040-420A-BEB7-D78E1324E782}" name="Column9505"/>
    <tableColumn id="9525" xr3:uid="{DD3411FD-295B-4EE6-9BAB-DC2396E868F6}" name="Column9506"/>
    <tableColumn id="9526" xr3:uid="{6F8D24CC-7CEB-4CFE-9C02-EAF7E54C0F48}" name="Column9507"/>
    <tableColumn id="9527" xr3:uid="{34C5B4AB-81A6-4BE2-9991-2B98B3699739}" name="Column9508"/>
    <tableColumn id="9528" xr3:uid="{5494CF58-0B92-44BE-B509-E8EE3E0D7328}" name="Column9509"/>
    <tableColumn id="9529" xr3:uid="{7FABA28C-C968-4F0A-9405-37E7B7F72634}" name="Column9510"/>
    <tableColumn id="9530" xr3:uid="{52E90F99-8FC7-4A80-858F-714F0C491CBE}" name="Column9511"/>
    <tableColumn id="9531" xr3:uid="{4F42C18F-EBB1-4E46-9C27-3EA703A937AB}" name="Column9512"/>
    <tableColumn id="9532" xr3:uid="{1E26A9A6-CE96-4CFC-BE4A-5C80AC227522}" name="Column9513"/>
    <tableColumn id="9533" xr3:uid="{CE867D09-461F-4E83-A4C9-CE6E67D91DB1}" name="Column9514"/>
    <tableColumn id="9534" xr3:uid="{94B57EB0-AF54-4C51-ADCF-B2C77CFA6C8E}" name="Column9515"/>
    <tableColumn id="9535" xr3:uid="{6E988BB6-7DCA-470C-902D-26100671F222}" name="Column9516"/>
    <tableColumn id="9536" xr3:uid="{DBEE1B16-F9F6-4329-B06E-08CE4CC5774F}" name="Column9517"/>
    <tableColumn id="9537" xr3:uid="{BCFD00B7-0C51-4C37-AB03-435A92893724}" name="Column9518"/>
    <tableColumn id="9538" xr3:uid="{C0864266-66BA-440F-B10F-677D31CC92FF}" name="Column9519"/>
    <tableColumn id="9539" xr3:uid="{A7BEBD61-D467-484E-AE86-169F6BEDBABD}" name="Column9520"/>
    <tableColumn id="9540" xr3:uid="{176A8EF6-9E02-4E47-8A44-3821103FD9E5}" name="Column9521"/>
    <tableColumn id="9541" xr3:uid="{E0E65D74-09CE-4587-8D49-94A179F006AD}" name="Column9522"/>
    <tableColumn id="9542" xr3:uid="{9D3201DD-ABE6-485A-8C40-7685A2C66FD2}" name="Column9523"/>
    <tableColumn id="9543" xr3:uid="{69A3FD1D-E581-4D79-B7AD-09114CE2562B}" name="Column9524"/>
    <tableColumn id="9544" xr3:uid="{8A292F66-BF33-420A-BEEA-79798DA4E87A}" name="Column9525"/>
    <tableColumn id="9545" xr3:uid="{A63D2EB7-8AC2-4195-A88E-EE08DA4745B4}" name="Column9526"/>
    <tableColumn id="9546" xr3:uid="{0C96911A-9ABE-4AFB-A1CF-C30B0578686F}" name="Column9527"/>
    <tableColumn id="9547" xr3:uid="{82065586-EAF2-4E1D-B5CC-3DE2DC74F63C}" name="Column9528"/>
    <tableColumn id="9548" xr3:uid="{EA67E03F-28B1-4C0E-A4DB-80A82BEA0879}" name="Column9529"/>
    <tableColumn id="9549" xr3:uid="{73711757-330D-4D41-8C5B-81ED68EA993B}" name="Column9530"/>
    <tableColumn id="9550" xr3:uid="{82A79B1F-C235-4939-83E7-876BADA39549}" name="Column9531"/>
    <tableColumn id="9551" xr3:uid="{0B8043F8-459E-4AE7-9302-426926F7D7DD}" name="Column9532"/>
    <tableColumn id="9552" xr3:uid="{DA147DB4-6F1F-4358-B817-28943E0D3751}" name="Column9533"/>
    <tableColumn id="9553" xr3:uid="{7BD8560B-1122-4364-8B7E-948601F1CADC}" name="Column9534"/>
    <tableColumn id="9554" xr3:uid="{177E60CD-ECB0-4AEB-8676-69E514A7CA96}" name="Column9535"/>
    <tableColumn id="9555" xr3:uid="{274FC64C-18BC-4F39-B623-1DEA0387B7C9}" name="Column9536"/>
    <tableColumn id="9556" xr3:uid="{8906F519-56E6-440E-87BF-DFE94D36CA39}" name="Column9537"/>
    <tableColumn id="9557" xr3:uid="{D4E43111-246C-4349-8413-AF629F56C876}" name="Column9538"/>
    <tableColumn id="9558" xr3:uid="{121DF193-AD52-408C-B42D-631089B12AD3}" name="Column9539"/>
    <tableColumn id="9559" xr3:uid="{D68B4693-3445-4B65-ACF3-6AC986E97A75}" name="Column9540"/>
    <tableColumn id="9560" xr3:uid="{6B658CE2-F613-4F88-BEE4-9C7907DB2CE7}" name="Column9541"/>
    <tableColumn id="9561" xr3:uid="{13AA1220-2C1E-400C-BC26-8ADD02E2907F}" name="Column9542"/>
    <tableColumn id="9562" xr3:uid="{23C1F5B2-DFBB-49AB-8AC5-67ADF0963154}" name="Column9543"/>
    <tableColumn id="9563" xr3:uid="{F8ABF561-7659-4524-9B83-8CF6128F0B87}" name="Column9544"/>
    <tableColumn id="9564" xr3:uid="{BF3EABE4-926E-4BF6-BA8E-891F3D833F24}" name="Column9545"/>
    <tableColumn id="9565" xr3:uid="{4E631C78-58AB-4F4E-B603-7C0D30BDEE14}" name="Column9546"/>
    <tableColumn id="9566" xr3:uid="{F2654C48-AD2C-4F16-8004-4E1D10D92607}" name="Column9547"/>
    <tableColumn id="9567" xr3:uid="{371063F4-E3E0-4CDA-876B-5F34AF491C83}" name="Column9548"/>
    <tableColumn id="9568" xr3:uid="{7826D1F0-3151-47C9-881E-B4B4BC2837C1}" name="Column9549"/>
    <tableColumn id="9569" xr3:uid="{89C863C9-E8DA-4AA9-B81F-AE81AB3CC224}" name="Column9550"/>
    <tableColumn id="9570" xr3:uid="{9723C2C2-F358-44B9-BD1A-538473487AF2}" name="Column9551"/>
    <tableColumn id="9571" xr3:uid="{AD58573C-8988-46D5-9C4A-A458F57BDDD5}" name="Column9552"/>
    <tableColumn id="9572" xr3:uid="{23FBD6E5-1762-4709-BB8E-B644F0F6EB49}" name="Column9553"/>
    <tableColumn id="9573" xr3:uid="{BE38BB0D-E2A0-4D97-A3F6-EE069077E3FB}" name="Column9554"/>
    <tableColumn id="9574" xr3:uid="{62EE5451-AA09-4C79-8D3A-04F9CDCF9456}" name="Column9555"/>
    <tableColumn id="9575" xr3:uid="{8F53E2D1-14C6-4716-BBE2-99D8CA18EA76}" name="Column9556"/>
    <tableColumn id="9576" xr3:uid="{DD4DDB78-4B59-4D50-80F1-10B19AA32BD1}" name="Column9557"/>
    <tableColumn id="9577" xr3:uid="{0E588D38-7B3A-4648-BA9E-CB968ADE0111}" name="Column9558"/>
    <tableColumn id="9578" xr3:uid="{9EF9FE0B-7FE1-496B-8BE5-BC563FADF7D5}" name="Column9559"/>
    <tableColumn id="9579" xr3:uid="{120D4043-1BF9-4FB3-9870-319988E3044B}" name="Column9560"/>
    <tableColumn id="9580" xr3:uid="{83A541F7-B1AC-4E05-BBFF-8BEE9625909A}" name="Column9561"/>
    <tableColumn id="9581" xr3:uid="{D6C1C8D8-FCFF-4B02-B543-339C738F5428}" name="Column9562"/>
    <tableColumn id="9582" xr3:uid="{A533D85B-13CE-428C-A03E-147DA7166297}" name="Column9563"/>
    <tableColumn id="9583" xr3:uid="{98033CA3-5A4C-4B66-86F6-B39E1C5CC590}" name="Column9564"/>
    <tableColumn id="9584" xr3:uid="{F2722442-DD94-4AC5-9B4C-4DE92BD8CF72}" name="Column9565"/>
    <tableColumn id="9585" xr3:uid="{9A707854-2631-4D4B-9D36-5FEC04006F7C}" name="Column9566"/>
    <tableColumn id="9586" xr3:uid="{E741B4DF-6018-4C22-9C3D-E024FD6F1C0D}" name="Column9567"/>
    <tableColumn id="9587" xr3:uid="{917E425B-A17C-4332-A810-2765BF57EC68}" name="Column9568"/>
    <tableColumn id="9588" xr3:uid="{A7AF4F87-15BE-4A76-81D8-CB0B5FF07BE4}" name="Column9569"/>
    <tableColumn id="9589" xr3:uid="{A7944419-54BF-49BE-A4AF-D1AA2AB3CCC6}" name="Column9570"/>
    <tableColumn id="9590" xr3:uid="{D74F1E1C-54D8-4377-ABC3-6A4606648418}" name="Column9571"/>
    <tableColumn id="9591" xr3:uid="{26D9AB93-7070-4059-832A-E04EEB71EBED}" name="Column9572"/>
    <tableColumn id="9592" xr3:uid="{53D0A61F-9C3B-48EF-92C2-1ADB4DE3EA7E}" name="Column9573"/>
    <tableColumn id="9593" xr3:uid="{0CFCF6B6-9AC2-4F5E-9925-3A46196E9716}" name="Column9574"/>
    <tableColumn id="9594" xr3:uid="{60A0F23F-307C-49DE-A9BF-A4597304775B}" name="Column9575"/>
    <tableColumn id="9595" xr3:uid="{1258C642-8C77-4167-878D-ADB455987394}" name="Column9576"/>
    <tableColumn id="9596" xr3:uid="{5829010B-F67B-40B3-A244-3CCD53306CA1}" name="Column9577"/>
    <tableColumn id="9597" xr3:uid="{45E55461-C09A-430B-A8F0-5F00652CBF71}" name="Column9578"/>
    <tableColumn id="9598" xr3:uid="{A890FE19-8D1C-409B-8CF3-4E82CE567347}" name="Column9579"/>
    <tableColumn id="9599" xr3:uid="{8D5B5941-0C05-4BA3-A1A3-DAD3C5AF1C5E}" name="Column9580"/>
    <tableColumn id="9600" xr3:uid="{86866000-C0F4-4845-8883-F601ADBCDB8D}" name="Column9581"/>
    <tableColumn id="9601" xr3:uid="{61E7111E-1F29-4EA0-89A2-C5ADF6ECF863}" name="Column9582"/>
    <tableColumn id="9602" xr3:uid="{CF7DD8B7-850F-4ADA-97EC-BB53CC957894}" name="Column9583"/>
    <tableColumn id="9603" xr3:uid="{54BBD9E2-4272-465E-A465-ECF0A75483B3}" name="Column9584"/>
    <tableColumn id="9604" xr3:uid="{FF8861FE-F273-4E0D-908E-3D75888D10C5}" name="Column9585"/>
    <tableColumn id="9605" xr3:uid="{B7669ADC-E9D8-4887-B0D3-9FA304B0A6AD}" name="Column9586"/>
    <tableColumn id="9606" xr3:uid="{0AB73F47-024E-4CBE-9954-B8726FC6365E}" name="Column9587"/>
    <tableColumn id="9607" xr3:uid="{1DEBB55D-9674-4694-9736-DC72D8701977}" name="Column9588"/>
    <tableColumn id="9608" xr3:uid="{4288A242-C921-448E-93A4-D5958D11B4D8}" name="Column9589"/>
    <tableColumn id="9609" xr3:uid="{C8EE5B25-8771-4CBE-AB29-0773BCDA66AF}" name="Column9590"/>
    <tableColumn id="9610" xr3:uid="{B981795D-0261-4BA4-B827-6DF1FEA62C10}" name="Column9591"/>
    <tableColumn id="9611" xr3:uid="{5F2A6D85-59DC-4CD2-A382-4BDD92465ADC}" name="Column9592"/>
    <tableColumn id="9612" xr3:uid="{56A65238-185A-4262-BC28-04A1D6D3FE46}" name="Column9593"/>
    <tableColumn id="9613" xr3:uid="{4D01FC95-35D9-49E8-B11D-39310BFB6E06}" name="Column9594"/>
    <tableColumn id="9614" xr3:uid="{911CDB79-6C3C-4D0C-8EBA-51127F54A718}" name="Column9595"/>
    <tableColumn id="9615" xr3:uid="{D3B303B0-575A-412B-B015-AFE0C55A027D}" name="Column9596"/>
    <tableColumn id="9616" xr3:uid="{0B4CDABC-DAD2-4232-B07B-C03FB2A9C516}" name="Column9597"/>
    <tableColumn id="9617" xr3:uid="{7B8C1107-1183-4E4A-97C1-9143F61DDD2F}" name="Column9598"/>
    <tableColumn id="9618" xr3:uid="{3E0C6779-31FF-4657-BF00-7ECA1CA7B47A}" name="Column9599"/>
    <tableColumn id="9619" xr3:uid="{6BBF437E-8394-4B30-B258-00E49E7D6F21}" name="Column9600"/>
    <tableColumn id="9620" xr3:uid="{4343F973-1983-4873-B7F5-9C74CBD37327}" name="Column9601"/>
    <tableColumn id="9621" xr3:uid="{0C1B2724-6E90-490F-8614-8B740E47FEAC}" name="Column9602"/>
    <tableColumn id="9622" xr3:uid="{33D863B7-0B07-462C-9393-C86A43BBFA69}" name="Column9603"/>
    <tableColumn id="9623" xr3:uid="{FF9EDB4B-0AD7-4B76-A9E0-3DC19D3D62C6}" name="Column9604"/>
    <tableColumn id="9624" xr3:uid="{C3A989C5-B478-4C8E-B8FD-A5DABE0F65D9}" name="Column9605"/>
    <tableColumn id="9625" xr3:uid="{2D19F1DA-C44D-43E0-9277-CFF93C8F26B3}" name="Column9606"/>
    <tableColumn id="9626" xr3:uid="{DDEBACC2-E8F9-41A8-BF95-A692F66E217E}" name="Column9607"/>
    <tableColumn id="9627" xr3:uid="{583A76B8-5163-480D-AF2C-0E5670699E90}" name="Column9608"/>
    <tableColumn id="9628" xr3:uid="{8596DFEB-1F07-423A-8668-943112D18482}" name="Column9609"/>
    <tableColumn id="9629" xr3:uid="{EA2DA0CF-E175-4AC5-8BC2-368E1DC97BAF}" name="Column9610"/>
    <tableColumn id="9630" xr3:uid="{165BCBC3-924C-4569-AD1F-152C4E7BDA07}" name="Column9611"/>
    <tableColumn id="9631" xr3:uid="{EA0C8CBF-B599-46FB-8992-1F950A334796}" name="Column9612"/>
    <tableColumn id="9632" xr3:uid="{E44322E5-5055-443D-BEAB-6C41F5D72F36}" name="Column9613"/>
    <tableColumn id="9633" xr3:uid="{36C1D08A-24BA-4E1E-A1A4-7B3BD059E213}" name="Column9614"/>
    <tableColumn id="9634" xr3:uid="{93D0657A-5978-4557-A1C7-67976C598EB6}" name="Column9615"/>
    <tableColumn id="9635" xr3:uid="{A38B304B-CD42-43E8-89A0-5A4E8E59B8F7}" name="Column9616"/>
    <tableColumn id="9636" xr3:uid="{863C1589-983D-4BA8-BC28-F047E539D0F6}" name="Column9617"/>
    <tableColumn id="9637" xr3:uid="{1FE86699-DD16-490C-9916-7CBC28CB52F1}" name="Column9618"/>
    <tableColumn id="9638" xr3:uid="{892B6C09-08E8-4ACE-A945-63BF485CCD3D}" name="Column9619"/>
    <tableColumn id="9639" xr3:uid="{E05BFB20-BA62-4AE4-9054-28841EC3C7A9}" name="Column9620"/>
    <tableColumn id="9640" xr3:uid="{F2F5F618-EF3E-48FB-8983-201A55A292B8}" name="Column9621"/>
    <tableColumn id="9641" xr3:uid="{EC79D07F-7E5A-4C75-A1E4-B5BA23873322}" name="Column9622"/>
    <tableColumn id="9642" xr3:uid="{E830A527-E1E0-40DC-B164-B013EDB2CF2B}" name="Column9623"/>
    <tableColumn id="9643" xr3:uid="{FF11D171-D80A-4FFC-8C3B-2210D030AB72}" name="Column9624"/>
    <tableColumn id="9644" xr3:uid="{BF1213CC-6A0F-434F-85BA-630CCB3A4227}" name="Column9625"/>
    <tableColumn id="9645" xr3:uid="{919B1D5C-58B4-4B4B-9EA9-E27ED1BF663C}" name="Column9626"/>
    <tableColumn id="9646" xr3:uid="{ABFA5F50-6D8D-4FCE-8CAE-7A23F258EA04}" name="Column9627"/>
    <tableColumn id="9647" xr3:uid="{FA0AF581-159F-44A4-A873-8D110EC1D86D}" name="Column9628"/>
    <tableColumn id="9648" xr3:uid="{249F65E6-E266-46B1-8511-A98CA9F2C9D7}" name="Column9629"/>
    <tableColumn id="9649" xr3:uid="{6408A252-11BD-4207-B4E5-DC9C439C5BE0}" name="Column9630"/>
    <tableColumn id="9650" xr3:uid="{55093A1F-237D-4F19-B84F-F664B66540C4}" name="Column9631"/>
    <tableColumn id="9651" xr3:uid="{FB50A0E9-92BD-4579-B3E6-3966369A9A20}" name="Column9632"/>
    <tableColumn id="9652" xr3:uid="{F94F986C-AB3E-4FE9-A5FF-B96CA0847C79}" name="Column9633"/>
    <tableColumn id="9653" xr3:uid="{8640F12B-F66F-4D68-BA44-6575519F9FD4}" name="Column9634"/>
    <tableColumn id="9654" xr3:uid="{7FA85718-631D-4656-875B-0FCC417140F7}" name="Column9635"/>
    <tableColumn id="9655" xr3:uid="{EBA4B8AD-A2EA-48E6-BB26-8C9D7AA33993}" name="Column9636"/>
    <tableColumn id="9656" xr3:uid="{8B636959-87B8-4BFD-ABC9-12642C622762}" name="Column9637"/>
    <tableColumn id="9657" xr3:uid="{DA99A6F4-7245-4B34-A57B-776D9DFE2FDE}" name="Column9638"/>
    <tableColumn id="9658" xr3:uid="{63BE08B2-3A03-4623-88BF-B92155B8ECB2}" name="Column9639"/>
    <tableColumn id="9659" xr3:uid="{AF9E7C52-3CBB-4B5A-845D-E77555541F62}" name="Column9640"/>
    <tableColumn id="9660" xr3:uid="{003C0B72-85E5-4EAC-BE73-A270A32B8DD1}" name="Column9641"/>
    <tableColumn id="9661" xr3:uid="{BC9DB9BE-5DE9-49A9-9AA2-74465E84CA2A}" name="Column9642"/>
    <tableColumn id="9662" xr3:uid="{97AD3B82-AD65-4561-B177-C41B33CEA3FF}" name="Column9643"/>
    <tableColumn id="9663" xr3:uid="{076F37D6-2C6F-48EF-89B0-FD00EB0952FA}" name="Column9644"/>
    <tableColumn id="9664" xr3:uid="{75304E8F-8CA9-47C6-8349-3F2564D2E644}" name="Column9645"/>
    <tableColumn id="9665" xr3:uid="{457DAD50-79BF-4E01-9208-0D97575C6693}" name="Column9646"/>
    <tableColumn id="9666" xr3:uid="{71E9855A-C5BD-4DC2-8D4E-8CE99F517997}" name="Column9647"/>
    <tableColumn id="9667" xr3:uid="{6615C71B-E006-4CED-B9E9-159B8CA5F120}" name="Column9648"/>
    <tableColumn id="9668" xr3:uid="{D8DC8EEB-481C-4E70-B9D9-FF9B04E815D8}" name="Column9649"/>
    <tableColumn id="9669" xr3:uid="{2FCCF19A-4F30-434A-99CB-DE85602334C0}" name="Column9650"/>
    <tableColumn id="9670" xr3:uid="{56BB414A-CAA9-48D2-AA95-20C549ACB59E}" name="Column9651"/>
    <tableColumn id="9671" xr3:uid="{BC1EBFEC-57E0-4906-9F1A-A4C38EDBE3FA}" name="Column9652"/>
    <tableColumn id="9672" xr3:uid="{2C27FEBB-4D61-4E2C-9917-33C6DE988B6E}" name="Column9653"/>
    <tableColumn id="9673" xr3:uid="{830B715F-171F-47F2-82CA-0E8194DB40A3}" name="Column9654"/>
    <tableColumn id="9674" xr3:uid="{93C8C483-852D-46A8-9663-5304FC2BC0F9}" name="Column9655"/>
    <tableColumn id="9675" xr3:uid="{5207DA0E-599F-4B29-A4E0-5153864A78E9}" name="Column9656"/>
    <tableColumn id="9676" xr3:uid="{D3D2C20E-24B6-4851-A1C4-29713D58C865}" name="Column9657"/>
    <tableColumn id="9677" xr3:uid="{AFF5D5DF-C578-47F9-B7D9-3DC50FCC004B}" name="Column9658"/>
    <tableColumn id="9678" xr3:uid="{6B21817C-2152-4B97-8813-AB810E51F4B0}" name="Column9659"/>
    <tableColumn id="9679" xr3:uid="{225A58C8-222B-4228-B11B-03BCE5088265}" name="Column9660"/>
    <tableColumn id="9680" xr3:uid="{FEB82C9A-F4BD-40C8-9449-9AD2CF24ABE3}" name="Column9661"/>
    <tableColumn id="9681" xr3:uid="{24B663E1-E673-432A-8540-298C9C56AFF0}" name="Column9662"/>
    <tableColumn id="9682" xr3:uid="{5142D40F-2EB6-4ACC-85D8-2B556054ED5C}" name="Column9663"/>
    <tableColumn id="9683" xr3:uid="{FE0554C0-DC67-4206-B701-8097092C1B5F}" name="Column9664"/>
    <tableColumn id="9684" xr3:uid="{8B7E209D-4420-48BA-B31A-C32B0CF22F54}" name="Column9665"/>
    <tableColumn id="9685" xr3:uid="{26A89D1C-7B81-4E37-8B8E-4F7FEC4C71FF}" name="Column9666"/>
    <tableColumn id="9686" xr3:uid="{5F80F4FA-65FB-4F09-B6FF-CB3879498E38}" name="Column9667"/>
    <tableColumn id="9687" xr3:uid="{2509C6AB-3CC6-40CC-8F78-A4115F1BB795}" name="Column9668"/>
    <tableColumn id="9688" xr3:uid="{CBBD5EA3-0342-4B21-8879-0C2B54B5CE17}" name="Column9669"/>
    <tableColumn id="9689" xr3:uid="{29AB435C-19CF-439D-98BF-647281FAC180}" name="Column9670"/>
    <tableColumn id="9690" xr3:uid="{E7B4E6FD-176C-4CF4-B4FB-B30A6FBDC670}" name="Column9671"/>
    <tableColumn id="9691" xr3:uid="{BD9E9663-02F0-4503-8EA9-9FCFA1B3F584}" name="Column9672"/>
    <tableColumn id="9692" xr3:uid="{801E972A-7C26-4738-BFB8-3CF490ECA827}" name="Column9673"/>
    <tableColumn id="9693" xr3:uid="{7F90681C-0784-4F16-A5E7-A7B563550B03}" name="Column9674"/>
    <tableColumn id="9694" xr3:uid="{83E5A19F-E49C-4C38-A028-CB74E6F93ADD}" name="Column9675"/>
    <tableColumn id="9695" xr3:uid="{70D681CE-9C35-45D8-A0E2-87A6FBE06D94}" name="Column9676"/>
    <tableColumn id="9696" xr3:uid="{DBD7EE50-62FD-43CF-8B6D-8DF9A5958BFA}" name="Column9677"/>
    <tableColumn id="9697" xr3:uid="{AF752661-566C-447E-881E-86519A243F01}" name="Column9678"/>
    <tableColumn id="9698" xr3:uid="{915BD279-C75E-4899-9EEA-5E2AE83F2732}" name="Column9679"/>
    <tableColumn id="9699" xr3:uid="{E3B4E6F7-AFEA-428E-B4A2-2CB526F50000}" name="Column9680"/>
    <tableColumn id="9700" xr3:uid="{44C2E32A-4C55-49A7-AE82-08778EC218F2}" name="Column9681"/>
    <tableColumn id="9701" xr3:uid="{A69E3088-CB9D-4CC1-B13B-CC9E49498A43}" name="Column9682"/>
    <tableColumn id="9702" xr3:uid="{3A605749-13C7-49E1-AEF6-FC4DDC4C1B2F}" name="Column9683"/>
    <tableColumn id="9703" xr3:uid="{A15DDD20-7624-4D98-94BF-29CC946F3E24}" name="Column9684"/>
    <tableColumn id="9704" xr3:uid="{FEBA48F6-4A6D-4F64-9722-BB69CB040D9A}" name="Column9685"/>
    <tableColumn id="9705" xr3:uid="{C7DDE0CD-2563-45BF-B59F-DD2A42D4A07A}" name="Column9686"/>
    <tableColumn id="9706" xr3:uid="{A480BC3F-FA7B-4691-8248-A05EC0672D39}" name="Column9687"/>
    <tableColumn id="9707" xr3:uid="{771C5561-F125-4A88-BDA4-8F9805C1F9D3}" name="Column9688"/>
    <tableColumn id="9708" xr3:uid="{58FCBFD0-406E-4025-BB8B-A4EB84814986}" name="Column9689"/>
    <tableColumn id="9709" xr3:uid="{92CF2E7C-C917-4437-8942-29B7656522E0}" name="Column9690"/>
    <tableColumn id="9710" xr3:uid="{D0E06021-88B5-4672-9ACE-31E3C68C402F}" name="Column9691"/>
    <tableColumn id="9711" xr3:uid="{13FC082B-CBB9-4B8A-A0CB-8DF8D6E082FF}" name="Column9692"/>
    <tableColumn id="9712" xr3:uid="{A7782C2D-C86C-4621-916C-5EBB81844B05}" name="Column9693"/>
    <tableColumn id="9713" xr3:uid="{2880C85A-032B-42BC-90BD-2F609AA7ED80}" name="Column9694"/>
    <tableColumn id="9714" xr3:uid="{4872DD6D-2F1D-4D17-BB6E-8B8630E7D03D}" name="Column9695"/>
    <tableColumn id="9715" xr3:uid="{1C1C23BC-A187-4004-A6C4-432C3A995C1B}" name="Column9696"/>
    <tableColumn id="9716" xr3:uid="{61DF8FDF-49EF-4B6A-B9B7-E48BD028AECD}" name="Column9697"/>
    <tableColumn id="9717" xr3:uid="{6549394F-4DDB-4494-9858-A899EB8A4880}" name="Column9698"/>
    <tableColumn id="9718" xr3:uid="{7444F4E9-BBF2-4596-B153-6D35A1E3AFCA}" name="Column9699"/>
    <tableColumn id="9719" xr3:uid="{848BBAC0-D1E0-4401-A8E9-B1FCE649C0CD}" name="Column9700"/>
    <tableColumn id="9720" xr3:uid="{E9261DBE-471B-4200-A70D-5B1E4C73AE6D}" name="Column9701"/>
    <tableColumn id="9721" xr3:uid="{5351F439-0B53-4B36-B21A-6B08B344508A}" name="Column9702"/>
    <tableColumn id="9722" xr3:uid="{24D6FFB2-1B03-47D7-A374-8F9D7003636F}" name="Column9703"/>
    <tableColumn id="9723" xr3:uid="{F8307672-2DAB-4985-BE46-7663CB8B4EDD}" name="Column9704"/>
    <tableColumn id="9724" xr3:uid="{29E0C56D-CEB2-4A28-89C9-C0396B005BA3}" name="Column9705"/>
    <tableColumn id="9725" xr3:uid="{7DCDC0DE-56AF-4447-81C8-FC61B57FA35C}" name="Column9706"/>
    <tableColumn id="9726" xr3:uid="{0CF88D7D-AC15-45C3-9C5E-7A4C27058E0C}" name="Column9707"/>
    <tableColumn id="9727" xr3:uid="{E02E3A51-A829-4B9A-ACC8-FC238A5CCC7B}" name="Column9708"/>
    <tableColumn id="9728" xr3:uid="{91A1DD2F-1A2A-4415-BDC9-8DBB29A38681}" name="Column9709"/>
    <tableColumn id="9729" xr3:uid="{B7C67B21-F4EC-4CD0-B7B6-474ADCA50DF7}" name="Column9710"/>
    <tableColumn id="9730" xr3:uid="{031946CF-6B14-4FF8-89C6-6BDCD9EFD738}" name="Column9711"/>
    <tableColumn id="9731" xr3:uid="{DD2702EB-B2BD-445A-8B84-054452A80C66}" name="Column9712"/>
    <tableColumn id="9732" xr3:uid="{C6A8F148-F750-4424-93CC-A4BCED133FCD}" name="Column9713"/>
    <tableColumn id="9733" xr3:uid="{19AC4BD7-784A-4B29-9FEC-4510E5B4AEB4}" name="Column9714"/>
    <tableColumn id="9734" xr3:uid="{EED8638C-3EB0-41DD-9A1E-A35A5604A6D9}" name="Column9715"/>
    <tableColumn id="9735" xr3:uid="{D32A144B-1F2D-467B-87D9-4719663E9975}" name="Column9716"/>
    <tableColumn id="9736" xr3:uid="{7C177118-BE83-4236-8359-0CFE9CFD66F1}" name="Column9717"/>
    <tableColumn id="9737" xr3:uid="{58ED314E-A500-4514-B768-7C22D9878A94}" name="Column9718"/>
    <tableColumn id="9738" xr3:uid="{55B623AA-36FA-40BB-AC4C-137E0E46449E}" name="Column9719"/>
    <tableColumn id="9739" xr3:uid="{E26B32D4-1FCD-4939-A080-B36AEE09B5DE}" name="Column9720"/>
    <tableColumn id="9740" xr3:uid="{80EDC5A9-E523-47FD-BBC6-833207A03763}" name="Column9721"/>
    <tableColumn id="9741" xr3:uid="{42A27FC4-7988-4BA1-9CCE-A929725F8643}" name="Column9722"/>
    <tableColumn id="9742" xr3:uid="{59BE4197-9BEB-4BE5-9353-BDB7CAA0B765}" name="Column9723"/>
    <tableColumn id="9743" xr3:uid="{29C38DBF-6A94-4366-818C-E45E8AF9507E}" name="Column9724"/>
    <tableColumn id="9744" xr3:uid="{F488D477-693D-4B3A-94B7-E888736BD092}" name="Column9725"/>
    <tableColumn id="9745" xr3:uid="{32531F41-B6C4-406B-A3A4-6ABA44981DC6}" name="Column9726"/>
    <tableColumn id="9746" xr3:uid="{BB82EC34-A931-4229-8CD5-3E1AFB86E7A8}" name="Column9727"/>
    <tableColumn id="9747" xr3:uid="{2E2F2A67-B734-404D-95F3-28706DA17C52}" name="Column9728"/>
    <tableColumn id="9748" xr3:uid="{A27810B8-0070-4C3D-ADE2-2087C1FF02CF}" name="Column9729"/>
    <tableColumn id="9749" xr3:uid="{9F42CB58-4C08-42CC-821E-B7362980BC25}" name="Column9730"/>
    <tableColumn id="9750" xr3:uid="{EA6B381E-7A3B-4FF7-A267-925C7A6C7600}" name="Column9731"/>
    <tableColumn id="9751" xr3:uid="{8A649D44-39D4-4792-BCC8-51D79D1481F9}" name="Column9732"/>
    <tableColumn id="9752" xr3:uid="{BFF295F0-9A9F-4206-8872-07F6CEB691C0}" name="Column9733"/>
    <tableColumn id="9753" xr3:uid="{512B533E-FFCD-4182-93EE-7C3188383A9B}" name="Column9734"/>
    <tableColumn id="9754" xr3:uid="{CDAC7A5D-35A1-45FB-A235-5228E3223637}" name="Column9735"/>
    <tableColumn id="9755" xr3:uid="{BFD88ED0-BBE0-4D70-B329-6978F0610149}" name="Column9736"/>
    <tableColumn id="9756" xr3:uid="{16A4B8EC-37A2-4A24-9047-D1ADEA66D693}" name="Column9737"/>
    <tableColumn id="9757" xr3:uid="{19AA2A86-D9F6-44D2-B5AC-2201DD094475}" name="Column9738"/>
    <tableColumn id="9758" xr3:uid="{11670B6E-405C-4220-A0F9-64BBE9348341}" name="Column9739"/>
    <tableColumn id="9759" xr3:uid="{2D3F9E40-95C1-4769-AEB4-5A1DA49C47C3}" name="Column9740"/>
    <tableColumn id="9760" xr3:uid="{0CD3BB20-EBA5-46C5-861F-A7453FF4F449}" name="Column9741"/>
    <tableColumn id="9761" xr3:uid="{2C37C59F-D9F7-46EE-A197-043E335C6A90}" name="Column9742"/>
    <tableColumn id="9762" xr3:uid="{532407E9-F498-4C2F-B812-FEA081A30E9F}" name="Column9743"/>
    <tableColumn id="9763" xr3:uid="{6B519139-7917-4B08-97C2-1BE7D0398F91}" name="Column9744"/>
    <tableColumn id="9764" xr3:uid="{8453988B-679C-44BD-ADA6-D2E2DE3992FD}" name="Column9745"/>
    <tableColumn id="9765" xr3:uid="{45C2D47D-66D7-446D-A8BC-DF2AE8FF01D4}" name="Column9746"/>
    <tableColumn id="9766" xr3:uid="{FE111C50-DC90-4416-8D02-9E94A70DC085}" name="Column9747"/>
    <tableColumn id="9767" xr3:uid="{EB2ADF29-180C-4545-9E6B-0E17CD9DF848}" name="Column9748"/>
    <tableColumn id="9768" xr3:uid="{9883E1C2-8A3A-4186-A159-2F95E11705C3}" name="Column9749"/>
    <tableColumn id="9769" xr3:uid="{CE2C503A-D35A-43F0-8996-16C95AF979CC}" name="Column9750"/>
    <tableColumn id="9770" xr3:uid="{273E4D0F-910D-4C25-AF3C-F43EFEA3D121}" name="Column9751"/>
    <tableColumn id="9771" xr3:uid="{BE73F5E0-0A6D-4A02-BE4A-82975DCFDA0E}" name="Column9752"/>
    <tableColumn id="9772" xr3:uid="{5D146002-600E-409B-ABAF-587A484BC791}" name="Column9753"/>
    <tableColumn id="9773" xr3:uid="{713E0C88-0810-4405-955D-6E60F154DA8F}" name="Column9754"/>
    <tableColumn id="9774" xr3:uid="{648355F0-77FF-4FC4-83D6-EAD5D905D170}" name="Column9755"/>
    <tableColumn id="9775" xr3:uid="{692F4B7D-D66A-43C6-829A-0E88EEF9BF44}" name="Column9756"/>
    <tableColumn id="9776" xr3:uid="{AE51005F-A9CA-4544-8C5E-BA0FF2C1998B}" name="Column9757"/>
    <tableColumn id="9777" xr3:uid="{DF979822-D390-4EC7-9991-3AD08A9085FB}" name="Column9758"/>
    <tableColumn id="9778" xr3:uid="{9ECEFCF8-1097-48E1-A51A-A1CA46443089}" name="Column9759"/>
    <tableColumn id="9779" xr3:uid="{00D9E0E6-5EB3-40E5-B289-49616B8F7755}" name="Column9760"/>
    <tableColumn id="9780" xr3:uid="{76F4DB71-4A35-43F9-8171-72075D8115CC}" name="Column9761"/>
    <tableColumn id="9781" xr3:uid="{4E2B3BDB-5587-4F80-97CE-10ACB3EF9856}" name="Column9762"/>
    <tableColumn id="9782" xr3:uid="{154EB498-ACF0-4272-9CB3-D6120A7C164A}" name="Column9763"/>
    <tableColumn id="9783" xr3:uid="{9A153CBD-E8B4-4944-83E1-0CF67E69701F}" name="Column9764"/>
    <tableColumn id="9784" xr3:uid="{D7BAF959-4EFC-48D0-894A-F04DE50DBA5B}" name="Column9765"/>
    <tableColumn id="9785" xr3:uid="{A5C87D42-60DA-4CD7-AA98-1246AF881EDE}" name="Column9766"/>
    <tableColumn id="9786" xr3:uid="{EB5025C6-0C5C-4AFD-8C41-61440556C8BD}" name="Column9767"/>
    <tableColumn id="9787" xr3:uid="{E7CCAE03-F992-486C-8885-4BC4EECD0CBD}" name="Column9768"/>
    <tableColumn id="9788" xr3:uid="{18039317-E1B4-40EE-A80B-1C648E0D03C5}" name="Column9769"/>
    <tableColumn id="9789" xr3:uid="{99FF5CB4-9001-4785-B7E4-C19867173100}" name="Column9770"/>
    <tableColumn id="9790" xr3:uid="{6748189F-F046-4D26-8853-37270D0B5265}" name="Column9771"/>
    <tableColumn id="9791" xr3:uid="{D1DCFAA9-758A-482C-AC3D-25349484E481}" name="Column9772"/>
    <tableColumn id="9792" xr3:uid="{F371C69D-0A03-4308-A658-21E9C1A37B0F}" name="Column9773"/>
    <tableColumn id="9793" xr3:uid="{9B6F4F2F-54A5-4171-A676-7AC4B6E64CF0}" name="Column9774"/>
    <tableColumn id="9794" xr3:uid="{5EF16405-848B-444F-9F7D-ACAA14F578F5}" name="Column9775"/>
    <tableColumn id="9795" xr3:uid="{D4F7D357-200D-48B1-9FEA-0C12B2F4471B}" name="Column9776"/>
    <tableColumn id="9796" xr3:uid="{BBD6AE2C-3217-4433-960D-6C3E04EB9CEE}" name="Column9777"/>
    <tableColumn id="9797" xr3:uid="{A599324B-EDC8-480E-BF36-1C9584C6C4A9}" name="Column9778"/>
    <tableColumn id="9798" xr3:uid="{8B355C26-D235-43CB-B5F3-10BDB144D988}" name="Column9779"/>
    <tableColumn id="9799" xr3:uid="{279BACB0-ACA3-4429-983C-10CD29A29C29}" name="Column9780"/>
    <tableColumn id="9800" xr3:uid="{A0F95342-4DE6-421C-AC12-44A825309AED}" name="Column9781"/>
    <tableColumn id="9801" xr3:uid="{F50C325E-CAD6-4D4C-BB75-CD2D429272F8}" name="Column9782"/>
    <tableColumn id="9802" xr3:uid="{B70D93CA-BF71-4CDE-8D93-89F7AE39DB66}" name="Column9783"/>
    <tableColumn id="9803" xr3:uid="{6D239919-0DD0-4897-BF7B-74A762455AC7}" name="Column9784"/>
    <tableColumn id="9804" xr3:uid="{9E19B7DE-0709-4B94-9B13-75B8A56623A8}" name="Column9785"/>
    <tableColumn id="9805" xr3:uid="{D729A29F-6054-41CB-BA3F-0DB29E382E39}" name="Column9786"/>
    <tableColumn id="9806" xr3:uid="{AD2B11D2-08E9-4608-8CD6-AA0E894CC045}" name="Column9787"/>
    <tableColumn id="9807" xr3:uid="{B32CB2F8-3AE6-4480-95DD-D307E3C3DD9F}" name="Column9788"/>
    <tableColumn id="9808" xr3:uid="{296AF6FF-BD3C-4B0B-A64C-09604BCDAEDD}" name="Column9789"/>
    <tableColumn id="9809" xr3:uid="{5F78EDD2-09B3-4021-A41C-313CE382DB95}" name="Column9790"/>
    <tableColumn id="9810" xr3:uid="{301D44D0-CBF0-461A-8E54-C5F9E3C38B98}" name="Column9791"/>
    <tableColumn id="9811" xr3:uid="{B46624EA-5118-4749-8044-2E8A65E2A697}" name="Column9792"/>
    <tableColumn id="9812" xr3:uid="{39EB09C6-C48D-4081-A7D1-3B543567F078}" name="Column9793"/>
    <tableColumn id="9813" xr3:uid="{7ED7E66F-BC4F-4359-ABFA-C9B3622E2F48}" name="Column9794"/>
    <tableColumn id="9814" xr3:uid="{FF913C54-5394-4830-A48E-E289A8509F60}" name="Column9795"/>
    <tableColumn id="9815" xr3:uid="{A7FC44AE-4A97-40BB-93A1-3C591EB87AED}" name="Column9796"/>
    <tableColumn id="9816" xr3:uid="{77E40F7D-F830-4122-B7C0-FC6380689E91}" name="Column9797"/>
    <tableColumn id="9817" xr3:uid="{D61B9318-A5E9-4C6F-9EAB-C9E262A68820}" name="Column9798"/>
    <tableColumn id="9818" xr3:uid="{FBAB818F-49BC-4D12-9E7C-E2B1F8BD0574}" name="Column9799"/>
    <tableColumn id="9819" xr3:uid="{2F4274F3-B0DC-420F-ACB6-6DCE5641D90B}" name="Column9800"/>
    <tableColumn id="9820" xr3:uid="{4BFE4E65-C797-4694-92DE-AAE5FE97AFB9}" name="Column9801"/>
    <tableColumn id="9821" xr3:uid="{D661287C-577B-43B7-BF3D-C768F70FC63E}" name="Column9802"/>
    <tableColumn id="9822" xr3:uid="{44B95DB2-4A7B-4A06-8D77-2DC9EA172D7A}" name="Column9803"/>
    <tableColumn id="9823" xr3:uid="{0F365B11-4E7D-4732-93F5-FD36C19DBFEF}" name="Column9804"/>
    <tableColumn id="9824" xr3:uid="{E06850E5-3CE4-473D-8128-76E1FE188614}" name="Column9805"/>
    <tableColumn id="9825" xr3:uid="{600E718A-A91B-4E45-B0FC-BE8952704520}" name="Column9806"/>
    <tableColumn id="9826" xr3:uid="{154B7E04-E5E4-497B-8A99-80FC1C1CE853}" name="Column9807"/>
    <tableColumn id="9827" xr3:uid="{873BB2A6-F607-4516-9729-61ABF1700CA9}" name="Column9808"/>
    <tableColumn id="9828" xr3:uid="{50724A82-0EB3-4894-BAC6-CE07AE85DA32}" name="Column9809"/>
    <tableColumn id="9829" xr3:uid="{8667FE17-5E65-4F84-8448-2D0F3A6D4430}" name="Column9810"/>
    <tableColumn id="9830" xr3:uid="{47D0E9A9-15B3-48BF-9331-0869BD7AE85B}" name="Column9811"/>
    <tableColumn id="9831" xr3:uid="{ABD9015B-0521-475B-ADA0-0B62C1A153D2}" name="Column9812"/>
    <tableColumn id="9832" xr3:uid="{D3E53DA7-0C7B-4B05-BE06-D317040FBB44}" name="Column9813"/>
    <tableColumn id="9833" xr3:uid="{8A37E184-A653-4823-8B1F-54B320153D50}" name="Column9814"/>
    <tableColumn id="9834" xr3:uid="{0AC6F9F5-6587-4F94-B37D-04966F57F183}" name="Column9815"/>
    <tableColumn id="9835" xr3:uid="{0924D193-7702-4ECD-99A5-5C702E2A9A5A}" name="Column9816"/>
    <tableColumn id="9836" xr3:uid="{432C9EC4-D7F4-4BCF-B93A-7696816914C3}" name="Column9817"/>
    <tableColumn id="9837" xr3:uid="{9E2DBEAC-768C-4297-B30C-BDEFB031CC0A}" name="Column9818"/>
    <tableColumn id="9838" xr3:uid="{075D3ED5-5C2B-44FE-9C28-E72B8B85BDA0}" name="Column9819"/>
    <tableColumn id="9839" xr3:uid="{A0CE62AE-DA89-44F7-A18A-E0E525AAA951}" name="Column9820"/>
    <tableColumn id="9840" xr3:uid="{7EEE712B-4F48-4BAB-BE18-9025435AE17F}" name="Column9821"/>
    <tableColumn id="9841" xr3:uid="{35E4F18F-66AD-4CE6-A3AE-AD7AE5C6BD68}" name="Column9822"/>
    <tableColumn id="9842" xr3:uid="{6AF5B60F-BB4B-464D-8C0F-49F44FE2E7E9}" name="Column9823"/>
    <tableColumn id="9843" xr3:uid="{CA99CC1F-7865-48E8-866F-B878268E8891}" name="Column9824"/>
    <tableColumn id="9844" xr3:uid="{78FDC7AA-3AAD-41E7-995E-C28965929FE0}" name="Column9825"/>
    <tableColumn id="9845" xr3:uid="{FAD06E66-DBE5-4B25-BF66-4BEAD58E5E18}" name="Column9826"/>
    <tableColumn id="9846" xr3:uid="{FD0429E3-9D88-499E-A5DE-9B56107F1B1F}" name="Column9827"/>
    <tableColumn id="9847" xr3:uid="{C042905C-641F-4F6C-BCF4-F230B57DF3B6}" name="Column9828"/>
    <tableColumn id="9848" xr3:uid="{3E4FBA81-B99C-44EC-8C76-0F301DC8583D}" name="Column9829"/>
    <tableColumn id="9849" xr3:uid="{71E9D8DA-2E03-4E24-A35D-34243DFD7735}" name="Column9830"/>
    <tableColumn id="9850" xr3:uid="{1D31F456-ADA3-4853-AC26-2A4E5A9EBFB7}" name="Column9831"/>
    <tableColumn id="9851" xr3:uid="{E835AB44-E086-4030-9697-255B38DB0FB7}" name="Column9832"/>
    <tableColumn id="9852" xr3:uid="{FA8FD10A-E0FE-4A7C-9A3A-9B9E71D1BEE3}" name="Column9833"/>
    <tableColumn id="9853" xr3:uid="{9AF55C34-567B-4637-947F-243CB772DFAF}" name="Column9834"/>
    <tableColumn id="9854" xr3:uid="{A50637D3-9683-475B-BA14-FCD1A6679304}" name="Column9835"/>
    <tableColumn id="9855" xr3:uid="{09D5D85B-8438-4099-B0C1-57211711FC57}" name="Column9836"/>
    <tableColumn id="9856" xr3:uid="{1EB655C2-5C8D-4C6D-A684-E8EB835183A7}" name="Column9837"/>
    <tableColumn id="9857" xr3:uid="{82AB90A2-67B5-469F-A7F6-48F418465EB0}" name="Column9838"/>
    <tableColumn id="9858" xr3:uid="{4F2D9B95-8843-4D05-92E3-CF7F291D626B}" name="Column9839"/>
    <tableColumn id="9859" xr3:uid="{EAE43CED-3D75-4347-B0D3-CB71E5593288}" name="Column9840"/>
    <tableColumn id="9860" xr3:uid="{13E63F38-ED6A-4E27-8160-773C16627563}" name="Column9841"/>
    <tableColumn id="9861" xr3:uid="{BC1B6888-11AE-4D96-B0B5-4D2410631012}" name="Column9842"/>
    <tableColumn id="9862" xr3:uid="{4EAD5422-A7FB-4347-BA25-4DE621DE80D2}" name="Column9843"/>
    <tableColumn id="9863" xr3:uid="{AB6990FE-7C56-41CA-B2A9-A1377EE6DD89}" name="Column9844"/>
    <tableColumn id="9864" xr3:uid="{75808599-7883-4AD5-825D-F58A1908F48A}" name="Column9845"/>
    <tableColumn id="9865" xr3:uid="{4E413FF3-F3F4-4991-A261-5DD02DFA5A2C}" name="Column9846"/>
    <tableColumn id="9866" xr3:uid="{19B6B4D4-F639-40C1-9B1E-3F4E4F5D4F5A}" name="Column9847"/>
    <tableColumn id="9867" xr3:uid="{C1D80AAC-B48C-4C81-96B8-1BA319C5C440}" name="Column9848"/>
    <tableColumn id="9868" xr3:uid="{7B132248-474B-4CBE-9A5A-B381B39CB9FC}" name="Column9849"/>
    <tableColumn id="9869" xr3:uid="{7FD77680-5295-448D-8D65-1072E635659A}" name="Column9850"/>
    <tableColumn id="9870" xr3:uid="{252D6CDD-8DE6-45DF-ACF1-60F44B0E1345}" name="Column9851"/>
    <tableColumn id="9871" xr3:uid="{7EB62530-D90A-4063-B81B-C7A6661D74B0}" name="Column9852"/>
    <tableColumn id="9872" xr3:uid="{BBE372BD-468A-44CD-8123-CE6CFB6FB801}" name="Column9853"/>
    <tableColumn id="9873" xr3:uid="{DFCA61D4-A987-4876-BAA8-7B6601CF7381}" name="Column9854"/>
    <tableColumn id="9874" xr3:uid="{E569FBBA-320D-4C28-9678-778AB86CB43A}" name="Column9855"/>
    <tableColumn id="9875" xr3:uid="{609B106A-6C8A-4CBE-A9C8-385A9F0A4A0F}" name="Column9856"/>
    <tableColumn id="9876" xr3:uid="{BC911466-39AD-4063-A04D-4FCE332D38BB}" name="Column9857"/>
    <tableColumn id="9877" xr3:uid="{D5F73005-1F14-49A7-8BE2-B580916C57C1}" name="Column9858"/>
    <tableColumn id="9878" xr3:uid="{4460F2F9-2A86-424A-A932-E1EDF5141C3E}" name="Column9859"/>
    <tableColumn id="9879" xr3:uid="{71823793-98F7-4308-9098-5CE7A8E6EB5F}" name="Column9860"/>
    <tableColumn id="9880" xr3:uid="{10038A97-78DF-4685-AD63-026184D46A6F}" name="Column9861"/>
    <tableColumn id="9881" xr3:uid="{F5E1E916-85CE-4F63-AEA1-753252416D82}" name="Column9862"/>
    <tableColumn id="9882" xr3:uid="{522CFFAC-7B2E-45F3-B6F0-3151981B7BFD}" name="Column9863"/>
    <tableColumn id="9883" xr3:uid="{8F8244BE-2A74-47E1-9A46-405BDC11CB33}" name="Column9864"/>
    <tableColumn id="9884" xr3:uid="{E2DDE7B1-1F8E-4775-A706-075B76D0BA53}" name="Column9865"/>
    <tableColumn id="9885" xr3:uid="{8B3607F5-F2AC-4F4D-8528-79A454471FFD}" name="Column9866"/>
    <tableColumn id="9886" xr3:uid="{5AF43DFC-735B-4833-A715-94640323845F}" name="Column9867"/>
    <tableColumn id="9887" xr3:uid="{60F03906-1209-4816-B4E7-5DFA422A2C83}" name="Column9868"/>
    <tableColumn id="9888" xr3:uid="{32DAA953-5427-4B55-A3CE-CC7AD1B13727}" name="Column9869"/>
    <tableColumn id="9889" xr3:uid="{96662C90-CCF7-4CAC-8B9B-38DE4D6D24E6}" name="Column9870"/>
    <tableColumn id="9890" xr3:uid="{DE424CB2-DCFF-4411-8F7B-89EE57599F0E}" name="Column9871"/>
    <tableColumn id="9891" xr3:uid="{E2584285-DCFC-4DD0-9304-250C354260B9}" name="Column9872"/>
    <tableColumn id="9892" xr3:uid="{FAB56B7B-2A83-441D-B713-718999BE2488}" name="Column9873"/>
    <tableColumn id="9893" xr3:uid="{4D301A8F-3012-4E4D-8898-29DFAC1CD05A}" name="Column9874"/>
    <tableColumn id="9894" xr3:uid="{FF3B6BB2-8077-40C0-BE09-045066C0B604}" name="Column9875"/>
    <tableColumn id="9895" xr3:uid="{EA082C94-1C7A-4BF1-BB6F-10E1B53D41CF}" name="Column9876"/>
    <tableColumn id="9896" xr3:uid="{A82E5D70-3615-4318-B88E-65C66C5E51D8}" name="Column9877"/>
    <tableColumn id="9897" xr3:uid="{76130738-D3E5-4711-AB59-9668F7F7DDDB}" name="Column9878"/>
    <tableColumn id="9898" xr3:uid="{2F1D2C79-B993-4856-B683-6AA00B1840BF}" name="Column9879"/>
    <tableColumn id="9899" xr3:uid="{1AF0ABE8-83E8-4F1B-9FA3-034E9FD8D424}" name="Column9880"/>
    <tableColumn id="9900" xr3:uid="{284CEC82-842B-4136-95D6-339079A332B1}" name="Column9881"/>
    <tableColumn id="9901" xr3:uid="{2E864F4E-CF6B-4F81-9E8D-B3CBD03A6C4A}" name="Column9882"/>
    <tableColumn id="9902" xr3:uid="{1B5D611E-32DB-4F9D-89DD-F9B5C0078B18}" name="Column9883"/>
    <tableColumn id="9903" xr3:uid="{6C72EF34-E96B-4F4E-9DD2-A59BB7B30E6F}" name="Column9884"/>
    <tableColumn id="9904" xr3:uid="{99875FF1-CF95-4604-BDCC-1867E97D1FE9}" name="Column9885"/>
    <tableColumn id="9905" xr3:uid="{D08C9ECC-B6D7-4DD1-9022-E7435E29646C}" name="Column9886"/>
    <tableColumn id="9906" xr3:uid="{6751200C-0070-4547-B3B8-10DE5D0B0CD4}" name="Column9887"/>
    <tableColumn id="9907" xr3:uid="{31A26BC8-8674-4370-B78D-73E9A5962521}" name="Column9888"/>
    <tableColumn id="9908" xr3:uid="{EC35B097-D0FE-488E-A86F-F6B10255E4BF}" name="Column9889"/>
    <tableColumn id="9909" xr3:uid="{7EF59DDD-BA69-4E0A-9E44-3B0F63AB3C27}" name="Column9890"/>
    <tableColumn id="9910" xr3:uid="{F61F32C0-CE2C-431D-A277-E13B39368297}" name="Column9891"/>
    <tableColumn id="9911" xr3:uid="{91A0ED4A-497E-47EC-8693-F901947659C4}" name="Column9892"/>
    <tableColumn id="9912" xr3:uid="{E65B7C3A-0A4A-4217-8875-DEE6756C996A}" name="Column9893"/>
    <tableColumn id="9913" xr3:uid="{C0CA91DA-30CB-4DA9-8D4C-5907C858880F}" name="Column9894"/>
    <tableColumn id="9914" xr3:uid="{8741ADCE-5C08-4B6B-96E2-CA750C823943}" name="Column9895"/>
    <tableColumn id="9915" xr3:uid="{3473C9AD-DBC8-409C-B1A1-A8355EFDA7F1}" name="Column9896"/>
    <tableColumn id="9916" xr3:uid="{8C624D32-35BE-426A-9E42-52A694B3BA84}" name="Column9897"/>
    <tableColumn id="9917" xr3:uid="{F0F5918F-8D11-4D1A-A6A6-F2F6D8A9EBE3}" name="Column9898"/>
    <tableColumn id="9918" xr3:uid="{7DD14C3E-4682-4F71-AE81-0FCF8559B9C1}" name="Column9899"/>
    <tableColumn id="9919" xr3:uid="{0EF4CA43-5DF8-4A9E-8B6D-450940DDB2BA}" name="Column9900"/>
    <tableColumn id="9920" xr3:uid="{408FBB46-C060-4376-9B33-D71B2EDE9E5B}" name="Column9901"/>
    <tableColumn id="9921" xr3:uid="{E2DB6CDC-BA76-44C0-9A9B-EAF5C7A69D65}" name="Column9902"/>
    <tableColumn id="9922" xr3:uid="{39CA3088-CD92-479F-B926-F57FAEF910DD}" name="Column9903"/>
    <tableColumn id="9923" xr3:uid="{68276513-65F4-4FF8-B294-C2550E2F9FFA}" name="Column9904"/>
    <tableColumn id="9924" xr3:uid="{720A1B9A-0537-463C-88AB-B845FC0DD31D}" name="Column9905"/>
    <tableColumn id="9925" xr3:uid="{370C1F30-BB8B-45DE-9E38-79B95362F565}" name="Column9906"/>
    <tableColumn id="9926" xr3:uid="{D99B8BB0-F204-47C0-8E9E-7678F121AE37}" name="Column9907"/>
    <tableColumn id="9927" xr3:uid="{4859D23D-8953-4537-9490-B454EFCE578F}" name="Column9908"/>
    <tableColumn id="9928" xr3:uid="{BC03F557-65DD-4516-AA67-8DF5966BA4AC}" name="Column9909"/>
    <tableColumn id="9929" xr3:uid="{A13B55EC-441E-4B53-A43A-9AD89B5A857D}" name="Column9910"/>
    <tableColumn id="9930" xr3:uid="{24F5B777-097E-4F40-B502-DD65CC2F15A7}" name="Column9911"/>
    <tableColumn id="9931" xr3:uid="{92C4E618-5B5D-45C2-A29F-84BCB2E7BA0D}" name="Column9912"/>
    <tableColumn id="9932" xr3:uid="{292E8D1A-AF24-40AF-848C-5DEBDFCA3628}" name="Column9913"/>
    <tableColumn id="9933" xr3:uid="{AEC1F0A4-0826-4C72-A7DB-623AE18E87C8}" name="Column9914"/>
    <tableColumn id="9934" xr3:uid="{BA28019D-CF0B-4189-AC0A-6D45AA32BCE7}" name="Column9915"/>
    <tableColumn id="9935" xr3:uid="{BBBBC70E-58F6-4E40-B26D-7ABF221C3728}" name="Column9916"/>
    <tableColumn id="9936" xr3:uid="{533AC3B7-BDE6-4773-9FA4-E34EB58AD935}" name="Column9917"/>
    <tableColumn id="9937" xr3:uid="{15BEEE00-0FA6-4871-BEDE-32F339537011}" name="Column9918"/>
    <tableColumn id="9938" xr3:uid="{77B33681-074B-48A7-A70D-813D55665D64}" name="Column9919"/>
    <tableColumn id="9939" xr3:uid="{C4BB199C-249F-4F8B-A7A9-C8B8887DE420}" name="Column9920"/>
    <tableColumn id="9940" xr3:uid="{16286622-7558-4AFA-A031-7B3FCEC8F360}" name="Column9921"/>
    <tableColumn id="9941" xr3:uid="{FC6715B9-7346-4CA8-907F-C02A54D057C3}" name="Column9922"/>
    <tableColumn id="9942" xr3:uid="{AC2E20F7-7142-477C-AF21-4859FFF999E5}" name="Column9923"/>
    <tableColumn id="9943" xr3:uid="{98B8F9AE-C882-43CA-8B66-6F2F0C50C4B0}" name="Column9924"/>
    <tableColumn id="9944" xr3:uid="{86963FAF-E04F-42C1-9BF8-D3FF3D4CE769}" name="Column9925"/>
    <tableColumn id="9945" xr3:uid="{9CD04D93-9B4A-4182-8E12-188F22815241}" name="Column9926"/>
    <tableColumn id="9946" xr3:uid="{577E3F9B-45BD-47C9-80E4-0E978BFC6CC9}" name="Column9927"/>
    <tableColumn id="9947" xr3:uid="{84BC9CB0-4F98-4A8B-8362-266C55CB2503}" name="Column9928"/>
    <tableColumn id="9948" xr3:uid="{2851697F-74E3-49B8-B76C-2B29FD3590D2}" name="Column9929"/>
    <tableColumn id="9949" xr3:uid="{30840B5F-4734-4771-B298-ACB0728D4F0D}" name="Column9930"/>
    <tableColumn id="9950" xr3:uid="{CF6C2EFD-40A7-4172-A563-09A68521794E}" name="Column9931"/>
    <tableColumn id="9951" xr3:uid="{219B3CA4-C21D-402F-9E23-EE2E7738BB96}" name="Column9932"/>
    <tableColumn id="9952" xr3:uid="{CC0ACD1A-5671-4529-B40C-3D97F0C2D2A8}" name="Column9933"/>
    <tableColumn id="9953" xr3:uid="{E1A3EFEF-27B9-4BD3-A065-246043B694C1}" name="Column9934"/>
    <tableColumn id="9954" xr3:uid="{A6175018-7948-49D4-A2A5-CF5ADAE9DFEE}" name="Column9935"/>
    <tableColumn id="9955" xr3:uid="{6507CEC8-B820-442E-ABFC-B5EB6D1117E7}" name="Column9936"/>
    <tableColumn id="9956" xr3:uid="{A3A949AB-033A-4062-B45C-9E4C369488BD}" name="Column9937"/>
    <tableColumn id="9957" xr3:uid="{4D0DBF0A-771B-430A-9EC8-3999B4E7E0BB}" name="Column9938"/>
    <tableColumn id="9958" xr3:uid="{E6659FD9-7040-487A-B472-983F6EC1F91D}" name="Column9939"/>
    <tableColumn id="9959" xr3:uid="{104487FE-A18B-4DFF-AF7F-7CF513DD95CA}" name="Column9940"/>
    <tableColumn id="9960" xr3:uid="{E6B7B5CA-C757-43A6-95F7-EEE74EFCB515}" name="Column9941"/>
    <tableColumn id="9961" xr3:uid="{14FC3E38-D178-4F48-8BFC-8C177432937C}" name="Column9942"/>
    <tableColumn id="9962" xr3:uid="{47C1D491-CE51-4443-BF71-36A482B3AED9}" name="Column9943"/>
    <tableColumn id="9963" xr3:uid="{F1AC685F-7655-4624-AD4E-BDBD1DCB7AF8}" name="Column9944"/>
    <tableColumn id="9964" xr3:uid="{9871934D-D822-4327-8802-99975C57085F}" name="Column9945"/>
    <tableColumn id="9965" xr3:uid="{EC257AC0-0302-45BA-A628-3C921A50047B}" name="Column9946"/>
    <tableColumn id="9966" xr3:uid="{CC18A233-CE5C-4B3C-B961-479939B89643}" name="Column9947"/>
    <tableColumn id="9967" xr3:uid="{481EDF03-0A05-4D19-AB19-C00329134DB6}" name="Column9948"/>
    <tableColumn id="9968" xr3:uid="{30F501A8-1F86-4492-9DC8-B9BEA61CFABB}" name="Column9949"/>
    <tableColumn id="9969" xr3:uid="{32530DBC-B149-483E-B64E-07219545EF5F}" name="Column9950"/>
    <tableColumn id="9970" xr3:uid="{069FB8FE-4F8D-401C-9D04-198C456E39CC}" name="Column9951"/>
    <tableColumn id="9971" xr3:uid="{D8714418-E4F2-4313-B855-32158D85CC49}" name="Column9952"/>
    <tableColumn id="9972" xr3:uid="{A94CDBFF-2402-480C-9392-CB44E8903453}" name="Column9953"/>
    <tableColumn id="9973" xr3:uid="{188F29D2-24E7-41EE-B395-6317D9675719}" name="Column9954"/>
    <tableColumn id="9974" xr3:uid="{445B27EB-3483-42FD-9A42-7DEE38DCFC54}" name="Column9955"/>
    <tableColumn id="9975" xr3:uid="{C2C3F452-8D5E-443F-B884-694416D578EC}" name="Column9956"/>
    <tableColumn id="9976" xr3:uid="{6BC00D55-8BE0-4803-8266-DD1D72F065ED}" name="Column9957"/>
    <tableColumn id="9977" xr3:uid="{7C55F38B-8CAF-4259-8F8C-15F7CB069985}" name="Column9958"/>
    <tableColumn id="9978" xr3:uid="{A22ECA48-BEEF-4D91-9888-0BACBCA06A81}" name="Column9959"/>
    <tableColumn id="9979" xr3:uid="{EDF024EC-1E8F-4492-A147-BE22DED4F80F}" name="Column9960"/>
    <tableColumn id="9980" xr3:uid="{E961BEB4-C78C-4775-8CBC-23692EDC9583}" name="Column9961"/>
    <tableColumn id="9981" xr3:uid="{B03012E9-6DE0-44BB-8B47-12CE1363054F}" name="Column9962"/>
    <tableColumn id="9982" xr3:uid="{8731CD97-4B9D-4943-A8A1-A4626DB04DF9}" name="Column9963"/>
    <tableColumn id="9983" xr3:uid="{E40B85A7-9C4D-4C9C-B636-46BF834BED2F}" name="Column9964"/>
    <tableColumn id="9984" xr3:uid="{8B005072-EA07-4DB4-97A1-1B2ACD8068E3}" name="Column9965"/>
    <tableColumn id="9985" xr3:uid="{62FEDF81-BF4B-47B4-BA57-8827CF9BB571}" name="Column9966"/>
    <tableColumn id="9986" xr3:uid="{C014511C-68BD-443C-A2E7-F1D740A8D156}" name="Column9967"/>
    <tableColumn id="9987" xr3:uid="{7EF62780-3C22-4625-83BE-AA30ABFFE9D8}" name="Column9968"/>
    <tableColumn id="9988" xr3:uid="{C4D9BD87-0CF8-424B-9D56-79ED21C286AC}" name="Column9969"/>
    <tableColumn id="9989" xr3:uid="{7803D045-7732-4744-8AF2-40CDD470671A}" name="Column9970"/>
    <tableColumn id="9990" xr3:uid="{35925313-4C57-42BF-8717-A2C21555470A}" name="Column9971"/>
    <tableColumn id="9991" xr3:uid="{B9A9A8D5-FE29-4E01-89E4-A13B218C037A}" name="Column9972"/>
    <tableColumn id="9992" xr3:uid="{F0DD6FA0-57A3-4BC4-9FB8-C97602603D2B}" name="Column9973"/>
    <tableColumn id="9993" xr3:uid="{7876E263-D212-4010-AF3F-AEF3D726B21B}" name="Column9974"/>
    <tableColumn id="9994" xr3:uid="{4D918230-B3F7-4B3F-AF03-CC284D14F867}" name="Column9975"/>
    <tableColumn id="9995" xr3:uid="{0815C3F0-CE2F-4208-A256-5C8E385665F3}" name="Column9976"/>
    <tableColumn id="9996" xr3:uid="{69EBADCA-F5EB-442C-87C3-75ADC2A21A85}" name="Column9977"/>
    <tableColumn id="9997" xr3:uid="{3CF3BDF5-771A-4697-9216-694397FF7F97}" name="Column9978"/>
    <tableColumn id="9998" xr3:uid="{6BB828DB-E99E-4DDE-905D-85B09AA4172F}" name="Column9979"/>
    <tableColumn id="9999" xr3:uid="{F0B086C5-BE3B-4131-AB42-93D25E05EB7C}" name="Column9980"/>
    <tableColumn id="10000" xr3:uid="{F73FEF2D-AE0F-4E03-828C-77B230B52DAB}" name="Column9981"/>
    <tableColumn id="10001" xr3:uid="{49335AFB-1C36-4B71-92BB-E7130DD4548F}" name="Column9982"/>
    <tableColumn id="10002" xr3:uid="{BA020421-BE72-44CD-B6C9-855587787FBD}" name="Column9983"/>
    <tableColumn id="10003" xr3:uid="{B89E4211-05D3-4359-A670-3AD4CFF7595A}" name="Column9984"/>
    <tableColumn id="10004" xr3:uid="{F95FC971-43A0-4200-9401-09E3BDD2A8A7}" name="Column9985"/>
    <tableColumn id="10005" xr3:uid="{4D5F839E-BDB4-44F8-A226-22D6BEBDABB7}" name="Column9986"/>
    <tableColumn id="10006" xr3:uid="{F03286B7-A59B-4D0B-A28F-A5E5130C1545}" name="Column9987"/>
    <tableColumn id="10007" xr3:uid="{ABFF34A0-2124-41C0-9948-B32B37071E0E}" name="Column9988"/>
    <tableColumn id="10008" xr3:uid="{6E62B94C-3597-497F-BD6F-B5B168B974B4}" name="Column9989"/>
    <tableColumn id="10009" xr3:uid="{28B56F60-ECB8-4059-9A6B-431ED8F5256A}" name="Column9990"/>
    <tableColumn id="10010" xr3:uid="{66B1442A-5F4D-423C-89F5-EB67A97B0C75}" name="Column9991"/>
    <tableColumn id="10011" xr3:uid="{76CE1F45-2B0B-429F-BF71-146B6C15C3BD}" name="Column9992"/>
    <tableColumn id="10012" xr3:uid="{2A15594B-83D6-43C5-AD85-80FA1CB5B32F}" name="Column9993"/>
    <tableColumn id="10013" xr3:uid="{8DC13A13-B282-4F71-B74E-5C50E571FC32}" name="Column9994"/>
    <tableColumn id="10014" xr3:uid="{28A1C7FD-3A7E-40AA-9D04-5BB8306E2AF7}" name="Column9995"/>
    <tableColumn id="10015" xr3:uid="{91F5742B-8B05-4560-84ED-6B8F72CDF84B}" name="Column9996"/>
    <tableColumn id="10016" xr3:uid="{27FDAFC9-2F03-4F5B-A41F-EC962DB4F834}" name="Column9997"/>
    <tableColumn id="10017" xr3:uid="{B68256F3-1EBC-4CCB-B70E-C4C65842D024}" name="Column9998"/>
    <tableColumn id="10018" xr3:uid="{540D79AB-0538-497E-92C7-4BEA1C1417E8}" name="Column9999"/>
    <tableColumn id="10019" xr3:uid="{F95B5A9C-B364-428F-BE55-7165E8176F9A}" name="Column10000"/>
    <tableColumn id="10020" xr3:uid="{C66FD58D-BC35-461D-9113-B15F503BE33E}" name="Column10001"/>
    <tableColumn id="10021" xr3:uid="{81C33355-C953-4270-82C3-334BDDA68D5D}" name="Column10002"/>
    <tableColumn id="10022" xr3:uid="{37CC7FEC-678D-4EC5-9C41-6CE71D913870}" name="Column10003"/>
    <tableColumn id="10023" xr3:uid="{4D09A1A8-10EA-45AB-90AB-E8689DA9F6C4}" name="Column10004"/>
    <tableColumn id="10024" xr3:uid="{A4B7F3FA-E88E-4E4D-94A2-78EC2020BF8C}" name="Column10005"/>
    <tableColumn id="10025" xr3:uid="{1802C199-F24E-4B92-9908-81A888F1987D}" name="Column10006"/>
    <tableColumn id="10026" xr3:uid="{DEBE07D9-4A9C-4AE0-83D5-64450BBF6A91}" name="Column10007"/>
    <tableColumn id="10027" xr3:uid="{91B87850-7153-42C1-9AB9-FFA138EC77CA}" name="Column10008"/>
    <tableColumn id="10028" xr3:uid="{94F76643-A87A-4E99-9199-D63670FF92DA}" name="Column10009"/>
    <tableColumn id="10029" xr3:uid="{BCB51D34-7049-4F6B-A115-11432C148275}" name="Column10010"/>
    <tableColumn id="10030" xr3:uid="{E61E1F45-4DEA-4486-AA99-894C29145A1C}" name="Column10011"/>
    <tableColumn id="10031" xr3:uid="{63C50DEE-C62F-4E08-AAF0-63B303A760D8}" name="Column10012"/>
    <tableColumn id="10032" xr3:uid="{3275CA80-CB2E-4195-88B4-8C0EC0AC4D91}" name="Column10013"/>
    <tableColumn id="10033" xr3:uid="{5627268D-818A-4C4D-9102-545F99FB39C7}" name="Column10014"/>
    <tableColumn id="10034" xr3:uid="{7AB46E8D-51E8-4514-AE7B-46126B70F5A6}" name="Column10015"/>
    <tableColumn id="10035" xr3:uid="{DB91E823-C27B-441C-9677-D842473837C2}" name="Column10016"/>
    <tableColumn id="10036" xr3:uid="{E70F3C44-0F03-4A91-9BA1-B9370E69B13F}" name="Column10017"/>
    <tableColumn id="10037" xr3:uid="{E6899A16-3C4A-4803-9385-4C850562B104}" name="Column10018"/>
    <tableColumn id="10038" xr3:uid="{927D90EC-84D1-4FBB-9AF8-FC71B8680828}" name="Column10019"/>
    <tableColumn id="10039" xr3:uid="{429A5485-8D1D-43A1-9463-1B1F794C0C02}" name="Column10020"/>
    <tableColumn id="10040" xr3:uid="{0DBA0F92-67F1-4785-A6C9-33FD3FFC503F}" name="Column10021"/>
    <tableColumn id="10041" xr3:uid="{019A1E53-A0EE-4586-96E9-E5EFCCC55A72}" name="Column10022"/>
    <tableColumn id="10042" xr3:uid="{6E5A2F5E-1470-482F-B06B-27A96410A076}" name="Column10023"/>
    <tableColumn id="10043" xr3:uid="{DBFDE30A-1ACC-4B92-80FE-A3C9869FE1C0}" name="Column10024"/>
    <tableColumn id="10044" xr3:uid="{E6FF40B4-91CE-49C5-B17F-BE5320CB4DCB}" name="Column10025"/>
    <tableColumn id="10045" xr3:uid="{2A18AD58-3F49-4B24-966B-1B9DCCFF91C0}" name="Column10026"/>
    <tableColumn id="10046" xr3:uid="{0C24097F-62E8-4AF9-9EA7-EAAC0D5D3051}" name="Column10027"/>
    <tableColumn id="10047" xr3:uid="{4B1C3EAF-8AF2-444C-A475-2A8ED1D96430}" name="Column10028"/>
    <tableColumn id="10048" xr3:uid="{32F57E47-6EED-46ED-A6EA-10E5F734EA7B}" name="Column10029"/>
    <tableColumn id="10049" xr3:uid="{AF0AA0BC-BBE9-4BC5-90C2-7D347225BB3A}" name="Column10030"/>
    <tableColumn id="10050" xr3:uid="{1DAB395C-1D37-4366-9070-1E32CBD90ED8}" name="Column10031"/>
    <tableColumn id="10051" xr3:uid="{5C4F224A-5BEA-4555-A1CE-146D1C869BF3}" name="Column10032"/>
    <tableColumn id="10052" xr3:uid="{518468E1-51FD-4E30-BFDA-0BCE94FE0174}" name="Column10033"/>
    <tableColumn id="10053" xr3:uid="{AC50CE88-3308-43FB-A1BC-153013B2761F}" name="Column10034"/>
    <tableColumn id="10054" xr3:uid="{BAA6C7BF-2AB9-468C-AF7F-5655DCB2C33B}" name="Column10035"/>
    <tableColumn id="10055" xr3:uid="{6DA41418-C9C1-4E50-A7C2-D10A8A018322}" name="Column10036"/>
    <tableColumn id="10056" xr3:uid="{FAE61E57-A681-413D-9E87-BD60591ED06C}" name="Column10037"/>
    <tableColumn id="10057" xr3:uid="{0B68F668-331B-45CE-BEAC-87230EEF5EDB}" name="Column10038"/>
    <tableColumn id="10058" xr3:uid="{57744389-A5D2-45B2-90EE-B76D3A459B50}" name="Column10039"/>
    <tableColumn id="10059" xr3:uid="{1CD1161E-6BF6-4568-83DE-3963B955515A}" name="Column10040"/>
    <tableColumn id="10060" xr3:uid="{7B51BCB0-3117-473E-B64E-1B5318D3AAD4}" name="Column10041"/>
    <tableColumn id="10061" xr3:uid="{A1DAF46E-8009-4DB5-B454-3CBC968655CB}" name="Column10042"/>
    <tableColumn id="10062" xr3:uid="{C4D9EE3C-6593-4D6C-9E3B-0295886693E7}" name="Column10043"/>
    <tableColumn id="10063" xr3:uid="{0A106678-0402-4726-80B2-0A63D19844FC}" name="Column10044"/>
    <tableColumn id="10064" xr3:uid="{C87B8589-9521-44E2-98C5-EC2A34E70444}" name="Column10045"/>
    <tableColumn id="10065" xr3:uid="{1E98D1D2-6E23-4615-AF87-A2B1AD012E2E}" name="Column10046"/>
    <tableColumn id="10066" xr3:uid="{DA38634F-CB53-4001-A3DB-AA3548EC50D1}" name="Column10047"/>
    <tableColumn id="10067" xr3:uid="{D0E20EEE-FE9A-4780-88F5-971819588345}" name="Column10048"/>
    <tableColumn id="10068" xr3:uid="{85FFF3E9-6F4F-43F4-9F3D-F8EAAFF5ED6E}" name="Column10049"/>
    <tableColumn id="10069" xr3:uid="{A4D67B24-0402-4A19-9E92-DE6316918798}" name="Column10050"/>
    <tableColumn id="10070" xr3:uid="{7796F8BF-701E-4E96-B0CA-C783D49B221E}" name="Column10051"/>
    <tableColumn id="10071" xr3:uid="{880AB546-0AB3-4297-BBDC-FE35B539017D}" name="Column10052"/>
    <tableColumn id="10072" xr3:uid="{7A0C7E41-6A95-4860-BDF2-CBE2320EBE07}" name="Column10053"/>
    <tableColumn id="10073" xr3:uid="{A33B88AD-62C2-4DE3-B7BC-50825AC56460}" name="Column10054"/>
    <tableColumn id="10074" xr3:uid="{628CA7A1-F426-4CA7-93CA-8F6D4A94ACEE}" name="Column10055"/>
    <tableColumn id="10075" xr3:uid="{6A67888F-6FFD-4123-9FB5-AE1A40F98762}" name="Column10056"/>
    <tableColumn id="10076" xr3:uid="{AA3DC3D7-2D03-4487-A44C-E7FFE3AFAC35}" name="Column10057"/>
    <tableColumn id="10077" xr3:uid="{F404AB91-94A8-480F-A164-6DF8E4F1A486}" name="Column10058"/>
    <tableColumn id="10078" xr3:uid="{D050F9AD-82BF-46EC-B1E0-DC2220915E5A}" name="Column10059"/>
    <tableColumn id="10079" xr3:uid="{53C49F2C-FC09-4047-94D0-9D4E1FFE7D70}" name="Column10060"/>
    <tableColumn id="10080" xr3:uid="{E135A528-110D-4020-B89F-6784ED3F278A}" name="Column10061"/>
    <tableColumn id="10081" xr3:uid="{8631BC87-6D1D-400C-9219-6F90C33F4437}" name="Column10062"/>
    <tableColumn id="10082" xr3:uid="{5A1CEBA2-4746-4C28-A1A9-F587870C44AC}" name="Column10063"/>
    <tableColumn id="10083" xr3:uid="{6A7753DB-B8A3-4FD7-B007-125A840E6DEE}" name="Column10064"/>
    <tableColumn id="10084" xr3:uid="{43A4C530-BA2C-4363-BD5E-7216E25ACA7F}" name="Column10065"/>
    <tableColumn id="10085" xr3:uid="{5F40230D-7A06-47A6-AE01-357C9D10C962}" name="Column10066"/>
    <tableColumn id="10086" xr3:uid="{4D58F5EF-3492-48DC-9F8F-3D7DA9903494}" name="Column10067"/>
    <tableColumn id="10087" xr3:uid="{70B6B6E3-D265-4646-80C2-E7F408678FB8}" name="Column10068"/>
    <tableColumn id="10088" xr3:uid="{10D55584-4F58-4310-B3AF-B1D53881C77E}" name="Column10069"/>
    <tableColumn id="10089" xr3:uid="{8B99CAB3-B020-483A-A2F3-4FD9516BB344}" name="Column10070"/>
    <tableColumn id="10090" xr3:uid="{48A739DB-966C-44B7-9151-077A7200B7F9}" name="Column10071"/>
    <tableColumn id="10091" xr3:uid="{8FC6B522-F325-4B56-936E-3237FA7DE555}" name="Column10072"/>
    <tableColumn id="10092" xr3:uid="{BBFF9776-45FE-4768-9F1F-21BE2081ECA7}" name="Column10073"/>
    <tableColumn id="10093" xr3:uid="{E4E23DF4-2EA3-4457-AF44-777C1EA28BCD}" name="Column10074"/>
    <tableColumn id="10094" xr3:uid="{EC412498-D93F-46DB-8CDB-DD375394A755}" name="Column10075"/>
    <tableColumn id="10095" xr3:uid="{BE7DD38F-1607-4BB5-9E9D-B05193B2A0B7}" name="Column10076"/>
    <tableColumn id="10096" xr3:uid="{5CD2D497-9B98-4F6D-B945-7E73B077F594}" name="Column10077"/>
    <tableColumn id="10097" xr3:uid="{39C561A5-BC72-4491-85B1-4131F3F72C25}" name="Column10078"/>
    <tableColumn id="10098" xr3:uid="{3AAEAAE0-1CD0-4896-9DFB-97C6E1CBD677}" name="Column10079"/>
    <tableColumn id="10099" xr3:uid="{6E650C19-5023-469E-81F3-D931F8799964}" name="Column10080"/>
    <tableColumn id="10100" xr3:uid="{9F1F27DD-7859-48CF-B384-C119C1CE2E89}" name="Column10081"/>
    <tableColumn id="10101" xr3:uid="{7EF3D2A0-7A41-47B2-A6CB-6610D42D9202}" name="Column10082"/>
    <tableColumn id="10102" xr3:uid="{FFFC6C19-90C7-48B4-837E-091ABB36E9B1}" name="Column10083"/>
    <tableColumn id="10103" xr3:uid="{4CA997EA-FBE1-4853-88B0-7D525F567283}" name="Column10084"/>
    <tableColumn id="10104" xr3:uid="{A1F87FCD-9B16-46EA-A5D7-3C801089BFEE}" name="Column10085"/>
    <tableColumn id="10105" xr3:uid="{DEED9A42-1674-42D6-9F4A-009A0015AC51}" name="Column10086"/>
    <tableColumn id="10106" xr3:uid="{AF308558-F45B-447B-929D-8C27498A0FB7}" name="Column10087"/>
    <tableColumn id="10107" xr3:uid="{3F0EDD11-11A5-486F-8855-B529EE333B47}" name="Column10088"/>
    <tableColumn id="10108" xr3:uid="{A7A23605-CB85-4BC4-83D6-A593581363D3}" name="Column10089"/>
    <tableColumn id="10109" xr3:uid="{27A78399-3AB1-4E27-9AC2-BA77832B4E19}" name="Column10090"/>
    <tableColumn id="10110" xr3:uid="{600458A3-2E8E-43E6-A720-F80F63273070}" name="Column10091"/>
    <tableColumn id="10111" xr3:uid="{7E26B87B-EF78-4200-BB76-A16780C09841}" name="Column10092"/>
    <tableColumn id="10112" xr3:uid="{5A806FD7-1155-4D94-917A-DFCFACB9ED1F}" name="Column10093"/>
    <tableColumn id="10113" xr3:uid="{B9EA2E88-2E5E-44BE-BEC8-2958B1ECFC36}" name="Column10094"/>
    <tableColumn id="10114" xr3:uid="{B43385A8-19A9-4076-99E1-9A37B8B5E61D}" name="Column10095"/>
    <tableColumn id="10115" xr3:uid="{C5E8FA91-DC3C-42F7-BF5B-C138066572B5}" name="Column10096"/>
    <tableColumn id="10116" xr3:uid="{B41D1FDF-62B9-44ED-B140-E2A6FFEAE1A1}" name="Column10097"/>
    <tableColumn id="10117" xr3:uid="{B38A1941-E1D5-4ECF-8668-16932B5BF159}" name="Column10098"/>
    <tableColumn id="10118" xr3:uid="{D99687C9-0625-4F10-B1FB-E66381D7A61F}" name="Column10099"/>
    <tableColumn id="10119" xr3:uid="{A206A2CF-0E98-4C5A-AFCC-D0965BD9DEBF}" name="Column10100"/>
    <tableColumn id="10120" xr3:uid="{94AFE836-BCE4-4AC0-ACCC-67C890FF7EDD}" name="Column10101"/>
    <tableColumn id="10121" xr3:uid="{DCBB9E2F-BC3B-4E27-BCF5-93F68FF4AE1C}" name="Column10102"/>
    <tableColumn id="10122" xr3:uid="{E81439FB-E299-4ACD-A2DA-C04C225281ED}" name="Column10103"/>
    <tableColumn id="10123" xr3:uid="{A6B2F997-94B8-41DF-A786-F1C50B1E5EDA}" name="Column10104"/>
    <tableColumn id="10124" xr3:uid="{0A8066DE-0E6D-4E24-BDAF-F3EC1753B9D2}" name="Column10105"/>
    <tableColumn id="10125" xr3:uid="{D9261E5D-D5ED-4338-ACE3-2D49AE3A8487}" name="Column10106"/>
    <tableColumn id="10126" xr3:uid="{DB0FE8B8-481E-4811-8A69-D8D6785DF5A6}" name="Column10107"/>
    <tableColumn id="10127" xr3:uid="{B277A1D4-4EFB-4DC9-BC5C-A7755BE1CAD1}" name="Column10108"/>
    <tableColumn id="10128" xr3:uid="{23AA4605-EF23-4F9C-80D4-CE8E41A248F0}" name="Column10109"/>
    <tableColumn id="10129" xr3:uid="{F251857E-5689-4F89-8AFD-A03B9292342B}" name="Column10110"/>
    <tableColumn id="10130" xr3:uid="{9EB97C20-9C6B-43E4-A696-3AD8852EB74E}" name="Column10111"/>
    <tableColumn id="10131" xr3:uid="{587079F1-9D24-401B-B36F-0BA524E350A7}" name="Column10112"/>
    <tableColumn id="10132" xr3:uid="{9F3662BE-E558-4712-BCC5-A54A8A8F4379}" name="Column10113"/>
    <tableColumn id="10133" xr3:uid="{CBBA55EF-1545-4527-8ACB-834766B1A4F8}" name="Column10114"/>
    <tableColumn id="10134" xr3:uid="{EFABBF61-D359-45B5-8217-2809CC1912B6}" name="Column10115"/>
    <tableColumn id="10135" xr3:uid="{C3FE5641-DE0E-44A8-A5ED-21A68A712031}" name="Column10116"/>
    <tableColumn id="10136" xr3:uid="{7A8FEF2C-E1DD-4888-87A1-320A561727A5}" name="Column10117"/>
    <tableColumn id="10137" xr3:uid="{4A93D0C7-DCD4-434F-8640-07E292332451}" name="Column10118"/>
    <tableColumn id="10138" xr3:uid="{26E8D1F9-2CAF-4E08-992D-2AB9C2205D60}" name="Column10119"/>
    <tableColumn id="10139" xr3:uid="{16E6D14C-0CB2-4FE8-8B35-72C91538B859}" name="Column10120"/>
    <tableColumn id="10140" xr3:uid="{FAFAF376-F643-45C4-BFC2-5BFE473A3C24}" name="Column10121"/>
    <tableColumn id="10141" xr3:uid="{F895F9DA-2051-4FDC-BBFA-8C8D2DF53230}" name="Column10122"/>
    <tableColumn id="10142" xr3:uid="{A77DD67B-A7B8-4245-8686-045C226146B4}" name="Column10123"/>
    <tableColumn id="10143" xr3:uid="{0754DE3F-9CC7-40C6-A756-7274F27FD00F}" name="Column10124"/>
    <tableColumn id="10144" xr3:uid="{05AF93AF-F54E-4DD4-9189-CC82A60B75CA}" name="Column10125"/>
    <tableColumn id="10145" xr3:uid="{F4A05916-A4A7-4CF4-8DCD-FA1DFE0F5388}" name="Column10126"/>
    <tableColumn id="10146" xr3:uid="{669C4A6A-591E-4016-A050-9260706DA1FC}" name="Column10127"/>
    <tableColumn id="10147" xr3:uid="{61B1EB25-5706-40F8-B394-81792E6E0F15}" name="Column10128"/>
    <tableColumn id="10148" xr3:uid="{D31EBC39-02C5-41BD-A7C0-4FF98BBF9250}" name="Column10129"/>
    <tableColumn id="10149" xr3:uid="{0EEB976E-E832-4821-BE4C-4A2EEEA99AF7}" name="Column10130"/>
    <tableColumn id="10150" xr3:uid="{9F2D31FA-B09D-485E-A1A4-87BFE3809E28}" name="Column10131"/>
    <tableColumn id="10151" xr3:uid="{D3B45F96-BE17-4714-ADDD-07FE1A7F16AC}" name="Column10132"/>
    <tableColumn id="10152" xr3:uid="{FBF40DFD-C346-4997-B4BE-97A5664464FC}" name="Column10133"/>
    <tableColumn id="10153" xr3:uid="{BD162698-02CB-41CE-9AAC-A80A5C1A2522}" name="Column10134"/>
    <tableColumn id="10154" xr3:uid="{CA71C0BA-F952-4065-950B-845BEB5D6F21}" name="Column10135"/>
    <tableColumn id="10155" xr3:uid="{D1B5D470-DAC2-492E-919A-D59918D590F4}" name="Column10136"/>
    <tableColumn id="10156" xr3:uid="{5EBA667D-9AB7-4AC7-A2D2-2DC9523CB72E}" name="Column10137"/>
    <tableColumn id="10157" xr3:uid="{2DD08033-A0DE-459C-9159-D0C607A1508C}" name="Column10138"/>
    <tableColumn id="10158" xr3:uid="{1960221E-30A1-4E37-B89A-4AA7B5D3B1A4}" name="Column10139"/>
    <tableColumn id="10159" xr3:uid="{621B5DAB-FFBA-4894-B1AB-79AC7DA1B45F}" name="Column10140"/>
    <tableColumn id="10160" xr3:uid="{818AFD3D-89E9-421E-B500-8BC9736FC044}" name="Column10141"/>
    <tableColumn id="10161" xr3:uid="{A568DCBB-4460-4277-9517-13F0BECE286C}" name="Column10142"/>
    <tableColumn id="10162" xr3:uid="{89D6660B-60CC-4793-AC14-7F5627AE4913}" name="Column10143"/>
    <tableColumn id="10163" xr3:uid="{0BCA845C-5FAA-4012-BA8A-AF27470D877C}" name="Column10144"/>
    <tableColumn id="10164" xr3:uid="{212B952F-FD57-4B32-8043-331E87AB7D62}" name="Column10145"/>
    <tableColumn id="10165" xr3:uid="{9BB77838-2074-4B8C-BFF3-5C904D700DA3}" name="Column10146"/>
    <tableColumn id="10166" xr3:uid="{F721802E-5AB5-4B52-B1C8-B1BC43106DD8}" name="Column10147"/>
    <tableColumn id="10167" xr3:uid="{DC5F6191-9AEC-40FB-ACF9-93138EAB4BF6}" name="Column10148"/>
    <tableColumn id="10168" xr3:uid="{F5A4BF8B-5961-4377-ADFC-814B8E1BCC7F}" name="Column10149"/>
    <tableColumn id="10169" xr3:uid="{EFD2F340-ADE3-41AB-9812-7E7BDBB2DD67}" name="Column10150"/>
    <tableColumn id="10170" xr3:uid="{8B646650-199C-4AD3-B11C-6267BF431E58}" name="Column10151"/>
    <tableColumn id="10171" xr3:uid="{051217D2-9615-476E-AA08-52B292BDAEA6}" name="Column10152"/>
    <tableColumn id="10172" xr3:uid="{4F88AE61-1E16-4D27-B7EF-CDFB161BDA6E}" name="Column10153"/>
    <tableColumn id="10173" xr3:uid="{C25B3636-68DD-4A0A-B025-3CF8511A7EEA}" name="Column10154"/>
    <tableColumn id="10174" xr3:uid="{113BB7DB-8DFC-4521-9C1D-271248A425D7}" name="Column10155"/>
    <tableColumn id="10175" xr3:uid="{903AAB09-1E36-43D8-B8F3-342E8001A63A}" name="Column10156"/>
    <tableColumn id="10176" xr3:uid="{1928E31A-B4D6-4354-BCC9-8C6741A9EF87}" name="Column10157"/>
    <tableColumn id="10177" xr3:uid="{0A5B7605-1BB9-45BE-AABA-9006342A19B3}" name="Column10158"/>
    <tableColumn id="10178" xr3:uid="{1C4410C5-CE1C-4030-AEF6-A83961E00D5B}" name="Column10159"/>
    <tableColumn id="10179" xr3:uid="{A0F8E277-4C2A-4A89-9C78-5FD31318FEC7}" name="Column10160"/>
    <tableColumn id="10180" xr3:uid="{460F4B2C-8270-4885-9CFF-679CD98C7450}" name="Column10161"/>
    <tableColumn id="10181" xr3:uid="{5035D8E1-8483-4A74-AE17-F9501C10A37E}" name="Column10162"/>
    <tableColumn id="10182" xr3:uid="{F8A6E3A8-247A-4E3F-989F-BEFE6FC25411}" name="Column10163"/>
    <tableColumn id="10183" xr3:uid="{C7DC691D-F37C-428E-B53E-7EC55030FF84}" name="Column10164"/>
    <tableColumn id="10184" xr3:uid="{7D5D50A8-A183-4A40-9461-E6E9B588C569}" name="Column10165"/>
    <tableColumn id="10185" xr3:uid="{BE349870-F942-468A-B6EF-0927103CD473}" name="Column10166"/>
    <tableColumn id="10186" xr3:uid="{7F5922A9-FF9B-498B-B26A-431F3848252A}" name="Column10167"/>
    <tableColumn id="10187" xr3:uid="{AAFD8327-6F6A-4E97-8C4D-8583E85D2305}" name="Column10168"/>
    <tableColumn id="10188" xr3:uid="{48E6B9A9-67D4-44E1-8F15-50E7411FD1A1}" name="Column10169"/>
    <tableColumn id="10189" xr3:uid="{5208C850-7A9C-4FB7-A863-590EABCA39E5}" name="Column10170"/>
    <tableColumn id="10190" xr3:uid="{4413AC5F-2BA4-4288-84DE-F45CB2B5F7EF}" name="Column10171"/>
    <tableColumn id="10191" xr3:uid="{E9713A39-270E-4905-B239-BBE4E9735565}" name="Column10172"/>
    <tableColumn id="10192" xr3:uid="{3AA425E4-A586-461D-9016-B38659A9A94A}" name="Column10173"/>
    <tableColumn id="10193" xr3:uid="{35A7CC34-A0B0-45AE-A248-884FD8025AEE}" name="Column10174"/>
    <tableColumn id="10194" xr3:uid="{7CCA6102-DAD9-4E7B-9D7C-3544136155EF}" name="Column10175"/>
    <tableColumn id="10195" xr3:uid="{6EB9F452-5CC9-446C-A212-F8C754C20D10}" name="Column10176"/>
    <tableColumn id="10196" xr3:uid="{4B634439-F5AF-4A93-8D51-68B313F76FC8}" name="Column10177"/>
    <tableColumn id="10197" xr3:uid="{32F0A905-64F5-4B85-8DDC-326CDB371507}" name="Column10178"/>
    <tableColumn id="10198" xr3:uid="{85ADED2D-BAC7-4757-AC37-AABF5951D220}" name="Column10179"/>
    <tableColumn id="10199" xr3:uid="{BF08B96B-769F-4473-B01C-7CC7818B70D2}" name="Column10180"/>
    <tableColumn id="10200" xr3:uid="{9C53F3CC-7C2A-4638-BF1C-0B3F71FA6DA1}" name="Column10181"/>
    <tableColumn id="10201" xr3:uid="{79B0FDA6-1F33-4E71-B3A0-865AF5FE8BF9}" name="Column10182"/>
    <tableColumn id="10202" xr3:uid="{22ABE033-9859-4C0C-8A08-D0729DA69F0E}" name="Column10183"/>
    <tableColumn id="10203" xr3:uid="{035A90A6-471A-422E-BBEF-898C4EA895DB}" name="Column10184"/>
    <tableColumn id="10204" xr3:uid="{13BA35F7-04D8-49D9-BFFA-E9E139BE1F55}" name="Column10185"/>
    <tableColumn id="10205" xr3:uid="{B3CDE255-73E4-47B0-8FF9-A0E0FE350925}" name="Column10186"/>
    <tableColumn id="10206" xr3:uid="{C433A54C-CAF1-44A3-9CDC-C72E49E62DBE}" name="Column10187"/>
    <tableColumn id="10207" xr3:uid="{36BCA2F7-B935-4FEC-A9B4-89DFC39666D7}" name="Column10188"/>
    <tableColumn id="10208" xr3:uid="{B88B8C39-4D46-4675-A0BF-FAD7BE50E5D9}" name="Column10189"/>
    <tableColumn id="10209" xr3:uid="{3AB34150-A4F5-4EC2-91D4-F1A710BF4EB5}" name="Column10190"/>
    <tableColumn id="10210" xr3:uid="{D84B8959-3B98-4FDB-9FE3-DEAB1C29597E}" name="Column10191"/>
    <tableColumn id="10211" xr3:uid="{D39A6637-F9D7-4865-ACE9-8E7FAD541853}" name="Column10192"/>
    <tableColumn id="10212" xr3:uid="{9DE8C0EB-3305-4CA9-8888-34CBB56A3C9D}" name="Column10193"/>
    <tableColumn id="10213" xr3:uid="{58ECEEE2-F91E-4A23-9107-504B9C21913F}" name="Column10194"/>
    <tableColumn id="10214" xr3:uid="{D043EE33-794E-4A90-8117-347B4B0D0AB3}" name="Column10195"/>
    <tableColumn id="10215" xr3:uid="{04C5576F-C1C2-4150-BD77-16AD6C027282}" name="Column10196"/>
    <tableColumn id="10216" xr3:uid="{FC6A24CC-3FF2-46FD-B168-8C962F91E62F}" name="Column10197"/>
    <tableColumn id="10217" xr3:uid="{C2B34863-D3CB-41A3-9EF7-AD1821BB3345}" name="Column10198"/>
    <tableColumn id="10218" xr3:uid="{5FACB3FE-E0FD-4F96-8D0D-F5821279D9D7}" name="Column10199"/>
    <tableColumn id="10219" xr3:uid="{B1CFC180-1F24-461B-8DAD-C241462DFC0A}" name="Column10200"/>
    <tableColumn id="10220" xr3:uid="{592B1499-3B10-42E1-B838-A976873B9D66}" name="Column10201"/>
    <tableColumn id="10221" xr3:uid="{96809C81-FDF3-476F-A610-7252B7F883E0}" name="Column10202"/>
    <tableColumn id="10222" xr3:uid="{59572464-C951-414C-8D2B-A3D3E2FAD1AC}" name="Column10203"/>
    <tableColumn id="10223" xr3:uid="{FE3A059D-3736-4631-A9BD-DC27FDA4128A}" name="Column10204"/>
    <tableColumn id="10224" xr3:uid="{A5796362-0C81-4DEC-BDE5-54BE1B4F0485}" name="Column10205"/>
    <tableColumn id="10225" xr3:uid="{EC623403-5811-4364-8B6C-A82AFC73CBAE}" name="Column10206"/>
    <tableColumn id="10226" xr3:uid="{14E5F772-8847-4BC8-BD72-84A6754387CE}" name="Column10207"/>
    <tableColumn id="10227" xr3:uid="{4726CFB3-9D50-428D-9BB8-E5258D32C39B}" name="Column10208"/>
    <tableColumn id="10228" xr3:uid="{B77856BE-AA6C-42F7-8D0B-FF480857EA14}" name="Column10209"/>
    <tableColumn id="10229" xr3:uid="{E390D45B-214E-42FC-9F77-5A862235088F}" name="Column10210"/>
    <tableColumn id="10230" xr3:uid="{E6B7BFF8-50C5-430F-A51A-61A1AD4C7FCA}" name="Column10211"/>
    <tableColumn id="10231" xr3:uid="{05D3E483-F28F-4B9E-8671-74E10891A761}" name="Column10212"/>
    <tableColumn id="10232" xr3:uid="{C8B4DA0B-B695-4AA2-AD5F-C626C9F8BA98}" name="Column10213"/>
    <tableColumn id="10233" xr3:uid="{30614357-AA10-4B07-BAD4-C9BD3044CE1A}" name="Column10214"/>
    <tableColumn id="10234" xr3:uid="{12CCE639-EEAE-47D2-97B1-EF56D3DF8905}" name="Column10215"/>
    <tableColumn id="10235" xr3:uid="{274BF78D-3F19-40CC-8A98-89A498E6709C}" name="Column10216"/>
    <tableColumn id="10236" xr3:uid="{150C8761-ECC3-4A70-B04C-399EEFE45B1C}" name="Column10217"/>
    <tableColumn id="10237" xr3:uid="{D4CAC2AA-A2F3-4E70-BC26-CF6D6F623DC1}" name="Column10218"/>
    <tableColumn id="10238" xr3:uid="{5D408FAF-E255-4DB1-9EDF-06A4C05CA383}" name="Column10219"/>
    <tableColumn id="10239" xr3:uid="{AB7952FF-382C-4351-A85E-CADB76CDC417}" name="Column10220"/>
    <tableColumn id="10240" xr3:uid="{36493823-17EA-4D41-B7B9-4846DA2D80C4}" name="Column10221"/>
    <tableColumn id="10241" xr3:uid="{8576B6D4-0386-4944-A203-BEB615D608BB}" name="Column10222"/>
    <tableColumn id="10242" xr3:uid="{5EBD10E5-A4F7-4963-9BB0-CD4F321BBA73}" name="Column10223"/>
    <tableColumn id="10243" xr3:uid="{C9123124-56DD-4032-896A-CF9C8134CC90}" name="Column10224"/>
    <tableColumn id="10244" xr3:uid="{3D413375-63F0-4024-AACD-76990A714634}" name="Column10225"/>
    <tableColumn id="10245" xr3:uid="{A8220FE4-1F22-44C5-A9CC-899A89F026B8}" name="Column10226"/>
    <tableColumn id="10246" xr3:uid="{ACBFE81F-EE22-4DD5-A5FF-B7700B318ECD}" name="Column10227"/>
    <tableColumn id="10247" xr3:uid="{FA352692-7483-474A-BE61-AA357D56F549}" name="Column10228"/>
    <tableColumn id="10248" xr3:uid="{CD878129-F5C7-48B8-BEEF-1B06F0884555}" name="Column10229"/>
    <tableColumn id="10249" xr3:uid="{FC6197C9-EADD-42E8-96F8-B77FC041F0F7}" name="Column10230"/>
    <tableColumn id="10250" xr3:uid="{9729EE01-7CB6-4822-9AD3-C123521844C2}" name="Column10231"/>
    <tableColumn id="10251" xr3:uid="{CB7EE05A-B6EA-4FFB-ADBF-7E5069C7E58F}" name="Column10232"/>
    <tableColumn id="10252" xr3:uid="{4C6079D6-3604-4C70-A610-EF92BE4FF6F2}" name="Column10233"/>
    <tableColumn id="10253" xr3:uid="{1E6E59D4-6A35-45B3-AD34-206649B61C4F}" name="Column10234"/>
    <tableColumn id="10254" xr3:uid="{5D7121BC-7992-482A-B7EF-0ECF2F69032D}" name="Column10235"/>
    <tableColumn id="10255" xr3:uid="{5254FBB5-AE95-48B3-91A0-EAAFA91121B9}" name="Column10236"/>
    <tableColumn id="10256" xr3:uid="{7D6B48D6-9E91-44BC-8302-14F41CAEDE3C}" name="Column10237"/>
    <tableColumn id="10257" xr3:uid="{9BA136D5-6D4E-4D38-8D94-EFEC53C42364}" name="Column10238"/>
    <tableColumn id="10258" xr3:uid="{BF00004C-7FA8-491F-B92C-60D31C92B188}" name="Column10239"/>
    <tableColumn id="10259" xr3:uid="{686CD577-EB3C-43AD-A06E-E527173F9DC0}" name="Column10240"/>
    <tableColumn id="10260" xr3:uid="{08A747C9-0C70-4CDD-BCF3-C8C79088CB0C}" name="Column10241"/>
    <tableColumn id="10261" xr3:uid="{5F7A6C55-5EF5-45B4-95F4-7FF1A6F3372C}" name="Column10242"/>
    <tableColumn id="10262" xr3:uid="{9BD9F9C7-C00D-450D-9C3F-24EB2D4F566F}" name="Column10243"/>
    <tableColumn id="10263" xr3:uid="{5AE911A7-AE7A-4A3B-BA00-8F1D026FB4AD}" name="Column10244"/>
    <tableColumn id="10264" xr3:uid="{660BB249-59A4-4B3A-847B-F29218340628}" name="Column10245"/>
    <tableColumn id="10265" xr3:uid="{2DE49F20-44DC-4CBA-BD45-9A4088712BA0}" name="Column10246"/>
    <tableColumn id="10266" xr3:uid="{8BB51E7F-035E-49CD-9089-5CF0794E3A83}" name="Column10247"/>
    <tableColumn id="10267" xr3:uid="{95F47EC8-9DB7-454A-BCFD-6C7AC027B3CE}" name="Column10248"/>
    <tableColumn id="10268" xr3:uid="{24402BDF-E24A-4CB6-B364-5CAC705D9E20}" name="Column10249"/>
    <tableColumn id="10269" xr3:uid="{43B16A69-2CF1-43B5-8EE8-13CEAB99250A}" name="Column10250"/>
    <tableColumn id="10270" xr3:uid="{CBE76696-6871-4DCD-B31C-159A85941BC8}" name="Column10251"/>
    <tableColumn id="10271" xr3:uid="{170D58F4-09A0-43B4-9E55-2E02C3E9FB4B}" name="Column10252"/>
    <tableColumn id="10272" xr3:uid="{9D1663B9-3045-45BA-AE18-56013BDA4690}" name="Column10253"/>
    <tableColumn id="10273" xr3:uid="{4AA98F82-E5AC-46DC-94FD-AADA7E4BA76D}" name="Column10254"/>
    <tableColumn id="10274" xr3:uid="{32A76201-4D8A-452A-A422-25B55BC24878}" name="Column10255"/>
    <tableColumn id="10275" xr3:uid="{00B9C647-5D66-4000-BB90-C4E54FDD2AA5}" name="Column10256"/>
    <tableColumn id="10276" xr3:uid="{DE8CEEFB-BAB8-4843-B8B1-EAC9FC73F056}" name="Column10257"/>
    <tableColumn id="10277" xr3:uid="{9019F070-8F62-436D-9A33-6CAC6838BD8C}" name="Column10258"/>
    <tableColumn id="10278" xr3:uid="{475163D0-47D0-4E64-B8C2-4470908E1A95}" name="Column10259"/>
    <tableColumn id="10279" xr3:uid="{32588134-BECA-45EC-A43A-61BF9EB1193F}" name="Column10260"/>
    <tableColumn id="10280" xr3:uid="{849535D4-2AE6-4932-888B-D9553471308E}" name="Column10261"/>
    <tableColumn id="10281" xr3:uid="{2717E902-91A3-4EBE-8205-5D8EF5224E09}" name="Column10262"/>
    <tableColumn id="10282" xr3:uid="{20A45DE5-FA8B-4B5E-9F66-F3D2A90460F6}" name="Column10263"/>
    <tableColumn id="10283" xr3:uid="{55458F2A-379A-490D-9937-D293531761E2}" name="Column10264"/>
    <tableColumn id="10284" xr3:uid="{60DC5FBC-D864-45DC-9FBF-FC71A9E4936B}" name="Column10265"/>
    <tableColumn id="10285" xr3:uid="{7BB1D241-1C11-4E99-BB04-64D80BBA1E90}" name="Column10266"/>
    <tableColumn id="10286" xr3:uid="{EB927E56-D9E5-40C9-8CE8-D68AAD5A9AB4}" name="Column10267"/>
    <tableColumn id="10287" xr3:uid="{D250E2AC-0253-4892-B8AF-98B44704781A}" name="Column10268"/>
    <tableColumn id="10288" xr3:uid="{FFB50DC5-EE48-4947-87EA-B4723A9F6C74}" name="Column10269"/>
    <tableColumn id="10289" xr3:uid="{95F60563-C9DA-48DC-A3D3-7BB6FDE26FF6}" name="Column10270"/>
    <tableColumn id="10290" xr3:uid="{12483313-03FE-490C-9198-894776F575C9}" name="Column10271"/>
    <tableColumn id="10291" xr3:uid="{975D62A0-654B-469E-A71B-E9196DD6C319}" name="Column10272"/>
    <tableColumn id="10292" xr3:uid="{8B524581-BFFB-4B75-A204-831C2C9F1633}" name="Column10273"/>
    <tableColumn id="10293" xr3:uid="{38C7FB51-8E94-458B-95D1-08576F85C3C5}" name="Column10274"/>
    <tableColumn id="10294" xr3:uid="{16D9B833-28FB-48E1-95E7-8A47B369F3D9}" name="Column10275"/>
    <tableColumn id="10295" xr3:uid="{2CA8AD0F-CEEF-4B70-A83D-78DC07771595}" name="Column10276"/>
    <tableColumn id="10296" xr3:uid="{C37C342F-7F49-4737-BC40-CF4E708D2364}" name="Column10277"/>
    <tableColumn id="10297" xr3:uid="{6574145B-57F7-4451-AFDF-624223920D93}" name="Column10278"/>
    <tableColumn id="10298" xr3:uid="{6652E009-BA17-49E8-9093-F039393F845D}" name="Column10279"/>
    <tableColumn id="10299" xr3:uid="{58BC5270-B814-4B94-A463-1136E7ABAECB}" name="Column10280"/>
    <tableColumn id="10300" xr3:uid="{505EB34F-81C4-4079-994F-694F0110B69C}" name="Column10281"/>
    <tableColumn id="10301" xr3:uid="{7AC6B387-17F9-44F4-8CFC-A5743A397F9F}" name="Column10282"/>
    <tableColumn id="10302" xr3:uid="{996EB567-B61A-4AB8-9E18-AF1F8BD1814F}" name="Column10283"/>
    <tableColumn id="10303" xr3:uid="{06FE6E75-A57A-41E3-9240-8A9963662BCE}" name="Column10284"/>
    <tableColumn id="10304" xr3:uid="{9D7EA654-0222-4CEA-A412-644FF8916E26}" name="Column10285"/>
    <tableColumn id="10305" xr3:uid="{508916FD-7206-45C8-A39F-997666D8324C}" name="Column10286"/>
    <tableColumn id="10306" xr3:uid="{6665A6AA-09B6-43F3-8A18-D8172FB80C46}" name="Column10287"/>
    <tableColumn id="10307" xr3:uid="{D3A60E36-5900-46AF-B87B-A228DEDCE732}" name="Column10288"/>
    <tableColumn id="10308" xr3:uid="{8D0210C8-8604-45A3-8D43-B17AECD61C2C}" name="Column10289"/>
    <tableColumn id="10309" xr3:uid="{524DC2BE-81AD-4B19-B70C-F96ECF441084}" name="Column10290"/>
    <tableColumn id="10310" xr3:uid="{F12D7E74-5DD6-48CC-811D-811DFD0B3A2F}" name="Column10291"/>
    <tableColumn id="10311" xr3:uid="{9B4D48F9-D6BB-44B4-9951-21DFB9478AB3}" name="Column10292"/>
    <tableColumn id="10312" xr3:uid="{0F2FBF19-FFE8-41C0-ABFE-B1684C33449E}" name="Column10293"/>
    <tableColumn id="10313" xr3:uid="{DF8DEB37-BA02-4631-B96C-3CD9BF42C163}" name="Column10294"/>
    <tableColumn id="10314" xr3:uid="{24D659E7-91FD-446F-99E2-DD48A519EAD1}" name="Column10295"/>
    <tableColumn id="10315" xr3:uid="{DCDCE398-F3B2-45D3-80F9-EF1392D81415}" name="Column10296"/>
    <tableColumn id="10316" xr3:uid="{6568D6EA-79B6-4135-99DA-1EB12D7ACAE6}" name="Column10297"/>
    <tableColumn id="10317" xr3:uid="{A9AED0CA-AB34-4EE8-928F-7B38C35718A2}" name="Column10298"/>
    <tableColumn id="10318" xr3:uid="{360562CB-09A4-4157-B5BA-D46CC3CD51D0}" name="Column10299"/>
    <tableColumn id="10319" xr3:uid="{71FBE86B-9CFD-4CE1-A9E0-B2EC34EFDA32}" name="Column10300"/>
    <tableColumn id="10320" xr3:uid="{5A55B33F-46CB-428D-8D1A-8758DBB719C9}" name="Column10301"/>
    <tableColumn id="10321" xr3:uid="{360B2C78-E62C-4660-9322-AD390ACC65F1}" name="Column10302"/>
    <tableColumn id="10322" xr3:uid="{83E2FA85-1315-4FEA-B03A-CC0A22D5A301}" name="Column10303"/>
    <tableColumn id="10323" xr3:uid="{6BC370E1-18EF-4830-8742-47E51B6FC1F0}" name="Column10304"/>
    <tableColumn id="10324" xr3:uid="{104E6D18-9529-4D5D-9283-8DAAEB5A2CF0}" name="Column10305"/>
    <tableColumn id="10325" xr3:uid="{423C8602-7547-4F1C-945A-F4B4BC71F043}" name="Column10306"/>
    <tableColumn id="10326" xr3:uid="{578B2977-7627-4721-B250-52E4E0950A21}" name="Column10307"/>
    <tableColumn id="10327" xr3:uid="{FD674003-16F6-4EA1-ADEB-C0C5468DCAD9}" name="Column10308"/>
    <tableColumn id="10328" xr3:uid="{DB0D072B-B0E0-4514-AB58-B2BFF0237800}" name="Column10309"/>
    <tableColumn id="10329" xr3:uid="{CD8EF153-E31D-4282-A44C-16ED7B0E845F}" name="Column10310"/>
    <tableColumn id="10330" xr3:uid="{61518E72-529C-494A-BBA4-1838CA790DC4}" name="Column10311"/>
    <tableColumn id="10331" xr3:uid="{69C43FB3-AA0B-4D71-A363-7CA62712B2FF}" name="Column10312"/>
    <tableColumn id="10332" xr3:uid="{9F3D8685-3BDA-48C5-A48B-3C83AA20277F}" name="Column10313"/>
    <tableColumn id="10333" xr3:uid="{88C152C3-970E-4B91-BDA0-80196D6309ED}" name="Column10314"/>
    <tableColumn id="10334" xr3:uid="{66DE4549-68EC-42E0-BEA4-D175F401FAB1}" name="Column10315"/>
    <tableColumn id="10335" xr3:uid="{B431532C-B80A-4BA6-9702-89B054436E17}" name="Column10316"/>
    <tableColumn id="10336" xr3:uid="{7DFAED9A-9632-44CC-8DB1-DDF9D2A5B61E}" name="Column10317"/>
    <tableColumn id="10337" xr3:uid="{72491799-3E46-46CC-98A8-65FB01E21A0C}" name="Column10318"/>
    <tableColumn id="10338" xr3:uid="{301EF6C7-61E5-45E3-A13E-00C05D3A653C}" name="Column10319"/>
    <tableColumn id="10339" xr3:uid="{0834E7EA-CE49-4E3C-A6D2-FE42F060EF37}" name="Column10320"/>
    <tableColumn id="10340" xr3:uid="{610EA933-B964-4688-8478-829155F2268F}" name="Column10321"/>
    <tableColumn id="10341" xr3:uid="{66FAD271-8C74-4869-891F-F2D006A6AD36}" name="Column10322"/>
    <tableColumn id="10342" xr3:uid="{456139CA-3936-40B5-8F12-7C34ED455A89}" name="Column10323"/>
    <tableColumn id="10343" xr3:uid="{5870E06F-3077-4A88-88D2-305C4E56AB56}" name="Column10324"/>
    <tableColumn id="10344" xr3:uid="{5CA11E0C-A94B-485C-9C6C-31D660510CE4}" name="Column10325"/>
    <tableColumn id="10345" xr3:uid="{071ABBBB-43E9-4AD9-89C0-3555E22BDBA8}" name="Column10326"/>
    <tableColumn id="10346" xr3:uid="{D82B86D5-9C02-4548-9FCA-2FBE1BAAAD1E}" name="Column10327"/>
    <tableColumn id="10347" xr3:uid="{58D07C7C-9D19-4389-8652-D879305C6E7D}" name="Column10328"/>
    <tableColumn id="10348" xr3:uid="{AFCFA05C-9BB6-44C7-BE3C-8F712F13B158}" name="Column10329"/>
    <tableColumn id="10349" xr3:uid="{65D3656F-92AF-417A-90BB-2B673835EAFB}" name="Column10330"/>
    <tableColumn id="10350" xr3:uid="{524DDB6A-69C8-4EC0-9189-DA7A7F25F717}" name="Column10331"/>
    <tableColumn id="10351" xr3:uid="{B1C097B4-A720-4FD4-8A22-3A24C261BA64}" name="Column10332"/>
    <tableColumn id="10352" xr3:uid="{A76E5578-C173-4EC5-B603-0E0EB16A24AC}" name="Column10333"/>
    <tableColumn id="10353" xr3:uid="{D6678849-6DD0-46F1-B41E-58AF8D80BB92}" name="Column10334"/>
    <tableColumn id="10354" xr3:uid="{3139A634-DD73-4417-8290-782EF949577D}" name="Column10335"/>
    <tableColumn id="10355" xr3:uid="{403F87FC-29A1-4581-BBD7-20D9AB73D3CC}" name="Column10336"/>
    <tableColumn id="10356" xr3:uid="{5CF4C5AA-D3F9-40CB-BE96-1B6C7D7F3EA6}" name="Column10337"/>
    <tableColumn id="10357" xr3:uid="{666703F7-E7D2-4E9B-AAC3-DF893C315810}" name="Column10338"/>
    <tableColumn id="10358" xr3:uid="{93DACADD-A162-40BE-9327-E69ECD9B880A}" name="Column10339"/>
    <tableColumn id="10359" xr3:uid="{812F575A-E565-471D-89DC-AD4BBC0F9870}" name="Column10340"/>
    <tableColumn id="10360" xr3:uid="{4022BFFE-ED2F-4025-9410-BCACB264B78E}" name="Column10341"/>
    <tableColumn id="10361" xr3:uid="{26BEEC15-2D67-4D99-A9DE-E387A9581907}" name="Column10342"/>
    <tableColumn id="10362" xr3:uid="{7496EDF0-5114-42B9-BCB3-895F4316D5D3}" name="Column10343"/>
    <tableColumn id="10363" xr3:uid="{89AEB71F-1CA9-4F99-9E9D-0E4A441621B4}" name="Column10344"/>
    <tableColumn id="10364" xr3:uid="{FD7DD3BC-3DE3-4095-8A27-3E9F3DE0859D}" name="Column10345"/>
    <tableColumn id="10365" xr3:uid="{88783D31-EA0F-44DA-91AA-E28B005D7D11}" name="Column10346"/>
    <tableColumn id="10366" xr3:uid="{D43B943D-0C48-41DE-9E74-AC91C58811FF}" name="Column10347"/>
    <tableColumn id="10367" xr3:uid="{1967327D-1B97-40EA-AD90-8C671BD087F6}" name="Column10348"/>
    <tableColumn id="10368" xr3:uid="{16DE0626-D4A0-4425-81EF-6A5EBE5E0749}" name="Column10349"/>
    <tableColumn id="10369" xr3:uid="{23799922-EB0D-4E6B-BF0F-87BB755D27A1}" name="Column10350"/>
    <tableColumn id="10370" xr3:uid="{E4A74017-D453-47EE-8DD3-403A0F9E4ED4}" name="Column10351"/>
    <tableColumn id="10371" xr3:uid="{279F9BAB-BA5A-454E-9834-DD1610E25A52}" name="Column10352"/>
    <tableColumn id="10372" xr3:uid="{F47203C1-1DA9-48AD-AC5F-51B6934D45CA}" name="Column10353"/>
    <tableColumn id="10373" xr3:uid="{F87F0402-B101-4B81-90FD-AD5643DA4792}" name="Column10354"/>
    <tableColumn id="10374" xr3:uid="{8ED195B0-D0A4-4072-B67F-EE8095AA7AFA}" name="Column10355"/>
    <tableColumn id="10375" xr3:uid="{486C954E-943B-4150-BE82-2D40052628C1}" name="Column10356"/>
    <tableColumn id="10376" xr3:uid="{06C47DEE-9BFB-4C77-B195-ABD75AFEFC1C}" name="Column10357"/>
    <tableColumn id="10377" xr3:uid="{132D2F5B-5E66-42F9-BC22-178BA276074C}" name="Column10358"/>
    <tableColumn id="10378" xr3:uid="{A8DB45DD-4D95-4A01-B3ED-3506D5835062}" name="Column10359"/>
    <tableColumn id="10379" xr3:uid="{3D222ED5-E67F-4D35-BCB4-0D0E3FAFA793}" name="Column10360"/>
    <tableColumn id="10380" xr3:uid="{19573045-12CD-4F8A-8486-4D8549D3A858}" name="Column10361"/>
    <tableColumn id="10381" xr3:uid="{BD8BC66D-2D0E-47BB-9F4C-5653E885916A}" name="Column10362"/>
    <tableColumn id="10382" xr3:uid="{37440F3F-EDC1-4554-B383-03462D2F1227}" name="Column10363"/>
    <tableColumn id="10383" xr3:uid="{40B1DAAF-54A8-42BB-8B2D-F96BA53825F7}" name="Column10364"/>
    <tableColumn id="10384" xr3:uid="{80F8F178-C632-4585-877E-EF664F7798F3}" name="Column10365"/>
    <tableColumn id="10385" xr3:uid="{73D86CE3-CED6-4A17-A397-9CF95B8A38DC}" name="Column10366"/>
    <tableColumn id="10386" xr3:uid="{93EB15BC-3ABF-4ECA-83EB-C4F779E39F51}" name="Column10367"/>
    <tableColumn id="10387" xr3:uid="{15B9BB4C-6D35-4A8D-8F31-ED834E77A613}" name="Column10368"/>
    <tableColumn id="10388" xr3:uid="{2298CEA2-FA3A-471F-83A9-82FA0E8A05AF}" name="Column10369"/>
    <tableColumn id="10389" xr3:uid="{5931F0A3-95CA-4A3C-8642-FE1E5A63DBC9}" name="Column10370"/>
    <tableColumn id="10390" xr3:uid="{27BEBAEE-6894-49BC-970D-9FDCAEC77A71}" name="Column10371"/>
    <tableColumn id="10391" xr3:uid="{DDA234A7-A247-4C56-A2FC-F1069FD5FD66}" name="Column10372"/>
    <tableColumn id="10392" xr3:uid="{B74979B9-8F52-44F0-B8EC-4FB2EEF984B8}" name="Column10373"/>
    <tableColumn id="10393" xr3:uid="{434136F6-F778-4899-95E2-4886E9B5A30A}" name="Column10374"/>
    <tableColumn id="10394" xr3:uid="{E275B9E8-4783-4013-85C6-A92F0642FEEE}" name="Column10375"/>
    <tableColumn id="10395" xr3:uid="{A0B0DCB0-482A-4DBA-92F5-D25BD91B93E5}" name="Column10376"/>
    <tableColumn id="10396" xr3:uid="{2BF0A575-1789-4925-BFC1-2F21C8730AAD}" name="Column10377"/>
    <tableColumn id="10397" xr3:uid="{F643BA11-266F-496D-8657-2C2FE6DDEC36}" name="Column10378"/>
    <tableColumn id="10398" xr3:uid="{8234C6EA-91E7-48FB-A735-3B9809E9A8EA}" name="Column10379"/>
    <tableColumn id="10399" xr3:uid="{52047BED-0B90-4D5D-9528-69A78E43EDB4}" name="Column10380"/>
    <tableColumn id="10400" xr3:uid="{0CE4E992-3BD8-4D3B-81E5-02325CCDC8E5}" name="Column10381"/>
    <tableColumn id="10401" xr3:uid="{2C042256-C5C7-4008-97EF-7635EF47E556}" name="Column10382"/>
    <tableColumn id="10402" xr3:uid="{E2D8A405-E832-40B6-8B6F-BE4045573D62}" name="Column10383"/>
    <tableColumn id="10403" xr3:uid="{2FE50404-D851-4D5D-AF62-34BB8BF95E32}" name="Column10384"/>
    <tableColumn id="10404" xr3:uid="{34480BEA-3275-4411-8B69-985DFF23C087}" name="Column10385"/>
    <tableColumn id="10405" xr3:uid="{3457F5E5-1529-40B5-B21D-FD7180B0D413}" name="Column10386"/>
    <tableColumn id="10406" xr3:uid="{A8759B68-F229-4CEB-B22B-08D261C36403}" name="Column10387"/>
    <tableColumn id="10407" xr3:uid="{040F1897-2810-43B0-BEA2-5B2A57CB3F49}" name="Column10388"/>
    <tableColumn id="10408" xr3:uid="{99D5CAF7-85A7-4DA6-97D3-E7E0B5149430}" name="Column10389"/>
    <tableColumn id="10409" xr3:uid="{B68C4177-3883-4C14-97BB-78B32C7A5B92}" name="Column10390"/>
    <tableColumn id="10410" xr3:uid="{3532B8E8-B428-423B-A1E1-7573CB5B7ABD}" name="Column10391"/>
    <tableColumn id="10411" xr3:uid="{C5EC9247-8539-4E05-B49F-D1FC52E7DD15}" name="Column10392"/>
    <tableColumn id="10412" xr3:uid="{4C5296C8-B69B-49C5-B8AB-94210E245F62}" name="Column10393"/>
    <tableColumn id="10413" xr3:uid="{32A3B6AC-12E5-4854-8CE2-D24E3B54D4CB}" name="Column10394"/>
    <tableColumn id="10414" xr3:uid="{27AB6AF5-FDB5-4E45-8C53-717F1CC72D95}" name="Column10395"/>
    <tableColumn id="10415" xr3:uid="{ADA573B8-DA14-455F-9AD1-46D2B55954F2}" name="Column10396"/>
    <tableColumn id="10416" xr3:uid="{0F6A2574-69F4-472A-AFAE-C6C7216471B7}" name="Column10397"/>
    <tableColumn id="10417" xr3:uid="{AD4BABF7-6341-4095-9356-45A45B26090B}" name="Column10398"/>
    <tableColumn id="10418" xr3:uid="{C88A8A60-4B6A-4C3B-9F82-5C53EEF14F4C}" name="Column10399"/>
    <tableColumn id="10419" xr3:uid="{8269A399-EED5-48FF-A737-ED7CDB026113}" name="Column10400"/>
    <tableColumn id="10420" xr3:uid="{C5A8A9CC-FD64-4904-94E0-87A40EC325B2}" name="Column10401"/>
    <tableColumn id="10421" xr3:uid="{A68E4401-86C5-43E5-A388-0BC9EDF5D988}" name="Column10402"/>
    <tableColumn id="10422" xr3:uid="{25220CFC-EA82-4A31-8B01-1E478926E58C}" name="Column10403"/>
    <tableColumn id="10423" xr3:uid="{F9F7C11B-9BDD-4193-8D02-7B426FED86E3}" name="Column10404"/>
    <tableColumn id="10424" xr3:uid="{91BC56F1-B560-49D8-B988-2E6C95AA237D}" name="Column10405"/>
    <tableColumn id="10425" xr3:uid="{75DEFCD2-4303-4FE7-A062-4F58AC893C94}" name="Column10406"/>
    <tableColumn id="10426" xr3:uid="{B34130A9-F9CC-45A4-AE78-2EC700226AB2}" name="Column10407"/>
    <tableColumn id="10427" xr3:uid="{7FAF4815-AB30-4AFA-B632-FA9BE7582237}" name="Column10408"/>
    <tableColumn id="10428" xr3:uid="{1FFF362E-578E-4F34-B192-B24AD16356D8}" name="Column10409"/>
    <tableColumn id="10429" xr3:uid="{F25A6497-3A69-42F3-9888-09E7B4C76293}" name="Column10410"/>
    <tableColumn id="10430" xr3:uid="{32FA3E73-5824-4E28-A0E8-F0F0237CA988}" name="Column10411"/>
    <tableColumn id="10431" xr3:uid="{407CD999-9D3F-420C-832F-D94B2FA3BB44}" name="Column10412"/>
    <tableColumn id="10432" xr3:uid="{7630B0F4-FE1B-468C-85E0-D1A6571ADBA6}" name="Column10413"/>
    <tableColumn id="10433" xr3:uid="{735AE0E3-819A-4355-B19D-D399494760D4}" name="Column10414"/>
    <tableColumn id="10434" xr3:uid="{F2279CF7-B75D-4533-80B6-05400DAF804B}" name="Column10415"/>
    <tableColumn id="10435" xr3:uid="{1FE12849-C7FD-4383-B6F0-375DF2FAF7F8}" name="Column10416"/>
    <tableColumn id="10436" xr3:uid="{92EEF0FD-83A3-4B52-84B3-606DE6528D38}" name="Column10417"/>
    <tableColumn id="10437" xr3:uid="{C3B54573-D66B-4E66-B3D4-D7905812A868}" name="Column10418"/>
    <tableColumn id="10438" xr3:uid="{5B70E7D4-D5E1-4BE7-904F-0119C34A3F03}" name="Column10419"/>
    <tableColumn id="10439" xr3:uid="{0BD85C40-7EB6-4C71-88A3-7C1EEA316A41}" name="Column10420"/>
    <tableColumn id="10440" xr3:uid="{C7E2E3D6-DC06-4C05-8036-F1112DAD0AFC}" name="Column10421"/>
    <tableColumn id="10441" xr3:uid="{D31FF05F-E9D2-4A33-9CC1-40D43A29001B}" name="Column10422"/>
    <tableColumn id="10442" xr3:uid="{D01A4AD0-212F-4625-84E8-6AA2B6E216BD}" name="Column10423"/>
    <tableColumn id="10443" xr3:uid="{8CE8B028-0374-4169-BE9F-CE5AF2925997}" name="Column10424"/>
    <tableColumn id="10444" xr3:uid="{539B67C4-3053-4843-8D2F-3232328FA9E9}" name="Column10425"/>
    <tableColumn id="10445" xr3:uid="{CF86D8B8-F764-4C11-A306-9EEFB726F2A4}" name="Column10426"/>
    <tableColumn id="10446" xr3:uid="{E7E2FD4C-C9EE-4BD0-8BF2-9C60B45424DD}" name="Column10427"/>
    <tableColumn id="10447" xr3:uid="{BADAA33B-4F27-4E68-AAA4-8D4896E63B6E}" name="Column10428"/>
    <tableColumn id="10448" xr3:uid="{58A2615B-AC17-4E3D-A8C0-DE39F67BF6D8}" name="Column10429"/>
    <tableColumn id="10449" xr3:uid="{9E9C3096-611E-473B-96BD-0817C4C4307B}" name="Column10430"/>
    <tableColumn id="10450" xr3:uid="{99B7800C-D4AE-4B40-9AA1-2497F8696822}" name="Column10431"/>
    <tableColumn id="10451" xr3:uid="{A93761F5-2644-49C1-97AD-25F72D091275}" name="Column10432"/>
    <tableColumn id="10452" xr3:uid="{274195D7-D5E9-4C7D-90B0-22184360C7C2}" name="Column10433"/>
    <tableColumn id="10453" xr3:uid="{0917D83F-8899-40C7-A5D9-247311825318}" name="Column10434"/>
    <tableColumn id="10454" xr3:uid="{E1BD7F51-5E4F-4684-9E9F-FD2057744DED}" name="Column10435"/>
    <tableColumn id="10455" xr3:uid="{4B29A68F-80AC-4CE7-995C-13F27E252650}" name="Column10436"/>
    <tableColumn id="10456" xr3:uid="{C9AD532E-E5AA-4008-BC99-C0A92B6FA377}" name="Column10437"/>
    <tableColumn id="10457" xr3:uid="{6DEB7C86-FF8A-4831-8213-28FA646856FD}" name="Column10438"/>
    <tableColumn id="10458" xr3:uid="{84B5C212-9650-4150-85A3-BCF7F94B368B}" name="Column10439"/>
    <tableColumn id="10459" xr3:uid="{DA80E290-F430-484E-AA6E-2B457F510C23}" name="Column10440"/>
    <tableColumn id="10460" xr3:uid="{27690DE5-95E4-4720-B0C3-1EE015E1F7F5}" name="Column10441"/>
    <tableColumn id="10461" xr3:uid="{B6340BFE-97CE-4762-95CE-385BA703AA73}" name="Column10442"/>
    <tableColumn id="10462" xr3:uid="{B11F651A-E487-4028-9AAC-768BF29C607B}" name="Column10443"/>
    <tableColumn id="10463" xr3:uid="{87453432-B85E-43E3-8837-FCACB35AC880}" name="Column10444"/>
    <tableColumn id="10464" xr3:uid="{E52E63EC-E03E-4F38-A7DB-308586288007}" name="Column10445"/>
    <tableColumn id="10465" xr3:uid="{3FBB99F9-9A9D-4F4C-834B-8CF50543CE82}" name="Column10446"/>
    <tableColumn id="10466" xr3:uid="{1F70148F-53ED-49F0-8704-6933B2B2DE20}" name="Column10447"/>
    <tableColumn id="10467" xr3:uid="{F6E9EDF1-34D8-4F87-8AEC-556EA3DE28B2}" name="Column10448"/>
    <tableColumn id="10468" xr3:uid="{243B9760-12CC-4D2D-9A2E-328487A56FE6}" name="Column10449"/>
    <tableColumn id="10469" xr3:uid="{4B6F1BBC-73E5-4618-9487-CF9CC6F1C328}" name="Column10450"/>
    <tableColumn id="10470" xr3:uid="{7FA7FD55-8D4E-45DB-A4FA-9502807EA20E}" name="Column10451"/>
    <tableColumn id="10471" xr3:uid="{8CF8379F-7171-4F2E-9285-2555854560B8}" name="Column10452"/>
    <tableColumn id="10472" xr3:uid="{612ACE01-F92C-45C0-AE45-6A2DE92BDF94}" name="Column10453"/>
    <tableColumn id="10473" xr3:uid="{019894E3-BB5E-47AC-85EF-071A1ACE2408}" name="Column10454"/>
    <tableColumn id="10474" xr3:uid="{5E6AC399-31AD-46D2-82AD-98C810716D0D}" name="Column10455"/>
    <tableColumn id="10475" xr3:uid="{9D779270-29C0-498D-BE73-23ED7C9D0FE5}" name="Column10456"/>
    <tableColumn id="10476" xr3:uid="{41303997-6540-4D76-9D27-6D68019A12E6}" name="Column10457"/>
    <tableColumn id="10477" xr3:uid="{BB0A9B46-38EB-4948-85E4-AB128478C8E4}" name="Column10458"/>
    <tableColumn id="10478" xr3:uid="{E694F73D-3ED3-4BA4-8EDC-648A574DCF30}" name="Column10459"/>
    <tableColumn id="10479" xr3:uid="{7D30DB06-BC5B-46B0-99B8-EF2397B80D3B}" name="Column10460"/>
    <tableColumn id="10480" xr3:uid="{112932B6-2E11-413F-84E7-6B82BB4EDD56}" name="Column10461"/>
    <tableColumn id="10481" xr3:uid="{3780D2C1-ACBF-45F5-872B-0B6AC80502D8}" name="Column10462"/>
    <tableColumn id="10482" xr3:uid="{DCCD3046-5C8C-4A22-B327-A5F9F6A8D035}" name="Column10463"/>
    <tableColumn id="10483" xr3:uid="{ED8BE215-0EBB-44F8-9357-043E438E1CD0}" name="Column10464"/>
    <tableColumn id="10484" xr3:uid="{CF21531E-663D-4C80-8E5A-F1D97E50770F}" name="Column10465"/>
    <tableColumn id="10485" xr3:uid="{94B5D397-0582-4378-BA74-0A24ECE67BED}" name="Column10466"/>
    <tableColumn id="10486" xr3:uid="{E1A1A4DF-22A3-4FA9-8609-D61D4717FB9A}" name="Column10467"/>
    <tableColumn id="10487" xr3:uid="{6C2A4E39-5C38-4687-831D-CD0FEB40DBC9}" name="Column10468"/>
    <tableColumn id="10488" xr3:uid="{AFA38B50-1007-422E-86E5-CFB419A9F69C}" name="Column10469"/>
    <tableColumn id="10489" xr3:uid="{34E7D8A3-A1C4-43E6-B6F1-FFCA1E3728D4}" name="Column10470"/>
    <tableColumn id="10490" xr3:uid="{DE62A70C-3F15-4C8A-AEA0-3371422A2096}" name="Column10471"/>
    <tableColumn id="10491" xr3:uid="{EF0E9DAF-74F1-41A3-9819-989E035774FA}" name="Column10472"/>
    <tableColumn id="10492" xr3:uid="{101726BE-F564-45B4-BE1C-30F6A03EA664}" name="Column10473"/>
    <tableColumn id="10493" xr3:uid="{A830940A-6F20-46FE-AC7F-F03519E913A5}" name="Column10474"/>
    <tableColumn id="10494" xr3:uid="{DFF3D3E6-7A8B-401E-8F36-5693CB6BF326}" name="Column10475"/>
    <tableColumn id="10495" xr3:uid="{886A8AB4-4BCD-4E54-8FDA-FE2004A3ECF8}" name="Column10476"/>
    <tableColumn id="10496" xr3:uid="{309F6BB2-B31E-40DE-9BD4-EC082DB63C26}" name="Column10477"/>
    <tableColumn id="10497" xr3:uid="{FE672DA4-B25E-4998-AEF4-31BA40CFB8C4}" name="Column10478"/>
    <tableColumn id="10498" xr3:uid="{52CADE16-3E14-4E70-86F5-27E27F1E9F2C}" name="Column10479"/>
    <tableColumn id="10499" xr3:uid="{4E7482A3-607F-4808-B8C8-22D9C594106D}" name="Column10480"/>
    <tableColumn id="10500" xr3:uid="{2C945953-6775-4F6E-A0B1-1FAEF66F08F4}" name="Column10481"/>
    <tableColumn id="10501" xr3:uid="{DC815692-B492-4635-8C7C-7894D772D72A}" name="Column10482"/>
    <tableColumn id="10502" xr3:uid="{556F7116-5EC1-4F0A-9729-59400E3F22A3}" name="Column10483"/>
    <tableColumn id="10503" xr3:uid="{696A7CCF-D9A8-47B7-ADE1-6CB9C955A70E}" name="Column10484"/>
    <tableColumn id="10504" xr3:uid="{6DDED284-C42E-44D0-98E2-6C8C2A777E08}" name="Column10485"/>
    <tableColumn id="10505" xr3:uid="{9472C0B7-B74B-436A-BA55-B2AEB8223196}" name="Column10486"/>
    <tableColumn id="10506" xr3:uid="{190AF3A3-FB72-489E-BBB2-DFA4DA1E92F9}" name="Column10487"/>
    <tableColumn id="10507" xr3:uid="{E7555629-C25A-4AF0-8D81-7DD6F2AC785E}" name="Column10488"/>
    <tableColumn id="10508" xr3:uid="{E949443D-B132-495A-9D83-9EE450D7CF90}" name="Column10489"/>
    <tableColumn id="10509" xr3:uid="{A222BDEB-358E-46CC-856F-7C962EADD707}" name="Column10490"/>
    <tableColumn id="10510" xr3:uid="{9723A3D0-859E-4E76-B94C-77A5CC4B66AF}" name="Column10491"/>
    <tableColumn id="10511" xr3:uid="{FA30E12F-DF78-4BFC-88E8-D478BC178212}" name="Column10492"/>
    <tableColumn id="10512" xr3:uid="{CE11F121-2D42-448B-B30D-308587CEC5B5}" name="Column10493"/>
    <tableColumn id="10513" xr3:uid="{5C23E75C-94C3-4FC9-8A36-3D0F2F2E0D66}" name="Column10494"/>
    <tableColumn id="10514" xr3:uid="{D49551BC-D603-42D2-90E4-3F043AD94575}" name="Column10495"/>
    <tableColumn id="10515" xr3:uid="{18B29E78-2994-4157-ACED-A03A12710E2C}" name="Column10496"/>
    <tableColumn id="10516" xr3:uid="{2EEC7EAD-A0C8-4445-B1AF-C4ECF0E95753}" name="Column10497"/>
    <tableColumn id="10517" xr3:uid="{D962E36F-C9B5-4F87-9413-360035D4987E}" name="Column10498"/>
    <tableColumn id="10518" xr3:uid="{C453B196-2D48-410C-AF7D-62E17E2881D1}" name="Column10499"/>
    <tableColumn id="10519" xr3:uid="{D06A5FC6-1119-4468-839C-D990955EAD25}" name="Column10500"/>
    <tableColumn id="10520" xr3:uid="{B52AE12B-F559-4432-9C28-A9480CA06860}" name="Column10501"/>
    <tableColumn id="10521" xr3:uid="{2962EC89-DD3B-4945-A149-4E49583B929C}" name="Column10502"/>
    <tableColumn id="10522" xr3:uid="{56BF608F-6C9C-46A3-B72C-E662880A284D}" name="Column10503"/>
    <tableColumn id="10523" xr3:uid="{1C42D6BC-7E77-4783-9AED-91BB5C9EF1E2}" name="Column10504"/>
    <tableColumn id="10524" xr3:uid="{DA4284C5-B32C-4B5F-82BA-4310A2A4068B}" name="Column10505"/>
    <tableColumn id="10525" xr3:uid="{CDBF360D-ADD8-446A-8159-B5762F523ECD}" name="Column10506"/>
    <tableColumn id="10526" xr3:uid="{A235EAC8-905A-47AE-81ED-7B8FF429CDB4}" name="Column10507"/>
    <tableColumn id="10527" xr3:uid="{9A9256A0-298A-418E-8828-D51652B61ABE}" name="Column10508"/>
    <tableColumn id="10528" xr3:uid="{A1750F3C-A52D-4D93-9194-B1054759E043}" name="Column10509"/>
    <tableColumn id="10529" xr3:uid="{2E246C8B-ACE5-40E3-9929-8FF43B8D588A}" name="Column10510"/>
    <tableColumn id="10530" xr3:uid="{D8E5F945-9260-47B7-BB17-BA7CB0183833}" name="Column10511"/>
    <tableColumn id="10531" xr3:uid="{A92C6E8D-C588-433E-9602-A1E7A3FFFEA0}" name="Column10512"/>
    <tableColumn id="10532" xr3:uid="{E4E804E0-FF9D-4F97-9455-E9AE25E53BD7}" name="Column10513"/>
    <tableColumn id="10533" xr3:uid="{61133A7F-4882-4205-AF57-40DB61B9929B}" name="Column10514"/>
    <tableColumn id="10534" xr3:uid="{8904E793-12E2-4CC3-A65E-589A28BA3770}" name="Column10515"/>
    <tableColumn id="10535" xr3:uid="{2DD2F2BD-8382-4CD1-A322-5A9583136063}" name="Column10516"/>
    <tableColumn id="10536" xr3:uid="{FE3BF60B-E11F-43FD-97C6-59C64668E557}" name="Column10517"/>
    <tableColumn id="10537" xr3:uid="{1717CC1C-FAB3-47B6-A077-425C842FBACB}" name="Column10518"/>
    <tableColumn id="10538" xr3:uid="{84BAAF66-B173-43F6-8AAC-B81FF1C1D71A}" name="Column10519"/>
    <tableColumn id="10539" xr3:uid="{7412B207-EECC-4184-9854-BE85517B55BF}" name="Column10520"/>
    <tableColumn id="10540" xr3:uid="{B0DAE55F-76DD-4067-A585-3893D48E1B03}" name="Column10521"/>
    <tableColumn id="10541" xr3:uid="{46931A1F-3557-4457-9513-42556E1C86B9}" name="Column10522"/>
    <tableColumn id="10542" xr3:uid="{0FFDB3FA-2605-49AF-A288-49E4C8FD8FA6}" name="Column10523"/>
    <tableColumn id="10543" xr3:uid="{E1BEE085-05F2-4DD2-AEAB-5952B4BE6EC4}" name="Column10524"/>
    <tableColumn id="10544" xr3:uid="{BAA776EC-3E0F-44F9-9EAA-DB07707CD975}" name="Column10525"/>
    <tableColumn id="10545" xr3:uid="{091215D7-E022-4947-99EE-0E79B1EFED71}" name="Column10526"/>
    <tableColumn id="10546" xr3:uid="{5B343A20-78AD-4869-B6EB-9A89B800FCB9}" name="Column10527"/>
    <tableColumn id="10547" xr3:uid="{AFF5E03A-7450-4E22-895F-93C2C3AFB95B}" name="Column10528"/>
    <tableColumn id="10548" xr3:uid="{7755F479-08CA-4B29-B10C-1E5404AF9A4B}" name="Column10529"/>
    <tableColumn id="10549" xr3:uid="{087C485D-EB09-4D41-9AC5-A51B8724F20C}" name="Column10530"/>
    <tableColumn id="10550" xr3:uid="{94248AF0-63D8-452E-97A7-D68CAF1B2BCD}" name="Column10531"/>
    <tableColumn id="10551" xr3:uid="{F0E2ABF2-8A13-4228-959E-A94C166F02F2}" name="Column10532"/>
    <tableColumn id="10552" xr3:uid="{3EEEFAC4-B87B-4779-A134-3DDF9BA72835}" name="Column10533"/>
    <tableColumn id="10553" xr3:uid="{181E8CCC-DEA6-4399-8F73-68A3EFECF0FC}" name="Column10534"/>
    <tableColumn id="10554" xr3:uid="{CD7D71C1-D5D4-4888-B9A1-91C595461964}" name="Column10535"/>
    <tableColumn id="10555" xr3:uid="{7D3A69CD-6D9D-4419-8AE4-8DB5A805BEFC}" name="Column10536"/>
    <tableColumn id="10556" xr3:uid="{E0EF6938-E9C5-412C-A438-CE911221B007}" name="Column10537"/>
    <tableColumn id="10557" xr3:uid="{95DF445D-DCC9-430E-8527-00C8A336CCE7}" name="Column10538"/>
    <tableColumn id="10558" xr3:uid="{034669CA-3F1A-42D6-AEEF-DF0FDEDF0C0E}" name="Column10539"/>
    <tableColumn id="10559" xr3:uid="{836FB8E9-54A6-49B4-AF6B-9B7EFA1A60D8}" name="Column10540"/>
    <tableColumn id="10560" xr3:uid="{E11638AB-CA07-42E1-A2C1-9577901D2F1D}" name="Column10541"/>
    <tableColumn id="10561" xr3:uid="{8B02FACC-66EE-476B-B521-2D4BB1F0C84A}" name="Column10542"/>
    <tableColumn id="10562" xr3:uid="{A23A05C6-0984-4107-B792-EC1C1998815B}" name="Column10543"/>
    <tableColumn id="10563" xr3:uid="{5D495FB7-B51A-4D70-931C-8D3CB235E31E}" name="Column10544"/>
    <tableColumn id="10564" xr3:uid="{1BE75CFD-E9CE-4436-AC96-3A8B613C525B}" name="Column10545"/>
    <tableColumn id="10565" xr3:uid="{D94F1407-B3F9-4850-8BFE-41C1F050EF9A}" name="Column10546"/>
    <tableColumn id="10566" xr3:uid="{01287314-8A81-4095-A9CB-2DD1384E9E0C}" name="Column10547"/>
    <tableColumn id="10567" xr3:uid="{93441B5A-423F-46BD-8669-21A62E95B3E9}" name="Column10548"/>
    <tableColumn id="10568" xr3:uid="{B5E99CDF-2731-4AB2-A945-DD9D6B1B75CF}" name="Column10549"/>
    <tableColumn id="10569" xr3:uid="{81D750C6-23F1-4B4F-958A-0A49C8B849B5}" name="Column10550"/>
    <tableColumn id="10570" xr3:uid="{59CF8CFF-C44A-481D-AC21-1A402EEDC9A8}" name="Column10551"/>
    <tableColumn id="10571" xr3:uid="{18B68C6B-1DFC-4855-A8B6-C9C8B9D0C0D6}" name="Column10552"/>
    <tableColumn id="10572" xr3:uid="{69223B27-45FF-4793-9F53-4B7D29E74979}" name="Column10553"/>
    <tableColumn id="10573" xr3:uid="{10A5E498-28E1-4EE5-8167-65A722911E94}" name="Column10554"/>
    <tableColumn id="10574" xr3:uid="{A834047B-9FA6-4919-AC7A-08E92CB0E6BD}" name="Column10555"/>
    <tableColumn id="10575" xr3:uid="{6C74AC12-6BDB-4353-BED6-5672D5C848CE}" name="Column10556"/>
    <tableColumn id="10576" xr3:uid="{99B2FBEC-2852-4524-98AE-CA9B25C94422}" name="Column10557"/>
    <tableColumn id="10577" xr3:uid="{C1083EE9-6AD0-4483-8729-005F520B57F1}" name="Column10558"/>
    <tableColumn id="10578" xr3:uid="{DB7283BC-1A02-467D-BED0-55EC2EBF097D}" name="Column10559"/>
    <tableColumn id="10579" xr3:uid="{986EE148-53A1-4E0F-9B70-2CF03FFF78E8}" name="Column10560"/>
    <tableColumn id="10580" xr3:uid="{AB90E77F-01EA-42C0-A2F9-3A5EC0EDCC6F}" name="Column10561"/>
    <tableColumn id="10581" xr3:uid="{842D285C-1BD7-4915-8FF7-E01A0245FD08}" name="Column10562"/>
    <tableColumn id="10582" xr3:uid="{1322FE42-6260-48D2-B734-CC0FF17871A0}" name="Column10563"/>
    <tableColumn id="10583" xr3:uid="{74C77524-039F-4F06-9805-8C6A05E26F1C}" name="Column10564"/>
    <tableColumn id="10584" xr3:uid="{C71C31E0-AF76-44F8-822A-8FA4B274FCD4}" name="Column10565"/>
    <tableColumn id="10585" xr3:uid="{1C747368-566E-4F0F-B5BF-AA80E1F67260}" name="Column10566"/>
    <tableColumn id="10586" xr3:uid="{BFA0A36F-CF0F-4043-85BF-21E90C56E2BE}" name="Column10567"/>
    <tableColumn id="10587" xr3:uid="{36AD84E1-1CB6-4AA6-B31A-7DE091FF581D}" name="Column10568"/>
    <tableColumn id="10588" xr3:uid="{CF3FBA54-DEFE-43B8-AB34-D663E2644B10}" name="Column10569"/>
    <tableColumn id="10589" xr3:uid="{DE241D78-094C-4E26-B305-261AE45D41FD}" name="Column10570"/>
    <tableColumn id="10590" xr3:uid="{F20AA6B5-5E82-4147-9263-074651902637}" name="Column10571"/>
    <tableColumn id="10591" xr3:uid="{D26FA73B-CE5A-42AF-BAC5-DD174A1FA817}" name="Column10572"/>
    <tableColumn id="10592" xr3:uid="{67BC26C9-355E-4BF0-8697-F9A7C5971B88}" name="Column10573"/>
    <tableColumn id="10593" xr3:uid="{283D6A99-83DB-465E-A20E-917C01D3096B}" name="Column10574"/>
    <tableColumn id="10594" xr3:uid="{14746BDF-0B60-4CA1-8FB3-13D29FCA9FDB}" name="Column10575"/>
    <tableColumn id="10595" xr3:uid="{906D782B-99ED-4590-A443-F5A82A14AE1E}" name="Column10576"/>
    <tableColumn id="10596" xr3:uid="{AEB69B08-9E12-4142-8F6C-310FBB23682D}" name="Column10577"/>
    <tableColumn id="10597" xr3:uid="{356497E8-D069-4E20-A24F-A2C5CB69A2D7}" name="Column10578"/>
    <tableColumn id="10598" xr3:uid="{533C5239-97AE-493A-97B4-2336F304199C}" name="Column10579"/>
    <tableColumn id="10599" xr3:uid="{3B0F0C57-4EE5-42AD-90E4-79A606D6CC8D}" name="Column10580"/>
    <tableColumn id="10600" xr3:uid="{776AA3A2-2904-4A40-8A80-7967EC8C680B}" name="Column10581"/>
    <tableColumn id="10601" xr3:uid="{ECBAB2EB-E89F-4994-9940-7DF69BAC3B2B}" name="Column10582"/>
    <tableColumn id="10602" xr3:uid="{82B31525-DC92-4FF9-84A5-441EFE0CE537}" name="Column10583"/>
    <tableColumn id="10603" xr3:uid="{A76EC2B8-ACCA-4BF4-9616-B0F8876D2136}" name="Column10584"/>
    <tableColumn id="10604" xr3:uid="{B44C6444-3475-4573-AA55-5AF1A19F660E}" name="Column10585"/>
    <tableColumn id="10605" xr3:uid="{10CDEB55-AD39-4AC0-BF5A-668B3EE21F85}" name="Column10586"/>
    <tableColumn id="10606" xr3:uid="{1A14DE1A-592A-4C51-ACF9-AF7301EB2485}" name="Column10587"/>
    <tableColumn id="10607" xr3:uid="{59441849-9D1B-4417-BDCD-3C3C9D292E43}" name="Column10588"/>
    <tableColumn id="10608" xr3:uid="{00881876-28BB-4CA8-85B9-F5E62EF7DDEE}" name="Column10589"/>
    <tableColumn id="10609" xr3:uid="{728D43D9-C1F1-4BAF-B5BE-603C09772642}" name="Column10590"/>
    <tableColumn id="10610" xr3:uid="{8EC6D3CB-0D72-4338-810C-FFBEA6167FD8}" name="Column10591"/>
    <tableColumn id="10611" xr3:uid="{120BC2D8-05DD-45D8-A888-5F0A3D589D55}" name="Column10592"/>
    <tableColumn id="10612" xr3:uid="{F9BA8B15-4A7B-4256-A645-91CA4899505B}" name="Column10593"/>
    <tableColumn id="10613" xr3:uid="{9941ADB2-1DB8-4BA7-80B9-97E54916B8FF}" name="Column10594"/>
    <tableColumn id="10614" xr3:uid="{C76D6E08-DDB7-43EF-8318-1A4F7BCE5657}" name="Column10595"/>
    <tableColumn id="10615" xr3:uid="{CEF56626-0496-4616-8CA5-2C405549444E}" name="Column10596"/>
    <tableColumn id="10616" xr3:uid="{D5973799-B472-4A96-A680-7E31E4BC77C6}" name="Column10597"/>
    <tableColumn id="10617" xr3:uid="{4518C1FB-B4CF-451A-84D9-EB021EB3ECE3}" name="Column10598"/>
    <tableColumn id="10618" xr3:uid="{5F5194FE-410D-434B-88EB-4103B9B1405C}" name="Column10599"/>
    <tableColumn id="10619" xr3:uid="{58B28AC9-BCC2-4BE8-B2FD-AECAA7D8B178}" name="Column10600"/>
    <tableColumn id="10620" xr3:uid="{EF383C38-6B96-4640-895A-3857274E1981}" name="Column10601"/>
    <tableColumn id="10621" xr3:uid="{35E4AEC2-8728-4584-A265-8150845526B0}" name="Column10602"/>
    <tableColumn id="10622" xr3:uid="{A7EC2323-7158-4B89-B56A-2F0752C5ABB4}" name="Column10603"/>
    <tableColumn id="10623" xr3:uid="{AB2494D3-75C3-4A9D-85BC-EB28B5D0F83E}" name="Column10604"/>
    <tableColumn id="10624" xr3:uid="{163A40A8-F253-47A5-96E5-2826FDCDEF62}" name="Column10605"/>
    <tableColumn id="10625" xr3:uid="{4B1B4BA0-1C69-4339-87C6-43C7BC571CEE}" name="Column10606"/>
    <tableColumn id="10626" xr3:uid="{720FB9F2-72F2-4BFE-A3D9-9C7D1004A4BC}" name="Column10607"/>
    <tableColumn id="10627" xr3:uid="{8031DC1A-1FF4-4243-8F24-65EF5A76F64E}" name="Column10608"/>
    <tableColumn id="10628" xr3:uid="{62D7A6A7-14A8-445B-9263-61C15FC3D672}" name="Column10609"/>
    <tableColumn id="10629" xr3:uid="{58B27535-B4F4-4E69-A7F0-9FDB5EE32874}" name="Column10610"/>
    <tableColumn id="10630" xr3:uid="{14BA2312-D860-42B8-9143-DCD249FC7B93}" name="Column10611"/>
    <tableColumn id="10631" xr3:uid="{6A916D95-3C27-49B6-901C-BAFCD03737E9}" name="Column10612"/>
    <tableColumn id="10632" xr3:uid="{2DACFF0F-05E9-47C1-B0D1-5C689928E987}" name="Column10613"/>
    <tableColumn id="10633" xr3:uid="{60405DFE-B0BF-4461-BD77-8F9C97C18A0B}" name="Column10614"/>
    <tableColumn id="10634" xr3:uid="{4B3B4F6D-E88A-4539-9564-9E92FA307A9F}" name="Column10615"/>
    <tableColumn id="10635" xr3:uid="{B00D831F-9A8A-419A-826D-08DD30BF395C}" name="Column10616"/>
    <tableColumn id="10636" xr3:uid="{904F00D7-14C3-4719-81F8-AC0AA0AB4641}" name="Column10617"/>
    <tableColumn id="10637" xr3:uid="{85983351-DE96-4567-A34D-657090CD3C1F}" name="Column10618"/>
    <tableColumn id="10638" xr3:uid="{14A20C8F-B4A2-4821-84FE-6B2BF96BE570}" name="Column10619"/>
    <tableColumn id="10639" xr3:uid="{BCF193BB-8053-4675-8E16-811633F3A57F}" name="Column10620"/>
    <tableColumn id="10640" xr3:uid="{9635E602-1A7D-4155-B96F-4D02695F1C06}" name="Column10621"/>
    <tableColumn id="10641" xr3:uid="{74AA1760-B81E-495D-968F-2FF1385FD527}" name="Column10622"/>
    <tableColumn id="10642" xr3:uid="{A7A66AC5-FF27-4813-821A-C65DBBC50EAA}" name="Column10623"/>
    <tableColumn id="10643" xr3:uid="{672EEF63-1908-4C67-B6CB-69C367C1D363}" name="Column10624"/>
    <tableColumn id="10644" xr3:uid="{2C3CBD6D-7ADB-4438-A477-4319C6E760F7}" name="Column10625"/>
    <tableColumn id="10645" xr3:uid="{E9414613-2441-4BC4-8FC0-8F48ABD7B179}" name="Column10626"/>
    <tableColumn id="10646" xr3:uid="{2D26AE2D-2343-432C-8445-43C587BB6664}" name="Column10627"/>
    <tableColumn id="10647" xr3:uid="{03DD0E64-2F48-4210-904C-56471BEC3E8D}" name="Column10628"/>
    <tableColumn id="10648" xr3:uid="{C7BA3DEB-0A23-444C-A03C-50AD7EF96888}" name="Column10629"/>
    <tableColumn id="10649" xr3:uid="{CA63C9D2-06A5-4E1C-9A98-D4DE10D93D00}" name="Column10630"/>
    <tableColumn id="10650" xr3:uid="{76D8FC2D-DD7F-460E-A295-664553D4FD75}" name="Column10631"/>
    <tableColumn id="10651" xr3:uid="{DB8C7078-97C4-47FE-BD85-844FDC2879CB}" name="Column10632"/>
    <tableColumn id="10652" xr3:uid="{C8E0A990-39F7-42AE-A7DE-C9A0469F8445}" name="Column10633"/>
    <tableColumn id="10653" xr3:uid="{63CB3D38-1C6B-4438-958B-6899B292D897}" name="Column10634"/>
    <tableColumn id="10654" xr3:uid="{2A4DFE0F-085F-471B-BF56-78F578261CE0}" name="Column10635"/>
    <tableColumn id="10655" xr3:uid="{61E9C043-3337-4765-8047-3CFF1F6D4A64}" name="Column10636"/>
    <tableColumn id="10656" xr3:uid="{7D624B18-7F85-4F0F-A59C-8788B934E72F}" name="Column10637"/>
    <tableColumn id="10657" xr3:uid="{3D216F8A-C288-4354-B32C-82F9BF04D755}" name="Column10638"/>
    <tableColumn id="10658" xr3:uid="{E137FFBE-9E2F-4ED1-AFC7-2D187DDC26E3}" name="Column10639"/>
    <tableColumn id="10659" xr3:uid="{AE7F0E7A-963A-489A-BE9C-A6F074C512E6}" name="Column10640"/>
    <tableColumn id="10660" xr3:uid="{D3CEDEA1-671E-4597-BE3B-B4360FA55F8B}" name="Column10641"/>
    <tableColumn id="10661" xr3:uid="{D9611C29-ED13-40CD-BDFE-8FCD23BEBE4D}" name="Column10642"/>
    <tableColumn id="10662" xr3:uid="{9D4A7FCD-DA59-409F-8515-30735B145C7E}" name="Column10643"/>
    <tableColumn id="10663" xr3:uid="{212DE57D-F8B2-4EC3-98C8-5826A3F652AA}" name="Column10644"/>
    <tableColumn id="10664" xr3:uid="{C52CEB6B-685E-4930-A1F6-2432B6ACF8AF}" name="Column10645"/>
    <tableColumn id="10665" xr3:uid="{C48699A7-5C94-42AC-9117-26EA9FA2BDD4}" name="Column10646"/>
    <tableColumn id="10666" xr3:uid="{E1C5CE5F-C99E-40F6-B583-633E08EC9524}" name="Column10647"/>
    <tableColumn id="10667" xr3:uid="{F22AAD38-D231-425D-B9BD-3AD818662ED3}" name="Column10648"/>
    <tableColumn id="10668" xr3:uid="{6AE057F7-1F32-4DF0-A46D-E7F2F163533F}" name="Column10649"/>
    <tableColumn id="10669" xr3:uid="{C4F758AC-1FDB-4103-8C0F-7A8AC57B7496}" name="Column10650"/>
    <tableColumn id="10670" xr3:uid="{CC0D85DF-D391-4D52-8457-483CC41B5373}" name="Column10651"/>
    <tableColumn id="10671" xr3:uid="{2C1743A1-BB9C-4281-86A5-253FBB4C9B25}" name="Column10652"/>
    <tableColumn id="10672" xr3:uid="{D8DD7659-458C-4E19-9D6F-5A29F404426C}" name="Column10653"/>
    <tableColumn id="10673" xr3:uid="{939AA04C-D0FB-486C-8E6C-1D4E06C55B82}" name="Column10654"/>
    <tableColumn id="10674" xr3:uid="{C2ACFEB4-4B67-414B-B632-917AF3E27456}" name="Column10655"/>
    <tableColumn id="10675" xr3:uid="{9DBEFC75-54DB-4CF6-9098-CCC7F1E3D5BE}" name="Column10656"/>
    <tableColumn id="10676" xr3:uid="{AD506662-CA1C-4C87-A59F-333CFB6BCAB4}" name="Column10657"/>
    <tableColumn id="10677" xr3:uid="{D103115B-1C21-4D43-A714-185056468FE8}" name="Column10658"/>
    <tableColumn id="10678" xr3:uid="{40EEEAE1-E934-4A22-86E8-7804F4B51F4A}" name="Column10659"/>
    <tableColumn id="10679" xr3:uid="{70C7DDAA-D1D2-4B4F-B931-EC4B3F52D978}" name="Column10660"/>
    <tableColumn id="10680" xr3:uid="{B230EE04-62D1-405D-A118-09EDDF76B97E}" name="Column10661"/>
    <tableColumn id="10681" xr3:uid="{96BF97AD-D5F2-4634-8B41-A74ABC6D8EE5}" name="Column10662"/>
    <tableColumn id="10682" xr3:uid="{4B2AA258-68CE-4587-9466-3228E0F9C72E}" name="Column10663"/>
    <tableColumn id="10683" xr3:uid="{9A1AB41F-533D-49B6-A9E8-D33359657156}" name="Column10664"/>
    <tableColumn id="10684" xr3:uid="{653FC597-EC52-4515-B589-3EEB668767BA}" name="Column10665"/>
    <tableColumn id="10685" xr3:uid="{33D6B15C-5162-42F9-A1AE-85F374EC2835}" name="Column10666"/>
    <tableColumn id="10686" xr3:uid="{D8E51088-A342-4014-990E-3273AE8C11D6}" name="Column10667"/>
    <tableColumn id="10687" xr3:uid="{D751C633-89A8-415F-ADFA-FE829A61CE4D}" name="Column10668"/>
    <tableColumn id="10688" xr3:uid="{D69A2379-9B92-4F22-99FF-031E792B9A74}" name="Column10669"/>
    <tableColumn id="10689" xr3:uid="{6DBA1E08-3DCA-42EA-8376-48240AF972AF}" name="Column10670"/>
    <tableColumn id="10690" xr3:uid="{29A7AFD3-6CFB-4551-BDB4-4CC92A7B3383}" name="Column10671"/>
    <tableColumn id="10691" xr3:uid="{985FC38D-BC01-4D3B-AFFC-98574B65E07A}" name="Column10672"/>
    <tableColumn id="10692" xr3:uid="{ACD8A4EB-5D01-4AB2-9EEF-23AC76A797C6}" name="Column10673"/>
    <tableColumn id="10693" xr3:uid="{0B22290E-8108-4DDF-B283-08E913D26D4B}" name="Column10674"/>
    <tableColumn id="10694" xr3:uid="{483A1E6C-EFC5-4728-BE77-4AA419E79ECB}" name="Column10675"/>
    <tableColumn id="10695" xr3:uid="{F3E313BC-2AB5-44FD-93B5-00A966E98497}" name="Column10676"/>
    <tableColumn id="10696" xr3:uid="{A8C8CE4C-3C9C-4D71-ABF6-34C8B77E0F54}" name="Column10677"/>
    <tableColumn id="10697" xr3:uid="{FDF024B6-AD6F-4955-85C7-A3BEFE3295E9}" name="Column10678"/>
    <tableColumn id="10698" xr3:uid="{6E312A94-E13F-4D9E-A304-611B4D29625C}" name="Column10679"/>
    <tableColumn id="10699" xr3:uid="{0F8C2C5A-2B1D-42E5-9A30-4544EEE2F046}" name="Column10680"/>
    <tableColumn id="10700" xr3:uid="{997CC5D5-7298-4383-B4DF-C2FF79C366D9}" name="Column10681"/>
    <tableColumn id="10701" xr3:uid="{3EA4307C-9383-4AEE-8A19-9FDF6A7ED1B4}" name="Column10682"/>
    <tableColumn id="10702" xr3:uid="{258622D0-C638-4C8C-9CA6-F3A394795D3C}" name="Column10683"/>
    <tableColumn id="10703" xr3:uid="{92BD8DC9-D73E-4196-9318-680F4B6C81F1}" name="Column10684"/>
    <tableColumn id="10704" xr3:uid="{EB18D910-0A93-469F-B27D-70530D6DC4D2}" name="Column10685"/>
    <tableColumn id="10705" xr3:uid="{04A7E944-2BCB-4315-A3FD-845A67FA731F}" name="Column10686"/>
    <tableColumn id="10706" xr3:uid="{894B693F-C235-4974-8AE7-6DC395FB164A}" name="Column10687"/>
    <tableColumn id="10707" xr3:uid="{EB109E37-62E3-4353-9341-59EFA6E0323E}" name="Column10688"/>
    <tableColumn id="10708" xr3:uid="{42B22DF3-5156-4B73-A482-DF46B297F1DB}" name="Column10689"/>
    <tableColumn id="10709" xr3:uid="{3AFDB58D-9404-4CA4-9924-3E4AADC38915}" name="Column10690"/>
    <tableColumn id="10710" xr3:uid="{437C2FAD-48D2-47B9-AA96-C6C16483EBCA}" name="Column10691"/>
    <tableColumn id="10711" xr3:uid="{8D57FED0-FA3A-413D-A46D-20782F4CA293}" name="Column10692"/>
    <tableColumn id="10712" xr3:uid="{35DE7B3F-26D0-46C4-AB5A-81063C682AF7}" name="Column10693"/>
    <tableColumn id="10713" xr3:uid="{725B3D4D-0500-4D93-9A81-D421A6FB7A16}" name="Column10694"/>
    <tableColumn id="10714" xr3:uid="{11C2CA98-1F9C-4C0F-8697-5D57CD672B4E}" name="Column10695"/>
    <tableColumn id="10715" xr3:uid="{2EDEFFDB-FB97-4249-9F09-0324B5D88456}" name="Column10696"/>
    <tableColumn id="10716" xr3:uid="{6D36725B-12F4-4D89-9265-85262DFEB2E9}" name="Column10697"/>
    <tableColumn id="10717" xr3:uid="{A9AF5285-EF0A-4415-B7E6-347B82206C98}" name="Column10698"/>
    <tableColumn id="10718" xr3:uid="{9F4D4E7F-BB25-41CD-8541-943BF4E744C5}" name="Column10699"/>
    <tableColumn id="10719" xr3:uid="{80AC8209-CD2C-4AF5-9977-077BFB333883}" name="Column10700"/>
    <tableColumn id="10720" xr3:uid="{1B885D22-7043-40E0-8AFD-07DBAFF29281}" name="Column10701"/>
    <tableColumn id="10721" xr3:uid="{FD60E9E3-7181-400F-B880-9F96950EC4EA}" name="Column10702"/>
    <tableColumn id="10722" xr3:uid="{6EFA3B3A-E206-420C-A6E4-07380A5D0EA6}" name="Column10703"/>
    <tableColumn id="10723" xr3:uid="{AAB179B5-58B5-4D1F-8FC2-24E505A71C4E}" name="Column10704"/>
    <tableColumn id="10724" xr3:uid="{A389814D-100E-44C0-AA59-E144FC1D5F49}" name="Column10705"/>
    <tableColumn id="10725" xr3:uid="{6BEF08B0-52CA-4944-996D-6F22C3D76AB8}" name="Column10706"/>
    <tableColumn id="10726" xr3:uid="{9B60869F-CE40-4243-92F1-B866D3E39A4A}" name="Column10707"/>
    <tableColumn id="10727" xr3:uid="{481BB2E7-7C25-48F3-B57B-0EF9D9096F67}" name="Column10708"/>
    <tableColumn id="10728" xr3:uid="{1A460C69-F6A0-465E-9443-5FE850EB3F51}" name="Column10709"/>
    <tableColumn id="10729" xr3:uid="{5D44E6AA-72E2-4746-B5D3-6DAF402E5125}" name="Column10710"/>
    <tableColumn id="10730" xr3:uid="{26A713C8-0BC5-4AFD-A508-B1E6F2EED7C2}" name="Column10711"/>
    <tableColumn id="10731" xr3:uid="{67512052-ED83-42C3-A831-312E822EC796}" name="Column10712"/>
    <tableColumn id="10732" xr3:uid="{9C7048A1-58F3-4E49-B433-11424221BDAD}" name="Column10713"/>
    <tableColumn id="10733" xr3:uid="{F0C16BBE-1FEE-497F-9640-D1579FC0B300}" name="Column10714"/>
    <tableColumn id="10734" xr3:uid="{73A9C3CE-70E2-448C-A143-C30E6540107A}" name="Column10715"/>
    <tableColumn id="10735" xr3:uid="{42FBD73C-C516-4D3D-B4F2-5D238E1F0B21}" name="Column10716"/>
    <tableColumn id="10736" xr3:uid="{0415C6DA-608D-4C6C-BEBB-EA8E87E6AFF9}" name="Column10717"/>
    <tableColumn id="10737" xr3:uid="{F1CB0670-92F5-4748-9258-D75C1AECF981}" name="Column10718"/>
    <tableColumn id="10738" xr3:uid="{83970FD0-26A0-414F-9711-3266A425EC7B}" name="Column10719"/>
    <tableColumn id="10739" xr3:uid="{130AF79F-3BFF-410C-A358-ED00FC794BE8}" name="Column10720"/>
    <tableColumn id="10740" xr3:uid="{B11D3231-B405-4266-BEF9-589587F315DE}" name="Column10721"/>
    <tableColumn id="10741" xr3:uid="{8C1B13C8-B05A-4138-A0A0-E13E495947CD}" name="Column10722"/>
    <tableColumn id="10742" xr3:uid="{CEAB9953-F67C-4860-AE5A-53B0771E8681}" name="Column10723"/>
    <tableColumn id="10743" xr3:uid="{62F0F261-A054-4E7D-9731-34CBB79EA1B6}" name="Column10724"/>
    <tableColumn id="10744" xr3:uid="{7A70BC80-36E6-4B1F-B1F6-743F63D4E671}" name="Column10725"/>
    <tableColumn id="10745" xr3:uid="{E2BE47CB-8868-4688-8010-14D2784BAA44}" name="Column10726"/>
    <tableColumn id="10746" xr3:uid="{F584DBB7-B560-4F2B-BC10-C5562AB66195}" name="Column10727"/>
    <tableColumn id="10747" xr3:uid="{A365B1B1-FBAA-43F6-965A-FFC5F29218D8}" name="Column10728"/>
    <tableColumn id="10748" xr3:uid="{2215E69C-DA1C-4AD2-89A4-1BFF4627DFF4}" name="Column10729"/>
    <tableColumn id="10749" xr3:uid="{34EA3067-DDBD-4A21-AAF9-1FFC736BD8A0}" name="Column10730"/>
    <tableColumn id="10750" xr3:uid="{48AE1E3B-2939-4EE8-A7E1-5E2165C32151}" name="Column10731"/>
    <tableColumn id="10751" xr3:uid="{03233BBC-5B0F-4965-964E-2A6C8E1D641A}" name="Column10732"/>
    <tableColumn id="10752" xr3:uid="{C9E40E99-8A3D-4F2A-A106-CD59BABF8A1B}" name="Column10733"/>
    <tableColumn id="10753" xr3:uid="{A5379A4D-5046-4316-9D64-5B71C8E3CC38}" name="Column10734"/>
    <tableColumn id="10754" xr3:uid="{EE1BE002-61DA-4CC1-A47F-4C8B9270A470}" name="Column10735"/>
    <tableColumn id="10755" xr3:uid="{3117EC64-9D7E-41AB-9D8D-793A3AD7A61D}" name="Column10736"/>
    <tableColumn id="10756" xr3:uid="{B2B6C472-0D03-4B67-814A-95276BAED782}" name="Column10737"/>
    <tableColumn id="10757" xr3:uid="{D68161AD-987C-4C63-BBDA-3008883AA6E7}" name="Column10738"/>
    <tableColumn id="10758" xr3:uid="{11ACB1E1-49B5-4B13-8832-F1A07953C7BB}" name="Column10739"/>
    <tableColumn id="10759" xr3:uid="{42B1CE3A-60BE-47EB-91EE-2D1329DE993E}" name="Column10740"/>
    <tableColumn id="10760" xr3:uid="{BB7365AA-0FC7-4F84-BB6F-85AAF51591B2}" name="Column10741"/>
    <tableColumn id="10761" xr3:uid="{C2360DFF-A9AF-463E-92A2-FDC466F6B300}" name="Column10742"/>
    <tableColumn id="10762" xr3:uid="{A5616215-2362-466F-84D2-CB54BF3A7E0D}" name="Column10743"/>
    <tableColumn id="10763" xr3:uid="{1FC1D619-5A37-4DC0-A426-642CF7791F03}" name="Column10744"/>
    <tableColumn id="10764" xr3:uid="{87DE205D-7AE9-404E-9E8C-EB53203849C0}" name="Column10745"/>
    <tableColumn id="10765" xr3:uid="{420B62A2-BECF-4B07-976D-27C92973167A}" name="Column10746"/>
    <tableColumn id="10766" xr3:uid="{10B3E59A-E320-483F-91B6-41565847ABB3}" name="Column10747"/>
    <tableColumn id="10767" xr3:uid="{C50705AE-190A-415C-835F-0D2B61446C6C}" name="Column10748"/>
    <tableColumn id="10768" xr3:uid="{26CF1268-9DB9-4F3E-8171-111C7FD238DA}" name="Column10749"/>
    <tableColumn id="10769" xr3:uid="{66A5DFF3-8B04-4C1A-97B3-084AE8076A4F}" name="Column10750"/>
    <tableColumn id="10770" xr3:uid="{524C6B96-B1C5-4B16-A740-604D5624222D}" name="Column10751"/>
    <tableColumn id="10771" xr3:uid="{91C516D3-9389-4E6C-B2B3-47DDC1EBB010}" name="Column10752"/>
    <tableColumn id="10772" xr3:uid="{8A947EC9-07B8-4E1C-831C-EE4D8879378A}" name="Column10753"/>
    <tableColumn id="10773" xr3:uid="{539CC8D8-F964-4248-8299-8F7EECC64EBA}" name="Column10754"/>
    <tableColumn id="10774" xr3:uid="{FAFE2EF4-10BF-487E-B905-B24C6DE2DE98}" name="Column10755"/>
    <tableColumn id="10775" xr3:uid="{867D3E4C-D527-4DE5-92CA-597A66546027}" name="Column10756"/>
    <tableColumn id="10776" xr3:uid="{0EDE1A19-EA69-4E41-AFA1-D54EC579789B}" name="Column10757"/>
    <tableColumn id="10777" xr3:uid="{7AF824D1-5BB2-427B-A89D-51C9FC45168E}" name="Column10758"/>
    <tableColumn id="10778" xr3:uid="{C4E95752-D6E0-473F-AD48-B6B0800F23DF}" name="Column10759"/>
    <tableColumn id="10779" xr3:uid="{5C8EC149-1D6F-4AF2-84A2-C3E48735B852}" name="Column10760"/>
    <tableColumn id="10780" xr3:uid="{49E8BE42-7BF9-434F-A2C0-446A6C47226E}" name="Column10761"/>
    <tableColumn id="10781" xr3:uid="{A983CC2D-ADCB-4765-89AA-AE1CCF04C223}" name="Column10762"/>
    <tableColumn id="10782" xr3:uid="{60A61560-ADF2-4623-8038-67203F71CD5A}" name="Column10763"/>
    <tableColumn id="10783" xr3:uid="{DF7FB02F-3FD6-4D0F-8492-A4FEB5455AC2}" name="Column10764"/>
    <tableColumn id="10784" xr3:uid="{3E6228D2-25E0-4DFF-94B5-AC99A623D6DC}" name="Column10765"/>
    <tableColumn id="10785" xr3:uid="{C2BBDF7C-4F1A-4751-B32C-E3FD0DBDF31C}" name="Column10766"/>
    <tableColumn id="10786" xr3:uid="{197FD330-62A7-4B41-A076-768457743686}" name="Column10767"/>
    <tableColumn id="10787" xr3:uid="{A670B517-A8A3-4F2D-AFD8-8BAFD29E34DB}" name="Column10768"/>
    <tableColumn id="10788" xr3:uid="{438AC070-9070-49EF-A9E2-D26770FE67BB}" name="Column10769"/>
    <tableColumn id="10789" xr3:uid="{F923C55C-7CF6-4DAF-9D38-493E5D9CD611}" name="Column10770"/>
    <tableColumn id="10790" xr3:uid="{4EF3C19D-3093-4577-B5CE-EE075AE5645C}" name="Column10771"/>
    <tableColumn id="10791" xr3:uid="{57778890-A34C-410C-B496-081315F1EC3A}" name="Column10772"/>
    <tableColumn id="10792" xr3:uid="{0F67198E-9695-4EF2-A155-A3487355EBB1}" name="Column10773"/>
    <tableColumn id="10793" xr3:uid="{AAA3632C-FE67-4F0A-AD14-766247C6238F}" name="Column10774"/>
    <tableColumn id="10794" xr3:uid="{1981F872-446F-4CD4-8BCE-B23B2EE1CCB1}" name="Column10775"/>
    <tableColumn id="10795" xr3:uid="{08BB055D-7E01-4529-9ECA-F71416672919}" name="Column10776"/>
    <tableColumn id="10796" xr3:uid="{4E7B5287-CF38-4CA2-B02E-B2238996B7CB}" name="Column10777"/>
    <tableColumn id="10797" xr3:uid="{41EE0786-0010-435B-9557-CA6B0743B2E4}" name="Column10778"/>
    <tableColumn id="10798" xr3:uid="{FF920ADE-744D-4421-93D7-079AA39D1343}" name="Column10779"/>
    <tableColumn id="10799" xr3:uid="{E263F83D-1EC6-4A19-9030-F2DE105E44D3}" name="Column10780"/>
    <tableColumn id="10800" xr3:uid="{53D5520E-298F-4385-95E6-3A056894C4AA}" name="Column10781"/>
    <tableColumn id="10801" xr3:uid="{2E48C7EE-B978-4860-85B5-F0356040BCED}" name="Column10782"/>
    <tableColumn id="10802" xr3:uid="{840C6684-416E-4165-945F-BEAC775632AC}" name="Column10783"/>
    <tableColumn id="10803" xr3:uid="{2B6AFE54-C2D4-49C4-A3C9-9BC5F5B0331B}" name="Column10784"/>
    <tableColumn id="10804" xr3:uid="{2595BADB-4A6B-4F52-A499-CD692B50CB00}" name="Column10785"/>
    <tableColumn id="10805" xr3:uid="{0EFF2DD1-4061-414B-AB00-E6B359A94510}" name="Column10786"/>
    <tableColumn id="10806" xr3:uid="{D4C4C642-43C7-4F04-9F39-929C55CD33CD}" name="Column10787"/>
    <tableColumn id="10807" xr3:uid="{3D7DAE9E-C000-4524-BE82-3C1848677A08}" name="Column10788"/>
    <tableColumn id="10808" xr3:uid="{43EEA367-7942-40D0-B6E5-20A08018979B}" name="Column10789"/>
    <tableColumn id="10809" xr3:uid="{305562F4-9FF1-4E62-8D22-2A5D6F4E89D3}" name="Column10790"/>
    <tableColumn id="10810" xr3:uid="{27BF75E1-8018-4572-BAF1-E08CAF31EB1F}" name="Column10791"/>
    <tableColumn id="10811" xr3:uid="{0E0747BD-C1CA-441D-994B-3FE5C7AA6306}" name="Column10792"/>
    <tableColumn id="10812" xr3:uid="{431B8EBA-11D6-4395-82DE-A829F361CE76}" name="Column10793"/>
    <tableColumn id="10813" xr3:uid="{1C586D5B-CAA9-45D8-9514-A8A6F6D06908}" name="Column10794"/>
    <tableColumn id="10814" xr3:uid="{E16B8709-3F54-4282-98A4-6C1B4C4DC270}" name="Column10795"/>
    <tableColumn id="10815" xr3:uid="{8683D278-A575-4EB1-9B20-429220864A62}" name="Column10796"/>
    <tableColumn id="10816" xr3:uid="{6FCBD484-54C7-4593-9E96-FEBBBF865BA4}" name="Column10797"/>
    <tableColumn id="10817" xr3:uid="{CE10AB16-2FFA-4834-A8F9-73358B401770}" name="Column10798"/>
    <tableColumn id="10818" xr3:uid="{A0CFEA7E-B51E-4925-8676-7AA87A8BDEC2}" name="Column10799"/>
    <tableColumn id="10819" xr3:uid="{9560643B-3EDC-46B8-B27F-2B2EAACFAD76}" name="Column10800"/>
    <tableColumn id="10820" xr3:uid="{51B95654-51C0-45BA-9BCA-FC2DFF27D285}" name="Column10801"/>
    <tableColumn id="10821" xr3:uid="{F8C13B0C-05BB-4AC2-A231-7AB19589505A}" name="Column10802"/>
    <tableColumn id="10822" xr3:uid="{46DE68B6-B512-4037-B678-8FE81FA20868}" name="Column10803"/>
    <tableColumn id="10823" xr3:uid="{C88C499B-F42F-4084-A3C2-0DC773D8A8C5}" name="Column10804"/>
    <tableColumn id="10824" xr3:uid="{58ED5F35-97B2-446F-92F9-6AD82A15070E}" name="Column10805"/>
    <tableColumn id="10825" xr3:uid="{C362EA25-0CD4-49FF-ADAD-88CEBE1C299C}" name="Column10806"/>
    <tableColumn id="10826" xr3:uid="{7A7181C2-004B-4FFA-9764-C42F4CDF9E7B}" name="Column10807"/>
    <tableColumn id="10827" xr3:uid="{426FC5B1-430C-4CCE-99E6-2AAA7CC7A738}" name="Column10808"/>
    <tableColumn id="10828" xr3:uid="{E9E37185-AA36-43D7-8A04-BA0456A21F69}" name="Column10809"/>
    <tableColumn id="10829" xr3:uid="{08749176-C5B2-4CBD-A135-249B42548276}" name="Column10810"/>
    <tableColumn id="10830" xr3:uid="{86231B7D-8A0D-410A-9FF0-863EE6EE99AA}" name="Column10811"/>
    <tableColumn id="10831" xr3:uid="{A355E1EB-BB0C-404F-B235-85AE1D23A0EA}" name="Column10812"/>
    <tableColumn id="10832" xr3:uid="{A78C9A1B-3FD8-417D-AE01-50023CAEE324}" name="Column10813"/>
    <tableColumn id="10833" xr3:uid="{6619998D-D6C1-41E6-B26B-BB055A183E29}" name="Column10814"/>
    <tableColumn id="10834" xr3:uid="{3F519724-73D1-4D02-A698-616CC6F5757A}" name="Column10815"/>
    <tableColumn id="10835" xr3:uid="{C8264582-5B31-4600-90DC-05E3E86BCD81}" name="Column10816"/>
    <tableColumn id="10836" xr3:uid="{202993DB-F4C5-40F9-82C6-448F358B5CAA}" name="Column10817"/>
    <tableColumn id="10837" xr3:uid="{8B44B5D2-A849-475D-B493-1607C7FD4FB4}" name="Column10818"/>
    <tableColumn id="10838" xr3:uid="{2F7A4772-0BF4-468A-9824-A8AA4D22933A}" name="Column10819"/>
    <tableColumn id="10839" xr3:uid="{D87989DC-04EA-42F0-A41C-EF85744D9B52}" name="Column10820"/>
    <tableColumn id="10840" xr3:uid="{06DB2F45-E24A-41E5-AC92-6C10C146FE40}" name="Column10821"/>
    <tableColumn id="10841" xr3:uid="{9ACFBBFE-C414-4CFD-8B22-C87DA3CD54DF}" name="Column10822"/>
    <tableColumn id="10842" xr3:uid="{369B46CE-AB26-463C-ADEC-385A8C0B327F}" name="Column10823"/>
    <tableColumn id="10843" xr3:uid="{351D8ED3-37F7-436D-AFAD-8E3014F57A39}" name="Column10824"/>
    <tableColumn id="10844" xr3:uid="{B0755E2C-CE61-4728-965D-3B018175B04A}" name="Column10825"/>
    <tableColumn id="10845" xr3:uid="{549CD97C-4F08-4D50-B083-CA4186AACD6A}" name="Column10826"/>
    <tableColumn id="10846" xr3:uid="{DCA8FA5E-EBC5-4CA0-B06C-D66D8C4DC9F0}" name="Column10827"/>
    <tableColumn id="10847" xr3:uid="{7DB0D28F-48CA-419F-B079-EE03353A3A15}" name="Column10828"/>
    <tableColumn id="10848" xr3:uid="{FF038354-7CFE-4DFD-A2C2-9FC1AC054536}" name="Column10829"/>
    <tableColumn id="10849" xr3:uid="{2BF288ED-9BBC-4117-ABBD-08C4AE9F7394}" name="Column10830"/>
    <tableColumn id="10850" xr3:uid="{647D5DFA-9D4B-47B0-9AC6-239C9270FBB8}" name="Column10831"/>
    <tableColumn id="10851" xr3:uid="{E8A6A678-DC48-413A-9CC7-72A82512195E}" name="Column10832"/>
    <tableColumn id="10852" xr3:uid="{1243CCA0-11EE-46B7-B6A9-BF135FD76F30}" name="Column10833"/>
    <tableColumn id="10853" xr3:uid="{C912F7F4-DB86-47D8-A02F-EB41A9EF1096}" name="Column10834"/>
    <tableColumn id="10854" xr3:uid="{C1806047-949E-4DEB-B5D3-568A3F402177}" name="Column10835"/>
    <tableColumn id="10855" xr3:uid="{3F72943B-6C70-4CC9-A5D2-13A9DFD640E8}" name="Column10836"/>
    <tableColumn id="10856" xr3:uid="{CF7E5660-C78C-4992-849F-542CBE5DECE4}" name="Column10837"/>
    <tableColumn id="10857" xr3:uid="{37116F1A-DCA5-4A70-B299-6EFB2B27D274}" name="Column10838"/>
    <tableColumn id="10858" xr3:uid="{24EC42F1-91B1-4D50-A243-298484E8CEBA}" name="Column10839"/>
    <tableColumn id="10859" xr3:uid="{DE8FE94C-B232-4C91-8D53-6554670E93D1}" name="Column10840"/>
    <tableColumn id="10860" xr3:uid="{E44E4F0D-3632-4986-8ADB-DFAC9702F976}" name="Column10841"/>
    <tableColumn id="10861" xr3:uid="{83BD08A8-C59C-41DB-A5DC-FF66C8830340}" name="Column10842"/>
    <tableColumn id="10862" xr3:uid="{052655CC-633A-4A8F-A8B0-FF9F5565AFC6}" name="Column10843"/>
    <tableColumn id="10863" xr3:uid="{C5512DB4-1A29-472F-A868-D81AB9DA55CC}" name="Column10844"/>
    <tableColumn id="10864" xr3:uid="{9A1A6525-C236-4ABE-B269-9D304F9C86C3}" name="Column10845"/>
    <tableColumn id="10865" xr3:uid="{8D2E0745-8482-4BDC-9869-DC6AE1D18F7B}" name="Column10846"/>
    <tableColumn id="10866" xr3:uid="{0B88FCDF-D556-42D5-9814-EE7B76DC75A9}" name="Column10847"/>
    <tableColumn id="10867" xr3:uid="{F6B2E6E6-7158-4B2B-99FC-D5828CBACD63}" name="Column10848"/>
    <tableColumn id="10868" xr3:uid="{6B06BFC0-364A-42D9-8C65-140B35E5C8DC}" name="Column10849"/>
    <tableColumn id="10869" xr3:uid="{FB36DDC1-710C-4E33-B5C4-4ECCCD3A8174}" name="Column10850"/>
    <tableColumn id="10870" xr3:uid="{D651C72D-C28C-4AD5-B558-E268DC64E699}" name="Column10851"/>
    <tableColumn id="10871" xr3:uid="{733F8C00-82B9-4FD4-9248-E6E74DD2EBF6}" name="Column10852"/>
    <tableColumn id="10872" xr3:uid="{DD61FA2B-F599-4888-ABB1-A3F8713E1F61}" name="Column10853"/>
    <tableColumn id="10873" xr3:uid="{C2E56F84-244D-4E31-9D7F-E9061E23027D}" name="Column10854"/>
    <tableColumn id="10874" xr3:uid="{024E5424-05C7-40CD-9AD2-9A671CF590DB}" name="Column10855"/>
    <tableColumn id="10875" xr3:uid="{FB7ED9D0-6289-4BAD-96A5-B52BACF675BC}" name="Column10856"/>
    <tableColumn id="10876" xr3:uid="{41CE5C19-FC36-4107-94C4-54D3E25DA1B3}" name="Column10857"/>
    <tableColumn id="10877" xr3:uid="{ECFA85FF-BF3A-4AE0-BE38-A51E9311C469}" name="Column10858"/>
    <tableColumn id="10878" xr3:uid="{B47A51E4-5677-4157-926F-FB280DF31DAA}" name="Column10859"/>
    <tableColumn id="10879" xr3:uid="{223CCE97-3209-4167-B336-7FEA49F99A87}" name="Column10860"/>
    <tableColumn id="10880" xr3:uid="{CB0DF4CE-80FD-493C-9398-A8744D67AD40}" name="Column10861"/>
    <tableColumn id="10881" xr3:uid="{31A47969-A231-474D-ACD8-1210DA5A162A}" name="Column10862"/>
    <tableColumn id="10882" xr3:uid="{2ACBC49E-ABA8-4135-BDDE-DD5BC03860C1}" name="Column10863"/>
    <tableColumn id="10883" xr3:uid="{ABCB6367-C8CE-46E8-B015-61E38785CBB5}" name="Column10864"/>
    <tableColumn id="10884" xr3:uid="{65833986-8FD1-4E5A-9EC6-B945FD1F2A54}" name="Column10865"/>
    <tableColumn id="10885" xr3:uid="{B319AAE7-EDFE-46D2-94F7-E4FD26C95689}" name="Column10866"/>
    <tableColumn id="10886" xr3:uid="{315EF4E9-B269-4553-B6F3-FEABC3E5CFB6}" name="Column10867"/>
    <tableColumn id="10887" xr3:uid="{6AC8E77D-9B08-44E7-A6AC-BBA319714F97}" name="Column10868"/>
    <tableColumn id="10888" xr3:uid="{95FE5A2F-ECDD-4000-AF1B-D85E4A76D2DF}" name="Column10869"/>
    <tableColumn id="10889" xr3:uid="{D5D5F7F8-7F74-4175-AF6F-3F84B7982700}" name="Column10870"/>
    <tableColumn id="10890" xr3:uid="{6FFF33EA-AE9F-426A-96D6-40740F703F53}" name="Column10871"/>
    <tableColumn id="10891" xr3:uid="{1CA82EDF-8A14-4D02-9239-3F8C54788A9E}" name="Column10872"/>
    <tableColumn id="10892" xr3:uid="{837137BB-6744-4877-9835-229EEF23BC88}" name="Column10873"/>
    <tableColumn id="10893" xr3:uid="{9B3A6A08-79C3-4631-A568-1599F2E24B37}" name="Column10874"/>
    <tableColumn id="10894" xr3:uid="{E012319E-F5E5-433A-84E7-793C0DA83813}" name="Column10875"/>
    <tableColumn id="10895" xr3:uid="{4D20E78B-F1F5-49AC-BEB4-98274C8F6EB5}" name="Column10876"/>
    <tableColumn id="10896" xr3:uid="{AD804C05-0E96-4465-9AC3-15F236994715}" name="Column10877"/>
    <tableColumn id="10897" xr3:uid="{60EF705C-3D1A-43E3-9191-6837DCB4E4DB}" name="Column10878"/>
    <tableColumn id="10898" xr3:uid="{EC5ACA4E-BD74-4067-AA8A-3D98864E146C}" name="Column10879"/>
    <tableColumn id="10899" xr3:uid="{41F7C0F1-E0E6-4715-A655-39B56EF321DD}" name="Column10880"/>
    <tableColumn id="10900" xr3:uid="{FFDC07EA-BDEE-40DF-97D1-71AE92F2B77A}" name="Column10881"/>
    <tableColumn id="10901" xr3:uid="{2C9E9DFA-C473-409D-BA61-E25F242E33CB}" name="Column10882"/>
    <tableColumn id="10902" xr3:uid="{C53EE526-738C-438E-82AB-2A83FCC5FA5B}" name="Column10883"/>
    <tableColumn id="10903" xr3:uid="{93E84EDD-E206-4478-BE3C-2A585F110225}" name="Column10884"/>
    <tableColumn id="10904" xr3:uid="{C6B3F2FF-3194-4BEA-9CAB-3879D999AD21}" name="Column10885"/>
    <tableColumn id="10905" xr3:uid="{1035F391-DBF0-4BC4-AB4E-17456081AC23}" name="Column10886"/>
    <tableColumn id="10906" xr3:uid="{39C69A6B-FC82-4D81-99B2-630DD8ABCA2A}" name="Column10887"/>
    <tableColumn id="10907" xr3:uid="{E6C301F3-AEC6-4514-958B-B77D9D0A5B92}" name="Column10888"/>
    <tableColumn id="10908" xr3:uid="{2364AA90-3B70-432B-B62F-C3B172D8684A}" name="Column10889"/>
    <tableColumn id="10909" xr3:uid="{91434883-E123-4EF0-9E07-1E18DB3D9BA3}" name="Column10890"/>
    <tableColumn id="10910" xr3:uid="{0D447CC3-96BA-4790-B5E3-4E0682AA9436}" name="Column10891"/>
    <tableColumn id="10911" xr3:uid="{860E71E5-5B03-479B-8914-739C998157AA}" name="Column10892"/>
    <tableColumn id="10912" xr3:uid="{6CB70485-4EAE-44B4-B5D0-7131DF1E8E61}" name="Column10893"/>
    <tableColumn id="10913" xr3:uid="{A1AFDBF0-9C37-48D1-83D7-1BF108DAC9F6}" name="Column10894"/>
    <tableColumn id="10914" xr3:uid="{C0A87856-AA56-4217-BC3D-2B8402E5FF5B}" name="Column10895"/>
    <tableColumn id="10915" xr3:uid="{AED2E3C1-9A71-4EEC-AD09-E5802F8F82D1}" name="Column10896"/>
    <tableColumn id="10916" xr3:uid="{D8D881A0-F60E-4907-9426-E11AC268FA39}" name="Column10897"/>
    <tableColumn id="10917" xr3:uid="{AA04B0DD-72BC-43BB-9D66-CE577A9B2A81}" name="Column10898"/>
    <tableColumn id="10918" xr3:uid="{EE1A692E-2F80-4789-AB32-DB2FBA1FF474}" name="Column10899"/>
    <tableColumn id="10919" xr3:uid="{168A1D2C-FE06-4040-BCE9-1C45AA26262A}" name="Column10900"/>
    <tableColumn id="10920" xr3:uid="{346244FF-6A43-495D-A3EF-2A37BD39F7CB}" name="Column10901"/>
    <tableColumn id="10921" xr3:uid="{E360574B-4C5B-4783-B656-4CFEA338F086}" name="Column10902"/>
    <tableColumn id="10922" xr3:uid="{C625E77C-04D1-4392-A82B-87065217B6E2}" name="Column10903"/>
    <tableColumn id="10923" xr3:uid="{BB2E1D98-5A4E-46C1-AC27-09DCDDF12B64}" name="Column10904"/>
    <tableColumn id="10924" xr3:uid="{18A441DE-08D3-47F3-82B3-76A596AC1B32}" name="Column10905"/>
    <tableColumn id="10925" xr3:uid="{938F595E-05B1-4BE6-B7B0-1445AF1D757C}" name="Column10906"/>
    <tableColumn id="10926" xr3:uid="{D647378F-99DD-4318-A445-16FEE6A69855}" name="Column10907"/>
    <tableColumn id="10927" xr3:uid="{05811826-2107-417A-9931-0A61B0C1C51D}" name="Column10908"/>
    <tableColumn id="10928" xr3:uid="{629EB89A-DFFC-429E-8A73-66A10D36095E}" name="Column10909"/>
    <tableColumn id="10929" xr3:uid="{C35BDC38-F9C9-42CF-A42E-93D35B5CE483}" name="Column10910"/>
    <tableColumn id="10930" xr3:uid="{B9E2628D-6DC0-4507-A525-B96D58A48F4B}" name="Column10911"/>
    <tableColumn id="10931" xr3:uid="{47635766-8CB7-423B-BC85-D9B999031647}" name="Column10912"/>
    <tableColumn id="10932" xr3:uid="{81462234-84ED-4DB2-8B66-13563C813C4B}" name="Column10913"/>
    <tableColumn id="10933" xr3:uid="{C0ACEDF3-1CDA-4B01-9D5B-6F985EB139DB}" name="Column10914"/>
    <tableColumn id="10934" xr3:uid="{33CA7CE0-44FE-4E39-940F-E227B37E2A66}" name="Column10915"/>
    <tableColumn id="10935" xr3:uid="{52FDEEBC-0643-423C-A437-E0293E324026}" name="Column10916"/>
    <tableColumn id="10936" xr3:uid="{F957320D-A5B7-4E76-A784-9BD81B104B32}" name="Column10917"/>
    <tableColumn id="10937" xr3:uid="{D11526F2-B077-4284-99A2-5B131EC76C09}" name="Column10918"/>
    <tableColumn id="10938" xr3:uid="{40BC6252-D3F2-4C4E-ACBC-0D37AFBE35E9}" name="Column10919"/>
    <tableColumn id="10939" xr3:uid="{EDB8BAB3-CFE9-4279-8CED-CF6B0DC9A6BE}" name="Column10920"/>
    <tableColumn id="10940" xr3:uid="{5D5D5188-8AAC-49A2-B0FC-C1208563DC29}" name="Column10921"/>
    <tableColumn id="10941" xr3:uid="{405B4268-59CB-4893-91AB-92D2E84535C5}" name="Column10922"/>
    <tableColumn id="10942" xr3:uid="{88D07D56-4E66-4DC1-BF0D-9DE3D5E58F0C}" name="Column10923"/>
    <tableColumn id="10943" xr3:uid="{8BC9CBEE-84F8-4FAF-B411-8F12FB0EE338}" name="Column10924"/>
    <tableColumn id="10944" xr3:uid="{5ECE50D7-8252-4698-98EC-BB469025695B}" name="Column10925"/>
    <tableColumn id="10945" xr3:uid="{94C050CA-C815-4348-B4FA-093D84D68857}" name="Column10926"/>
    <tableColumn id="10946" xr3:uid="{609E15F6-6900-4F7B-8E55-9592933540E7}" name="Column10927"/>
    <tableColumn id="10947" xr3:uid="{735D680E-FEA9-41F3-A56C-375F10877056}" name="Column10928"/>
    <tableColumn id="10948" xr3:uid="{2BDE16FF-B9EE-46AD-8533-08D81E95F6C2}" name="Column10929"/>
    <tableColumn id="10949" xr3:uid="{447F9F67-D6DC-44A6-A4FB-9FF9D5AA6362}" name="Column10930"/>
    <tableColumn id="10950" xr3:uid="{D6970106-DC18-45E9-842D-1B2242279D34}" name="Column10931"/>
    <tableColumn id="10951" xr3:uid="{A7EB4F9B-56BD-4CA9-B63C-6AE913C53C20}" name="Column10932"/>
    <tableColumn id="10952" xr3:uid="{F6E8C3BF-46BC-41AC-ABA3-1CDB30B328E1}" name="Column10933"/>
    <tableColumn id="10953" xr3:uid="{DC238AEC-2CBC-44FD-A175-147A8FB75719}" name="Column10934"/>
    <tableColumn id="10954" xr3:uid="{32EAFF4F-2EAE-4116-8922-C90FCE5C2DD3}" name="Column10935"/>
    <tableColumn id="10955" xr3:uid="{D47040C7-6CC9-4B86-B19F-A14562DD1491}" name="Column10936"/>
    <tableColumn id="10956" xr3:uid="{A1E78423-85E4-421B-964D-EED9BFD6D2D4}" name="Column10937"/>
    <tableColumn id="10957" xr3:uid="{4FA1BE2D-210C-4100-B101-554C856C9F24}" name="Column10938"/>
    <tableColumn id="10958" xr3:uid="{5774BC19-BD75-48F8-9126-E4B0E0FBD299}" name="Column10939"/>
    <tableColumn id="10959" xr3:uid="{E475D613-23D8-4625-9CE5-5FA096583C87}" name="Column10940"/>
    <tableColumn id="10960" xr3:uid="{E14AF1D0-6C0D-4A77-9359-2F2366F5ED74}" name="Column10941"/>
    <tableColumn id="10961" xr3:uid="{B5487BE4-93B9-4F96-88A6-8F14DD4B065D}" name="Column10942"/>
    <tableColumn id="10962" xr3:uid="{8F08391D-C7A0-4B28-8D42-FF231CC7614D}" name="Column10943"/>
    <tableColumn id="10963" xr3:uid="{80C05FE5-C411-4C6D-BE84-EFB796000AF4}" name="Column10944"/>
    <tableColumn id="10964" xr3:uid="{4BC117E4-2AB6-47A4-AF48-6C8F41DBA3B7}" name="Column10945"/>
    <tableColumn id="10965" xr3:uid="{3E9E0744-E25D-4D3A-A01F-0E84A327703F}" name="Column10946"/>
    <tableColumn id="10966" xr3:uid="{77B73A08-BFD6-4154-9B12-A75D78709CAF}" name="Column10947"/>
    <tableColumn id="10967" xr3:uid="{E2771388-C7E1-4A5E-A51D-361053E6CDA0}" name="Column10948"/>
    <tableColumn id="10968" xr3:uid="{6D6A985F-0EE8-4544-A7AF-FB4D8688646B}" name="Column10949"/>
    <tableColumn id="10969" xr3:uid="{5822D12B-2D70-4F4A-830A-99F0BE51B6F1}" name="Column10950"/>
    <tableColumn id="10970" xr3:uid="{BA748F42-F25F-4009-BF77-43DBE97CDC62}" name="Column10951"/>
    <tableColumn id="10971" xr3:uid="{F06A5F82-4429-4CBA-9235-3F5F59910FF3}" name="Column10952"/>
    <tableColumn id="10972" xr3:uid="{9B74C111-CC89-4665-965F-EFA7C7E3D6E7}" name="Column10953"/>
    <tableColumn id="10973" xr3:uid="{6C4A1B97-088D-48A8-BDB3-CB6A25EAAB72}" name="Column10954"/>
    <tableColumn id="10974" xr3:uid="{53AABBCD-C2ED-492F-AD8D-88E598F0B50D}" name="Column10955"/>
    <tableColumn id="10975" xr3:uid="{01E7ACB7-6E10-45E1-A39F-7F2B150C750C}" name="Column10956"/>
    <tableColumn id="10976" xr3:uid="{A5D918BA-EDAA-4F16-A23C-683B9FD95251}" name="Column10957"/>
    <tableColumn id="10977" xr3:uid="{27B2B59A-87F1-4B8F-8C55-A020C6DD65D8}" name="Column10958"/>
    <tableColumn id="10978" xr3:uid="{9A3A2EEC-689E-4E86-8442-802EF7B1889C}" name="Column10959"/>
    <tableColumn id="10979" xr3:uid="{DB2170BA-658C-41FB-9008-2FF5F1A0FF6C}" name="Column10960"/>
    <tableColumn id="10980" xr3:uid="{CFAE8028-B35C-486B-A61F-A7B95447D8C8}" name="Column10961"/>
    <tableColumn id="10981" xr3:uid="{43B7E989-98D5-459B-811A-25A0ACD8CB43}" name="Column10962"/>
    <tableColumn id="10982" xr3:uid="{5E59BE19-790B-463D-9B25-5560752CBD2B}" name="Column10963"/>
    <tableColumn id="10983" xr3:uid="{501BB702-A149-4F35-84F2-63AEAACDE352}" name="Column10964"/>
    <tableColumn id="10984" xr3:uid="{AF48E7FA-6A49-46FD-90B1-19F52AFA1AC0}" name="Column10965"/>
    <tableColumn id="10985" xr3:uid="{F3CBE1A7-7DE4-47B4-AFEA-5E226347B73D}" name="Column10966"/>
    <tableColumn id="10986" xr3:uid="{C33C033B-70A1-49CA-8C09-018071108146}" name="Column10967"/>
    <tableColumn id="10987" xr3:uid="{81EA5999-0484-45B7-BFF3-E22603D78F63}" name="Column10968"/>
    <tableColumn id="10988" xr3:uid="{784E1C1B-30EC-4F32-94F3-05B1B4AC4127}" name="Column10969"/>
    <tableColumn id="10989" xr3:uid="{D36C028D-67BA-4D75-BFBC-0597934A353C}" name="Column10970"/>
    <tableColumn id="10990" xr3:uid="{D808AF53-FA4D-4397-9E9E-B31352779FD9}" name="Column10971"/>
    <tableColumn id="10991" xr3:uid="{01591D6F-035D-45AD-BDC4-0728FCFD5481}" name="Column10972"/>
    <tableColumn id="10992" xr3:uid="{A9DB8AFE-514C-4896-B867-8EB25A8B52C2}" name="Column10973"/>
    <tableColumn id="10993" xr3:uid="{8815EDB4-A28B-486F-9D57-49825ED934D7}" name="Column10974"/>
    <tableColumn id="10994" xr3:uid="{48F47D96-671F-4F63-8DEC-CC061D9F9696}" name="Column10975"/>
    <tableColumn id="10995" xr3:uid="{D7E688D9-FBBD-4246-A724-0870C6EC0225}" name="Column10976"/>
    <tableColumn id="10996" xr3:uid="{93FBDAA6-CCF1-484C-8D2D-00E8C440B620}" name="Column10977"/>
    <tableColumn id="10997" xr3:uid="{00B99DFA-1C98-4B1B-B5E7-542E0C107623}" name="Column10978"/>
    <tableColumn id="10998" xr3:uid="{C88B33B2-C363-4E0E-85EA-BD1D9F716079}" name="Column10979"/>
    <tableColumn id="10999" xr3:uid="{C3D08268-135F-4CAC-8486-C5B119B14BD5}" name="Column10980"/>
    <tableColumn id="11000" xr3:uid="{1996B25E-0B5C-4DA3-ACFA-0AF78B9C78BA}" name="Column10981"/>
    <tableColumn id="11001" xr3:uid="{5D5A9DDE-8168-4CF3-9F21-753FA247A848}" name="Column10982"/>
    <tableColumn id="11002" xr3:uid="{A8642BE2-6C6A-4441-A4E1-26F672EC188A}" name="Column10983"/>
    <tableColumn id="11003" xr3:uid="{F6333448-2D77-41FA-B469-53692DAA9C57}" name="Column10984"/>
    <tableColumn id="11004" xr3:uid="{BDCD04B6-490C-4B85-997A-0CC7EF833C2B}" name="Column10985"/>
    <tableColumn id="11005" xr3:uid="{3B1DC23D-7756-4C86-8CCC-48DCDE74B23F}" name="Column10986"/>
    <tableColumn id="11006" xr3:uid="{D6887D90-AD63-4935-BC5B-6FFD6A03AA4A}" name="Column10987"/>
    <tableColumn id="11007" xr3:uid="{449F0045-0F25-4F43-A795-2FD1AD3D8CBC}" name="Column10988"/>
    <tableColumn id="11008" xr3:uid="{F7DD23EA-8B8A-4318-917D-DDC64360A320}" name="Column10989"/>
    <tableColumn id="11009" xr3:uid="{4616F8CB-7FD1-4DBE-905F-278ECA71237D}" name="Column10990"/>
    <tableColumn id="11010" xr3:uid="{7633351E-80C1-4C56-97AF-28F03DD3548A}" name="Column10991"/>
    <tableColumn id="11011" xr3:uid="{4D30ED8C-2830-469E-BAFD-1B57B93C90D8}" name="Column10992"/>
    <tableColumn id="11012" xr3:uid="{BF659B00-CC50-4C6D-A743-B064707A82AC}" name="Column10993"/>
    <tableColumn id="11013" xr3:uid="{4D7CEC74-3B43-4B7A-9C47-78D9F0824352}" name="Column10994"/>
    <tableColumn id="11014" xr3:uid="{2D715814-91AD-46AA-8042-DDB382E730A4}" name="Column10995"/>
    <tableColumn id="11015" xr3:uid="{00FBA4A2-09DE-48AC-9A3C-648387F7206A}" name="Column10996"/>
    <tableColumn id="11016" xr3:uid="{95D4E11B-6048-4A9A-B7D7-237FEE08194F}" name="Column10997"/>
    <tableColumn id="11017" xr3:uid="{1A0834AF-D70D-43AA-89E7-4553257EE9E1}" name="Column10998"/>
    <tableColumn id="11018" xr3:uid="{D60D987D-E1F4-495D-9122-22019224B9B8}" name="Column10999"/>
    <tableColumn id="11019" xr3:uid="{54CFCAE8-7D6F-4B54-8163-68874E34DF57}" name="Column11000"/>
    <tableColumn id="11020" xr3:uid="{7B876028-705B-4065-9845-7B381C45D34D}" name="Column11001"/>
    <tableColumn id="11021" xr3:uid="{99A7A0CD-CC65-48B2-9B26-9EFE848C797A}" name="Column11002"/>
    <tableColumn id="11022" xr3:uid="{C67FF2BC-AADC-4A8E-8DBD-8D49FC0394F0}" name="Column11003"/>
    <tableColumn id="11023" xr3:uid="{DF69A50F-1570-4111-B290-BA69DF9028DC}" name="Column11004"/>
    <tableColumn id="11024" xr3:uid="{8DC48F76-6998-479B-8B0C-59579A4FD578}" name="Column11005"/>
    <tableColumn id="11025" xr3:uid="{540400C0-16EB-4DA0-80D7-9D0766B6A005}" name="Column11006"/>
    <tableColumn id="11026" xr3:uid="{9799332D-8C69-407B-86C3-556BCDD32613}" name="Column11007"/>
    <tableColumn id="11027" xr3:uid="{E7954AF0-9EED-4E3A-91B2-D67232A42768}" name="Column11008"/>
    <tableColumn id="11028" xr3:uid="{594945F7-F343-47D7-B755-571081C5EE15}" name="Column11009"/>
    <tableColumn id="11029" xr3:uid="{2AA041F0-7213-4409-A80D-35527F7F5045}" name="Column11010"/>
    <tableColumn id="11030" xr3:uid="{DDDFA5A5-4B5E-48F5-A475-56E36125D395}" name="Column11011"/>
    <tableColumn id="11031" xr3:uid="{858F8CCE-98E4-4A76-93BD-7E4CA7B7C52A}" name="Column11012"/>
    <tableColumn id="11032" xr3:uid="{3CA79B9D-458E-4E1A-B34C-CD73C2EE9F30}" name="Column11013"/>
    <tableColumn id="11033" xr3:uid="{A7E2C5CE-CD1E-4816-859F-F12549FC5A40}" name="Column11014"/>
    <tableColumn id="11034" xr3:uid="{5249613C-A4AD-402E-A56F-FB99957F5132}" name="Column11015"/>
    <tableColumn id="11035" xr3:uid="{F57F32F5-0B98-4FEC-8CD5-381AFA894490}" name="Column11016"/>
    <tableColumn id="11036" xr3:uid="{3B9F3AE7-7C10-4ED0-B3ED-7508CEE9C5CE}" name="Column11017"/>
    <tableColumn id="11037" xr3:uid="{2C50464A-C65B-4F61-9F43-18B3F9027610}" name="Column11018"/>
    <tableColumn id="11038" xr3:uid="{CF784095-E83B-4956-A8BD-896F27CCFE09}" name="Column11019"/>
    <tableColumn id="11039" xr3:uid="{E68F9C47-A43C-452C-837F-D4E07E5A3274}" name="Column11020"/>
    <tableColumn id="11040" xr3:uid="{EED80E77-EC4D-4FA4-AFA0-B8469F4DB7A7}" name="Column11021"/>
    <tableColumn id="11041" xr3:uid="{3CED4346-B998-4780-9E33-4D37984C64D1}" name="Column11022"/>
    <tableColumn id="11042" xr3:uid="{58E7D729-83F9-4BAD-8E3A-EFD8A24A5D09}" name="Column11023"/>
    <tableColumn id="11043" xr3:uid="{905C9605-0227-4E49-8296-7BBD35AC2792}" name="Column11024"/>
    <tableColumn id="11044" xr3:uid="{07C9A112-65B3-49A5-A4E9-33FB1039C0CF}" name="Column11025"/>
    <tableColumn id="11045" xr3:uid="{0F6E3CC7-E00B-4952-8E47-8006265B8145}" name="Column11026"/>
    <tableColumn id="11046" xr3:uid="{94F09EC4-F156-4D35-9B89-CC93D8E171B8}" name="Column11027"/>
    <tableColumn id="11047" xr3:uid="{90176A17-A845-4C64-92DC-941D81C1BED8}" name="Column11028"/>
    <tableColumn id="11048" xr3:uid="{BD201E18-FABB-4392-A908-8ED97B3FACA8}" name="Column11029"/>
    <tableColumn id="11049" xr3:uid="{B7057E8B-003E-4CDF-8F27-6C902D7CFEAA}" name="Column11030"/>
    <tableColumn id="11050" xr3:uid="{1A58C780-4DFC-44FB-8EF5-2C89B742F0C6}" name="Column11031"/>
    <tableColumn id="11051" xr3:uid="{14AF7BA1-AF74-4226-84B2-8B447918482E}" name="Column11032"/>
    <tableColumn id="11052" xr3:uid="{FC591494-4B21-465C-B99E-503D16B52546}" name="Column11033"/>
    <tableColumn id="11053" xr3:uid="{63030D53-502A-416E-A023-C28B3F606314}" name="Column11034"/>
    <tableColumn id="11054" xr3:uid="{2741C5B1-2862-4345-8DFD-9C2E83DE814C}" name="Column11035"/>
    <tableColumn id="11055" xr3:uid="{FBA0BBE6-7300-498E-8801-9A7F1C22AC6B}" name="Column11036"/>
    <tableColumn id="11056" xr3:uid="{C512C300-8895-445D-9941-C88ED16F9ABD}" name="Column11037"/>
    <tableColumn id="11057" xr3:uid="{5E952C56-28D5-4D1F-9095-E7B7F72485DF}" name="Column11038"/>
    <tableColumn id="11058" xr3:uid="{B30DE84C-079B-47FA-B591-60938E5F15D8}" name="Column11039"/>
    <tableColumn id="11059" xr3:uid="{92563251-A608-4DAA-9D28-B87C92632BB3}" name="Column11040"/>
    <tableColumn id="11060" xr3:uid="{CEC2B2AA-85DC-4324-8D6E-026C3F55CC20}" name="Column11041"/>
    <tableColumn id="11061" xr3:uid="{DF6A4F81-1D53-4620-8E79-2CF4B070B926}" name="Column11042"/>
    <tableColumn id="11062" xr3:uid="{F7120141-F0A8-4BA5-B2DD-97386B63EF27}" name="Column11043"/>
    <tableColumn id="11063" xr3:uid="{A8DCD133-7EBA-419F-AB1D-5CCF3352C9F9}" name="Column11044"/>
    <tableColumn id="11064" xr3:uid="{7D9BB0B5-AA19-4B7A-8529-8AFAB001B6C9}" name="Column11045"/>
    <tableColumn id="11065" xr3:uid="{B05D73FD-1657-4555-880A-AA54DC7D8100}" name="Column11046"/>
    <tableColumn id="11066" xr3:uid="{F403F51C-2127-4C70-814B-BB6C3474694A}" name="Column11047"/>
    <tableColumn id="11067" xr3:uid="{A4C81070-40CE-4A0E-B23E-0767C41C34C2}" name="Column11048"/>
    <tableColumn id="11068" xr3:uid="{503AA68C-46B6-4690-9A5B-3A884F941753}" name="Column11049"/>
    <tableColumn id="11069" xr3:uid="{5D28B9ED-A925-4B99-822E-31AC5392AD55}" name="Column11050"/>
    <tableColumn id="11070" xr3:uid="{5E8608F1-6B0B-4136-A2C6-9245563119EE}" name="Column11051"/>
    <tableColumn id="11071" xr3:uid="{17FFDBF2-8D7D-4C37-BBE9-8BCAAEEB5AAD}" name="Column11052"/>
    <tableColumn id="11072" xr3:uid="{C55CAF69-FC7A-402F-9272-E8BEF007A8FC}" name="Column11053"/>
    <tableColumn id="11073" xr3:uid="{12188512-C56B-4D17-9BD1-DC45FC1A295E}" name="Column11054"/>
    <tableColumn id="11074" xr3:uid="{5443021E-A6FD-4F5A-B5F9-C835C0BD2FEE}" name="Column11055"/>
    <tableColumn id="11075" xr3:uid="{546F2EC4-BB1D-4071-9F9B-8B7EB687FD95}" name="Column11056"/>
    <tableColumn id="11076" xr3:uid="{5D58AEE7-D76A-4D8B-A5E6-E8E3C2546E3D}" name="Column11057"/>
    <tableColumn id="11077" xr3:uid="{6FCBEAFE-5C81-4679-9AC7-2F273FDEE912}" name="Column11058"/>
    <tableColumn id="11078" xr3:uid="{331CB198-E792-420B-A341-BB710EBBAF96}" name="Column11059"/>
    <tableColumn id="11079" xr3:uid="{C09118DC-7755-43EB-801F-EA467F0B7C23}" name="Column11060"/>
    <tableColumn id="11080" xr3:uid="{3B6AB0BF-917F-418D-BE19-93EF00B06897}" name="Column11061"/>
    <tableColumn id="11081" xr3:uid="{564F72EA-28C5-4DF5-B022-D7F5B9EDC013}" name="Column11062"/>
    <tableColumn id="11082" xr3:uid="{FDEB9FA8-CE71-432A-92ED-8C2F5457793C}" name="Column11063"/>
    <tableColumn id="11083" xr3:uid="{EF8FDC85-AD1C-4420-8A12-8C5BAF7EFD7F}" name="Column11064"/>
    <tableColumn id="11084" xr3:uid="{AE3EEE8A-F94A-4E7E-9D0C-B49861D0C8BE}" name="Column11065"/>
    <tableColumn id="11085" xr3:uid="{121C7385-23CE-4C98-9F43-1FC4202158B8}" name="Column11066"/>
    <tableColumn id="11086" xr3:uid="{744DD4C9-32BA-4B6B-85A0-A9B7689ECEAC}" name="Column11067"/>
    <tableColumn id="11087" xr3:uid="{3569F495-E8CD-4EEC-8C94-0FFE1D566234}" name="Column11068"/>
    <tableColumn id="11088" xr3:uid="{5F6BC7E6-E9EA-459C-B12F-0E42FE822FB8}" name="Column11069"/>
    <tableColumn id="11089" xr3:uid="{EF577657-71C2-4D1A-9A80-DC176AD4B7CD}" name="Column11070"/>
    <tableColumn id="11090" xr3:uid="{D36AAF01-A4FE-422B-B94B-FE7601BA0978}" name="Column11071"/>
    <tableColumn id="11091" xr3:uid="{5B6B2F2C-A217-41F0-8AB3-FE9CCCD52D01}" name="Column11072"/>
    <tableColumn id="11092" xr3:uid="{9DA4EB98-B49F-4C89-8F31-D5DEF796CBDE}" name="Column11073"/>
    <tableColumn id="11093" xr3:uid="{E76B1229-64AB-44A3-A836-1A21B51B9B79}" name="Column11074"/>
    <tableColumn id="11094" xr3:uid="{1B0C4E6B-9EC2-4602-8700-CAE6EAC99493}" name="Column11075"/>
    <tableColumn id="11095" xr3:uid="{3713558A-209F-4F65-83BF-1FF970EAF397}" name="Column11076"/>
    <tableColumn id="11096" xr3:uid="{CC762595-B995-4E99-8BF0-C1A313EAF448}" name="Column11077"/>
    <tableColumn id="11097" xr3:uid="{7F8DBA35-EFCC-42BE-A820-DEF2B2884A95}" name="Column11078"/>
    <tableColumn id="11098" xr3:uid="{CE5EF18C-FAF7-4C57-8EC9-264CC26055D0}" name="Column11079"/>
    <tableColumn id="11099" xr3:uid="{576198AA-8E35-4A86-AE81-CA7D9187A55A}" name="Column11080"/>
    <tableColumn id="11100" xr3:uid="{0AE06977-D262-4BFE-B641-3B22C53E1093}" name="Column11081"/>
    <tableColumn id="11101" xr3:uid="{5610D5AD-EFAF-443F-8E96-37846CD93FF1}" name="Column11082"/>
    <tableColumn id="11102" xr3:uid="{851923C5-CD6E-48D1-82B3-ABE354F9C84F}" name="Column11083"/>
    <tableColumn id="11103" xr3:uid="{BAB77C77-2D65-4247-A4FA-178AFB4DAC5A}" name="Column11084"/>
    <tableColumn id="11104" xr3:uid="{A9147199-27B6-44C6-BEA5-15A91D60E408}" name="Column11085"/>
    <tableColumn id="11105" xr3:uid="{61A30F9C-DF7D-4BE5-ADDC-EF80CA1C670E}" name="Column11086"/>
    <tableColumn id="11106" xr3:uid="{FF7D43B6-59C5-4546-9665-F229006A756B}" name="Column11087"/>
    <tableColumn id="11107" xr3:uid="{EA925B74-693C-4186-B823-28027C4831D7}" name="Column11088"/>
    <tableColumn id="11108" xr3:uid="{FBEEC587-8CEE-416E-BD20-95D3FE70973F}" name="Column11089"/>
    <tableColumn id="11109" xr3:uid="{52B28A82-9A97-446B-AFF4-47F60B11B4BB}" name="Column11090"/>
    <tableColumn id="11110" xr3:uid="{1AFA5E74-F0EE-48B6-9390-9552E6E0E3C1}" name="Column11091"/>
    <tableColumn id="11111" xr3:uid="{0D83DBB6-90D8-4F6B-8B57-AD82F10FBB12}" name="Column11092"/>
    <tableColumn id="11112" xr3:uid="{698C2229-BA7E-4005-BF91-21C92CA0C996}" name="Column11093"/>
    <tableColumn id="11113" xr3:uid="{501643E2-02B1-4C13-AE41-043AF2213C07}" name="Column11094"/>
    <tableColumn id="11114" xr3:uid="{07F178A2-5F1F-4768-A278-37BFE8DAFADD}" name="Column11095"/>
    <tableColumn id="11115" xr3:uid="{79046734-CD73-42E7-B852-A9DC43E4B1BE}" name="Column11096"/>
    <tableColumn id="11116" xr3:uid="{2C84CD83-8442-421E-8614-A0B36363712B}" name="Column11097"/>
    <tableColumn id="11117" xr3:uid="{63227835-244C-4236-B076-FB12D17B5D1C}" name="Column11098"/>
    <tableColumn id="11118" xr3:uid="{5A36432F-CA43-43C7-90B0-06BDEFD2B05A}" name="Column11099"/>
    <tableColumn id="11119" xr3:uid="{9427CE5E-C149-4ADE-8ECD-DA3F66E18D29}" name="Column11100"/>
    <tableColumn id="11120" xr3:uid="{872BF369-96A6-4265-8DE9-9E06809D4EB3}" name="Column11101"/>
    <tableColumn id="11121" xr3:uid="{0BC38A4C-28C4-444A-AB1C-DEBCB97356D1}" name="Column11102"/>
    <tableColumn id="11122" xr3:uid="{086188DA-9FB9-422D-8E60-97122AB30690}" name="Column11103"/>
    <tableColumn id="11123" xr3:uid="{9984BF08-89FE-4F41-A5A8-E46A5500E0B7}" name="Column11104"/>
    <tableColumn id="11124" xr3:uid="{6F18C35D-6690-4223-AF98-1C9A684D574D}" name="Column11105"/>
    <tableColumn id="11125" xr3:uid="{F56E06A2-CAB2-4F30-BD1E-5825554F58F0}" name="Column11106"/>
    <tableColumn id="11126" xr3:uid="{9AD4A523-C210-406E-B5C3-537CD87F99BA}" name="Column11107"/>
    <tableColumn id="11127" xr3:uid="{9E9F709B-3A29-4EBE-B0EE-1AFF7420FD90}" name="Column11108"/>
    <tableColumn id="11128" xr3:uid="{272AFA24-3AC5-4B7E-9865-DA0DAB1AC46E}" name="Column11109"/>
    <tableColumn id="11129" xr3:uid="{012E35ED-C168-4764-90EC-7DB744C0CA55}" name="Column11110"/>
    <tableColumn id="11130" xr3:uid="{DB76DAA8-AB98-488E-9390-D291D84F3A11}" name="Column11111"/>
    <tableColumn id="11131" xr3:uid="{099670AF-C111-4748-9852-46EBF0FA6B09}" name="Column11112"/>
    <tableColumn id="11132" xr3:uid="{2FFCDAB7-938D-4BAE-8CA0-D5B4A72AD9CE}" name="Column11113"/>
    <tableColumn id="11133" xr3:uid="{191A6B07-40B1-4FCD-8C24-18460A12F943}" name="Column11114"/>
    <tableColumn id="11134" xr3:uid="{05B45CA3-B319-49FA-A93E-76BE2D592660}" name="Column11115"/>
    <tableColumn id="11135" xr3:uid="{66D61078-B30A-49D1-B04F-0BBF0C16C1AE}" name="Column11116"/>
    <tableColumn id="11136" xr3:uid="{DB2B27D8-9240-45D8-BEB7-27AD0A0081BB}" name="Column11117"/>
    <tableColumn id="11137" xr3:uid="{54F728CF-4F82-48A5-88C2-A84CF42F7DE3}" name="Column11118"/>
    <tableColumn id="11138" xr3:uid="{7E0FD5E3-A269-443E-B3EB-5C0E06185217}" name="Column11119"/>
    <tableColumn id="11139" xr3:uid="{7DD82DFE-F666-49FA-8EF0-263949E1E011}" name="Column11120"/>
    <tableColumn id="11140" xr3:uid="{435DFF51-487F-49A4-9D8F-5FA9C3C6ED88}" name="Column11121"/>
    <tableColumn id="11141" xr3:uid="{CA7A50DE-2150-4FD3-B8C7-ADC2D51F61F5}" name="Column11122"/>
    <tableColumn id="11142" xr3:uid="{6BB25D36-EEEE-4A93-8B27-3B0A79F0DF4D}" name="Column11123"/>
    <tableColumn id="11143" xr3:uid="{A124D1C0-8CDC-4581-9E1E-E2033054217B}" name="Column11124"/>
    <tableColumn id="11144" xr3:uid="{DEBB0B6D-490B-428F-822B-950FBEA03E33}" name="Column11125"/>
    <tableColumn id="11145" xr3:uid="{8A7667D2-4A1A-4076-8503-7426FCFDAA97}" name="Column11126"/>
    <tableColumn id="11146" xr3:uid="{1B425635-71B1-488C-857C-D269365EEB0A}" name="Column11127"/>
    <tableColumn id="11147" xr3:uid="{E435D3A7-D30B-48CC-8209-BCA76098179C}" name="Column11128"/>
    <tableColumn id="11148" xr3:uid="{F27D8BC2-54BE-4CA0-91E7-456F1ADBF1A8}" name="Column11129"/>
    <tableColumn id="11149" xr3:uid="{95D578A4-F9DE-4984-A33C-88F69296F1D7}" name="Column11130"/>
    <tableColumn id="11150" xr3:uid="{CA1CAB87-088B-46FF-BCE8-6569FAB540C9}" name="Column11131"/>
    <tableColumn id="11151" xr3:uid="{273349AB-2D28-4C75-A2FD-44004EA8B2C8}" name="Column11132"/>
    <tableColumn id="11152" xr3:uid="{16201129-BF39-41D8-816E-11FBE44ED96E}" name="Column11133"/>
    <tableColumn id="11153" xr3:uid="{53DD5BA8-F98A-42C1-BE63-85E8F3B6E307}" name="Column11134"/>
    <tableColumn id="11154" xr3:uid="{1E7A71D7-BADC-43BB-88E7-A4E436089044}" name="Column11135"/>
    <tableColumn id="11155" xr3:uid="{62AA6FCF-A0AB-45C1-AEC4-EF6FFB50D888}" name="Column11136"/>
    <tableColumn id="11156" xr3:uid="{8CD6F153-7664-4A45-97BE-C62FF7668E5A}" name="Column11137"/>
    <tableColumn id="11157" xr3:uid="{612AEBEF-3094-4C43-858F-1A088F34A034}" name="Column11138"/>
    <tableColumn id="11158" xr3:uid="{F2C33E42-DFB6-4F51-BB65-C275B1FBFAA6}" name="Column11139"/>
    <tableColumn id="11159" xr3:uid="{C6698ED1-3A19-4D42-85A6-8CD6AD2B7D19}" name="Column11140"/>
    <tableColumn id="11160" xr3:uid="{BE2CD818-7B6A-4850-B323-E2B4122F4A8E}" name="Column11141"/>
    <tableColumn id="11161" xr3:uid="{5BDD9A31-BE6C-497F-AE82-1A983E121B32}" name="Column11142"/>
    <tableColumn id="11162" xr3:uid="{529E95FF-C3D4-4A7D-B8DB-0758BD747701}" name="Column11143"/>
    <tableColumn id="11163" xr3:uid="{6C1C1BB4-6218-4DCF-90FD-D56AE900E0D4}" name="Column11144"/>
    <tableColumn id="11164" xr3:uid="{EC7240AC-493C-496F-BF5F-F492D6F6354B}" name="Column11145"/>
    <tableColumn id="11165" xr3:uid="{A9DFBF50-9A94-4918-871C-2F35BFDE43B2}" name="Column11146"/>
    <tableColumn id="11166" xr3:uid="{4483D2A2-0DED-406A-9285-FEAF8EF440E4}" name="Column11147"/>
    <tableColumn id="11167" xr3:uid="{3BF6C84A-3F98-4511-949A-53C8CBCB209A}" name="Column11148"/>
    <tableColumn id="11168" xr3:uid="{B799AA9A-F487-4850-BE51-8BEC4B6C5EE5}" name="Column11149"/>
    <tableColumn id="11169" xr3:uid="{88562B92-2846-4F8B-A894-A2D45D595ECB}" name="Column11150"/>
    <tableColumn id="11170" xr3:uid="{8A78A6A3-0998-4E67-8462-04E19B98FD9B}" name="Column11151"/>
    <tableColumn id="11171" xr3:uid="{42ED00DB-DAC5-4F91-AFDC-750384F78BDC}" name="Column11152"/>
    <tableColumn id="11172" xr3:uid="{555E163D-B55C-4460-89EB-A861EB7F1432}" name="Column11153"/>
    <tableColumn id="11173" xr3:uid="{5A3FC3E1-AB2C-487C-9B51-50C8E72252A8}" name="Column11154"/>
    <tableColumn id="11174" xr3:uid="{038026DC-EEA6-40B8-8725-AF0411618E87}" name="Column11155"/>
    <tableColumn id="11175" xr3:uid="{5B81E002-7F1E-4DB7-9930-2870CDE60D1B}" name="Column11156"/>
    <tableColumn id="11176" xr3:uid="{4292E43D-5A22-4FCD-AA62-A09BB54A3DC0}" name="Column11157"/>
    <tableColumn id="11177" xr3:uid="{11A32A5E-4930-4D8F-9F07-797F384D9477}" name="Column11158"/>
    <tableColumn id="11178" xr3:uid="{F198EFBE-C271-4C01-AC56-C507BBD92BF7}" name="Column11159"/>
    <tableColumn id="11179" xr3:uid="{803780F7-541E-4C57-A4F0-C10FC67F6B06}" name="Column11160"/>
    <tableColumn id="11180" xr3:uid="{66BB6EA3-D556-4697-B372-625D7CFBBC52}" name="Column11161"/>
    <tableColumn id="11181" xr3:uid="{9FC37482-63FE-456B-AB22-CDD73B8654DB}" name="Column11162"/>
    <tableColumn id="11182" xr3:uid="{1E7A9D37-FB4A-4D38-BD5A-A0713151F4B5}" name="Column11163"/>
    <tableColumn id="11183" xr3:uid="{9C1E4334-DF28-4C95-A142-3A6C117434DB}" name="Column11164"/>
    <tableColumn id="11184" xr3:uid="{85DD9074-6208-4193-988E-DC825FFED412}" name="Column11165"/>
    <tableColumn id="11185" xr3:uid="{194262F5-4FE8-4DBA-81BE-37C14D82FF01}" name="Column11166"/>
    <tableColumn id="11186" xr3:uid="{3DF4C4B9-E360-4354-977C-B968C8B90E18}" name="Column11167"/>
    <tableColumn id="11187" xr3:uid="{199334F5-F468-41D4-B7DD-BFC6A75A04B2}" name="Column11168"/>
    <tableColumn id="11188" xr3:uid="{718E7BE9-39E4-46A4-8127-402B83A6E1B6}" name="Column11169"/>
    <tableColumn id="11189" xr3:uid="{6B82ED9A-CF6D-49AD-8238-508BF3932234}" name="Column11170"/>
    <tableColumn id="11190" xr3:uid="{FD441B8D-5B21-435E-96C9-E8EC2B031690}" name="Column11171"/>
    <tableColumn id="11191" xr3:uid="{0AFC6E6B-FF81-45B7-921B-DB48DCC86A79}" name="Column11172"/>
    <tableColumn id="11192" xr3:uid="{056073A4-21F1-4852-A1FF-5D7121CB5127}" name="Column11173"/>
    <tableColumn id="11193" xr3:uid="{CE8447BB-5132-4341-9A38-9DE87AF00DFB}" name="Column11174"/>
    <tableColumn id="11194" xr3:uid="{C9922786-847B-48E2-9829-2AF050FE67AD}" name="Column11175"/>
    <tableColumn id="11195" xr3:uid="{5D125170-2B20-42F2-A4EF-D78355CA16F5}" name="Column11176"/>
    <tableColumn id="11196" xr3:uid="{017C3EB2-6429-4492-8C7F-5D572699FDDD}" name="Column11177"/>
    <tableColumn id="11197" xr3:uid="{680C713D-C7E0-4FDB-895F-F717F179FF56}" name="Column11178"/>
    <tableColumn id="11198" xr3:uid="{36EE1BB7-76BF-4C5E-9396-9CE2146F40AC}" name="Column11179"/>
    <tableColumn id="11199" xr3:uid="{51650F9B-C6D3-4458-8D2B-1C3F8F15CDB7}" name="Column11180"/>
    <tableColumn id="11200" xr3:uid="{8FC3F8D9-E83B-4A0E-8456-EB7AE06560F4}" name="Column11181"/>
    <tableColumn id="11201" xr3:uid="{597C0ED7-CFC3-4A75-A482-719F91E74A00}" name="Column11182"/>
    <tableColumn id="11202" xr3:uid="{521FE82D-5D10-46E0-B603-054BB5D03E07}" name="Column11183"/>
    <tableColumn id="11203" xr3:uid="{E0C0B3C0-26A1-4082-8029-D5C0C2D21D43}" name="Column11184"/>
    <tableColumn id="11204" xr3:uid="{14778A9B-85A4-4D0A-9F51-421EF66114C2}" name="Column11185"/>
    <tableColumn id="11205" xr3:uid="{942FE91C-3BBF-46B2-B855-82D4301DAA5B}" name="Column11186"/>
    <tableColumn id="11206" xr3:uid="{A84F042C-5F53-4F2B-B3A5-185E5AB24B20}" name="Column11187"/>
    <tableColumn id="11207" xr3:uid="{75B840C8-8AA1-46EC-926B-5DDD184DDB36}" name="Column11188"/>
    <tableColumn id="11208" xr3:uid="{CCEC684F-579D-4688-ACD4-C2CB7563D0E8}" name="Column11189"/>
    <tableColumn id="11209" xr3:uid="{0028FCB0-062A-4D0B-BD9D-AC860EF052EE}" name="Column11190"/>
    <tableColumn id="11210" xr3:uid="{B2E6252D-0AC6-429E-8703-3F91891B1B25}" name="Column11191"/>
    <tableColumn id="11211" xr3:uid="{BC0F1204-8754-45D7-B220-01C5BE20A051}" name="Column11192"/>
    <tableColumn id="11212" xr3:uid="{B26FE8D7-A121-47C5-A03F-0BE47912CF98}" name="Column11193"/>
    <tableColumn id="11213" xr3:uid="{EDEC736C-5B3F-42C0-830D-4961F30DF98F}" name="Column11194"/>
    <tableColumn id="11214" xr3:uid="{68F9C43B-0C24-4F15-B7C5-4595E2AE2DD4}" name="Column11195"/>
    <tableColumn id="11215" xr3:uid="{12964482-F5CB-4382-9CA8-DB54843679A4}" name="Column11196"/>
    <tableColumn id="11216" xr3:uid="{07B3C7B0-7C54-46B9-AE6B-8408F44457A5}" name="Column11197"/>
    <tableColumn id="11217" xr3:uid="{E5C2AF28-EA7C-45AE-BA4C-41966BFFD284}" name="Column11198"/>
    <tableColumn id="11218" xr3:uid="{95A47A9A-02A9-43E3-B05D-68E4AEAE1435}" name="Column11199"/>
    <tableColumn id="11219" xr3:uid="{9AE29EA0-EAA8-4270-B812-ED27F5518E1A}" name="Column11200"/>
    <tableColumn id="11220" xr3:uid="{8EADBB35-96CB-4755-A314-AD2CCA69611C}" name="Column11201"/>
    <tableColumn id="11221" xr3:uid="{B5AA86FA-D4AE-4600-9236-1A56CAAF2574}" name="Column11202"/>
    <tableColumn id="11222" xr3:uid="{88C2F476-CBC9-4666-B81E-3F15AF11365D}" name="Column11203"/>
    <tableColumn id="11223" xr3:uid="{9F30B8C4-408F-412F-B5AF-75B51844DD5F}" name="Column11204"/>
    <tableColumn id="11224" xr3:uid="{65C6E649-19A6-4611-8AD3-CEA37179FC89}" name="Column11205"/>
    <tableColumn id="11225" xr3:uid="{EDF91DFA-B51F-42FF-BD66-24787852F668}" name="Column11206"/>
    <tableColumn id="11226" xr3:uid="{4E8A43F2-DDC7-4318-A1BE-8FB3DBDBC9E4}" name="Column11207"/>
    <tableColumn id="11227" xr3:uid="{164B730E-3D7C-490E-A775-B224FFA6CF8E}" name="Column11208"/>
    <tableColumn id="11228" xr3:uid="{16FEDFEC-5D2A-4B8A-8EF4-6031710B015E}" name="Column11209"/>
    <tableColumn id="11229" xr3:uid="{D093A54B-30F7-46B9-955C-D43D778B808D}" name="Column11210"/>
    <tableColumn id="11230" xr3:uid="{1EAFDFDD-8CB0-493A-BC7A-239C1CBCF1DE}" name="Column11211"/>
    <tableColumn id="11231" xr3:uid="{341316D8-6546-4607-8DC1-191C7CF53EF5}" name="Column11212"/>
    <tableColumn id="11232" xr3:uid="{EFE94A64-E8B0-455F-93BB-FD6AD98307EF}" name="Column11213"/>
    <tableColumn id="11233" xr3:uid="{E08424F4-F518-4194-AA87-48ACD7D83960}" name="Column11214"/>
    <tableColumn id="11234" xr3:uid="{F24390F2-48AA-455B-9348-6B9182A8199B}" name="Column11215"/>
    <tableColumn id="11235" xr3:uid="{C367F253-42B7-41BF-A052-5A02D64E2632}" name="Column11216"/>
    <tableColumn id="11236" xr3:uid="{C506C581-95CA-4279-8DDB-B2B3FFEDE316}" name="Column11217"/>
    <tableColumn id="11237" xr3:uid="{4C4E884F-7C46-4659-A51B-A767D2D35AA0}" name="Column11218"/>
    <tableColumn id="11238" xr3:uid="{00A2D4F8-D0B6-4E84-A2EC-8B5F156D8A48}" name="Column11219"/>
    <tableColumn id="11239" xr3:uid="{16F3A8B8-5DF7-445E-B783-B1074EFD04CC}" name="Column11220"/>
    <tableColumn id="11240" xr3:uid="{0C187FFB-D3A4-40E6-93E1-039462EEC6E6}" name="Column11221"/>
    <tableColumn id="11241" xr3:uid="{95154AA6-0C84-4D5C-A104-559430129B87}" name="Column11222"/>
    <tableColumn id="11242" xr3:uid="{4F5BEF06-1EB6-4792-B16B-965E3442CB65}" name="Column11223"/>
    <tableColumn id="11243" xr3:uid="{A71059A4-D734-42CD-8CE3-9E0705CEBE1A}" name="Column11224"/>
    <tableColumn id="11244" xr3:uid="{64C1FEF6-17D8-45DD-A6D8-FEBB09BB6350}" name="Column11225"/>
    <tableColumn id="11245" xr3:uid="{AF9BA540-84E5-4321-B294-B864981CBBFB}" name="Column11226"/>
    <tableColumn id="11246" xr3:uid="{E502D9D2-E825-4150-9EF7-18BCDDCDB163}" name="Column11227"/>
    <tableColumn id="11247" xr3:uid="{8F035B5B-8008-473C-B78E-5DCFE377F5EB}" name="Column11228"/>
    <tableColumn id="11248" xr3:uid="{017B63BB-E5AB-40B5-A847-C6932F285225}" name="Column11229"/>
    <tableColumn id="11249" xr3:uid="{21590256-4585-47A3-9BD6-2BDDD879396B}" name="Column11230"/>
    <tableColumn id="11250" xr3:uid="{32457BD0-C8D6-4460-9268-6E7759EC3266}" name="Column11231"/>
    <tableColumn id="11251" xr3:uid="{1FB0C3DA-7D94-47EE-8969-25B78900EB73}" name="Column11232"/>
    <tableColumn id="11252" xr3:uid="{F3E13EAC-3534-43F8-BCD8-39F27E7A191D}" name="Column11233"/>
    <tableColumn id="11253" xr3:uid="{1BD2684B-4C01-40BF-8067-EC377C05655E}" name="Column11234"/>
    <tableColumn id="11254" xr3:uid="{146F3069-17ED-42BF-A5B7-2AE4BF6A5403}" name="Column11235"/>
    <tableColumn id="11255" xr3:uid="{7FA3786B-A3B9-436B-A88F-BF8CB5AD2A95}" name="Column11236"/>
    <tableColumn id="11256" xr3:uid="{5EDA1538-51DB-48CC-BF1B-3FD7A7F3BAEE}" name="Column11237"/>
    <tableColumn id="11257" xr3:uid="{3B5A69DD-0EF0-48FE-B177-CFE451AF6E95}" name="Column11238"/>
    <tableColumn id="11258" xr3:uid="{D3B13DEF-CE14-4B02-8217-CA43B8ED73EF}" name="Column11239"/>
    <tableColumn id="11259" xr3:uid="{AEB9EA49-29D2-431C-B644-D5673CFDFD92}" name="Column11240"/>
    <tableColumn id="11260" xr3:uid="{59EB3832-B181-40AF-ACC6-1A4C4DC9E2AB}" name="Column11241"/>
    <tableColumn id="11261" xr3:uid="{D1FD7241-3D2A-496A-86AA-256E1BE29F9D}" name="Column11242"/>
    <tableColumn id="11262" xr3:uid="{2AAC11BA-708F-4964-A061-BA0CEA2B2821}" name="Column11243"/>
    <tableColumn id="11263" xr3:uid="{E8E6EFA0-3464-41BA-A38D-6112E2419E3E}" name="Column11244"/>
    <tableColumn id="11264" xr3:uid="{4769FCE0-95C1-4D23-BDBD-8F14D68BD96E}" name="Column11245"/>
    <tableColumn id="11265" xr3:uid="{C58E513B-FE3E-4265-9FDC-3A170A994FB3}" name="Column11246"/>
    <tableColumn id="11266" xr3:uid="{BAC3AD47-EBA2-498C-A682-72D628C77376}" name="Column11247"/>
    <tableColumn id="11267" xr3:uid="{4BF657EC-882F-4BDA-A335-C215941754E1}" name="Column11248"/>
    <tableColumn id="11268" xr3:uid="{E037361F-9A05-4EE6-A20A-FDB4F393C0C6}" name="Column11249"/>
    <tableColumn id="11269" xr3:uid="{6856563D-4EF3-4CC7-84D0-E8D3E9012674}" name="Column11250"/>
    <tableColumn id="11270" xr3:uid="{670D8F81-C1E5-4FF5-BEDA-6AEF4CD437DA}" name="Column11251"/>
    <tableColumn id="11271" xr3:uid="{0569C832-A77A-4969-914A-A4454B81B720}" name="Column11252"/>
    <tableColumn id="11272" xr3:uid="{E708504B-1583-4FEF-90C6-5125FAB7E080}" name="Column11253"/>
    <tableColumn id="11273" xr3:uid="{61E812F4-58DB-4E73-A2BE-038635171C64}" name="Column11254"/>
    <tableColumn id="11274" xr3:uid="{6B0969F6-1584-4A67-84C3-1DCAA99919AC}" name="Column11255"/>
    <tableColumn id="11275" xr3:uid="{32AFBF5E-2124-4612-9A6C-33E22A45EE9C}" name="Column11256"/>
    <tableColumn id="11276" xr3:uid="{19C82AB5-8817-415A-AB6D-EE067292D98D}" name="Column11257"/>
    <tableColumn id="11277" xr3:uid="{AE968B3C-BCEF-4A05-BA56-00574F52F556}" name="Column11258"/>
    <tableColumn id="11278" xr3:uid="{C93560C2-7A06-48BE-B9D9-C569FA7D00E3}" name="Column11259"/>
    <tableColumn id="11279" xr3:uid="{A5135C54-8337-4154-9739-72FE90288F85}" name="Column11260"/>
    <tableColumn id="11280" xr3:uid="{30AFCCD8-17D2-490B-8DFD-71A4D4297B1E}" name="Column11261"/>
    <tableColumn id="11281" xr3:uid="{D46309B9-CF34-473F-A6A5-7709E016A57A}" name="Column11262"/>
    <tableColumn id="11282" xr3:uid="{DC802F8A-22A1-451F-8A40-4F25CEF9E4C3}" name="Column11263"/>
    <tableColumn id="11283" xr3:uid="{AC9B8253-66B3-468F-9250-F6404DC6BA0F}" name="Column11264"/>
    <tableColumn id="11284" xr3:uid="{5AD285EF-92D5-468C-B558-5AA061F01A33}" name="Column11265"/>
    <tableColumn id="11285" xr3:uid="{AB8E221F-1147-455A-8B02-4F091D865B1C}" name="Column11266"/>
    <tableColumn id="11286" xr3:uid="{15731C4B-ED0B-4DDA-BBE3-7FE0B0A12DD2}" name="Column11267"/>
    <tableColumn id="11287" xr3:uid="{7823000F-AEC1-473E-83EA-B77AED4FCDB4}" name="Column11268"/>
    <tableColumn id="11288" xr3:uid="{BD3276E4-9114-4722-A25A-FDB304D9F5A3}" name="Column11269"/>
    <tableColumn id="11289" xr3:uid="{13FFD4D7-B24E-43E1-8B99-A9EEAF3E0A94}" name="Column11270"/>
    <tableColumn id="11290" xr3:uid="{9091C892-9CA4-41F0-B5B0-34ADE9ED9B09}" name="Column11271"/>
    <tableColumn id="11291" xr3:uid="{8EE803D9-11EE-4921-9CF6-2CEA2B7A74D3}" name="Column11272"/>
    <tableColumn id="11292" xr3:uid="{0833EFF2-B36E-4C3A-8617-E2583172BC7D}" name="Column11273"/>
    <tableColumn id="11293" xr3:uid="{22C766FB-1C83-4A0C-A20F-BDE4050071D5}" name="Column11274"/>
    <tableColumn id="11294" xr3:uid="{12017F39-408D-4AF6-8E47-67BCF40154EE}" name="Column11275"/>
    <tableColumn id="11295" xr3:uid="{836ECDFB-2C26-4C15-998D-C10639E4BCEC}" name="Column11276"/>
    <tableColumn id="11296" xr3:uid="{960FDF37-017D-4685-A0C4-7B862EF3FF3C}" name="Column11277"/>
    <tableColumn id="11297" xr3:uid="{560AB4AA-0088-49A5-8DF9-171965357F7F}" name="Column11278"/>
    <tableColumn id="11298" xr3:uid="{1F661A88-D513-40C0-AB83-B5B0E609F852}" name="Column11279"/>
    <tableColumn id="11299" xr3:uid="{E003FF2E-ECD2-4C8B-A158-CD711C2268B1}" name="Column11280"/>
    <tableColumn id="11300" xr3:uid="{8661A3C8-680E-4604-8474-48921AAE44EF}" name="Column11281"/>
    <tableColumn id="11301" xr3:uid="{9618202F-5229-4A7D-89A3-2C31EFC43FCF}" name="Column11282"/>
    <tableColumn id="11302" xr3:uid="{47C11BD9-1B0F-4D0F-860F-9469C5978E33}" name="Column11283"/>
    <tableColumn id="11303" xr3:uid="{96BEDB34-6B07-4FBC-ACCA-31221AA26FCD}" name="Column11284"/>
    <tableColumn id="11304" xr3:uid="{69246845-57A6-4BA6-A51E-545EAEAA855B}" name="Column11285"/>
    <tableColumn id="11305" xr3:uid="{CDD4621D-D75B-4CF7-A105-886946567E3C}" name="Column11286"/>
    <tableColumn id="11306" xr3:uid="{70F0C67C-8852-48C0-B3C6-519051B3E17D}" name="Column11287"/>
    <tableColumn id="11307" xr3:uid="{50962D5C-8361-44BC-BB02-4A963FB7A7B1}" name="Column11288"/>
    <tableColumn id="11308" xr3:uid="{75030BDA-674F-40FE-92DA-4B9BF7918AC8}" name="Column11289"/>
    <tableColumn id="11309" xr3:uid="{012B18C8-C99F-45F3-A95D-2C3B16DDF011}" name="Column11290"/>
    <tableColumn id="11310" xr3:uid="{F919E8E2-FD37-4AD5-B218-89A8FEE5BFAC}" name="Column11291"/>
    <tableColumn id="11311" xr3:uid="{25D8112B-9D91-4E43-908A-4526F0A34414}" name="Column11292"/>
    <tableColumn id="11312" xr3:uid="{5CF6884C-3F7E-42A1-991E-8061C211ED39}" name="Column11293"/>
    <tableColumn id="11313" xr3:uid="{7F35B2C2-B4A8-40FA-B785-FEACE9BC90A2}" name="Column11294"/>
    <tableColumn id="11314" xr3:uid="{0AE27502-E495-457C-81E9-76841146F7D5}" name="Column11295"/>
    <tableColumn id="11315" xr3:uid="{A497AC89-FFBB-4E17-A037-843979DAAAE6}" name="Column11296"/>
    <tableColumn id="11316" xr3:uid="{9002A0B2-5DFD-4A04-8B98-FF6A5CBAD57A}" name="Column11297"/>
    <tableColumn id="11317" xr3:uid="{26D2F858-3B6D-47D9-B764-61B4B783ED92}" name="Column11298"/>
    <tableColumn id="11318" xr3:uid="{78093E8F-22E7-4947-BE69-C0CDE72C0D28}" name="Column11299"/>
    <tableColumn id="11319" xr3:uid="{32F830B7-5FC9-426D-8FEB-0A300D1D1645}" name="Column11300"/>
    <tableColumn id="11320" xr3:uid="{E9E6F201-C846-4DAA-BE0D-3ECE71212A0A}" name="Column11301"/>
    <tableColumn id="11321" xr3:uid="{ABEC8EC1-48DF-4BA8-A9CB-D167B9E0088B}" name="Column11302"/>
    <tableColumn id="11322" xr3:uid="{E74E5D7C-91BB-4088-9A8A-C52E30347D7F}" name="Column11303"/>
    <tableColumn id="11323" xr3:uid="{B607B249-8CC5-48F4-A825-F0CBEFD354E3}" name="Column11304"/>
    <tableColumn id="11324" xr3:uid="{6CB45F4E-01CA-4F3E-ADBD-C9F4E11997D4}" name="Column11305"/>
    <tableColumn id="11325" xr3:uid="{190D8E3B-657D-47AB-950D-6F0609CEF041}" name="Column11306"/>
    <tableColumn id="11326" xr3:uid="{AE503878-50C5-48C2-8815-4536130ADEBE}" name="Column11307"/>
    <tableColumn id="11327" xr3:uid="{FD7BDDC9-B687-41EE-AFA3-FCA39DE4714C}" name="Column11308"/>
    <tableColumn id="11328" xr3:uid="{7D2119B1-010F-405D-B3CE-ADFC240DA765}" name="Column11309"/>
    <tableColumn id="11329" xr3:uid="{9309D3CA-23DC-4744-AD2B-D932F481979D}" name="Column11310"/>
    <tableColumn id="11330" xr3:uid="{248A9F9A-DBB3-41FE-88C0-50DB559ED4FB}" name="Column11311"/>
    <tableColumn id="11331" xr3:uid="{359AC440-6ADA-4414-8B2B-2EA40D6E8CF3}" name="Column11312"/>
    <tableColumn id="11332" xr3:uid="{BDCA37EE-60EB-4A9A-B055-DC8F32F350DD}" name="Column11313"/>
    <tableColumn id="11333" xr3:uid="{C98DC2EA-2B8E-475A-BD7F-67A5539BBDF8}" name="Column11314"/>
    <tableColumn id="11334" xr3:uid="{855E86D5-2A5B-4B09-B04F-14516E5004D3}" name="Column11315"/>
    <tableColumn id="11335" xr3:uid="{7AC07297-02AB-47A0-B704-BDC7C9C66C39}" name="Column11316"/>
    <tableColumn id="11336" xr3:uid="{F30E00CE-7040-4262-BEA5-452FD73B7CCF}" name="Column11317"/>
    <tableColumn id="11337" xr3:uid="{458C34A7-40E3-4BB3-8865-5F45EC19039A}" name="Column11318"/>
    <tableColumn id="11338" xr3:uid="{B14C4C59-1FD4-4B4E-B540-3B7995FE9F3A}" name="Column11319"/>
    <tableColumn id="11339" xr3:uid="{51431AF2-F8C8-4721-A8D9-0072E37E3DE3}" name="Column11320"/>
    <tableColumn id="11340" xr3:uid="{D3637E53-5472-416F-BD1B-F5B51AE73025}" name="Column11321"/>
    <tableColumn id="11341" xr3:uid="{0AE9B353-EC5E-47D3-AF43-B05343BC4761}" name="Column11322"/>
    <tableColumn id="11342" xr3:uid="{DADE0A5C-33B9-4823-90C8-71BC2169C193}" name="Column11323"/>
    <tableColumn id="11343" xr3:uid="{02D6DA02-0F03-4642-B35D-54369C6C8417}" name="Column11324"/>
    <tableColumn id="11344" xr3:uid="{E7F4AAC7-924C-4BB6-82CB-BC136DFC502F}" name="Column11325"/>
    <tableColumn id="11345" xr3:uid="{E95D4F6C-64F5-4F5E-A004-CEDF4612B2FC}" name="Column11326"/>
    <tableColumn id="11346" xr3:uid="{95B11596-6F97-48E3-A34A-10447164C835}" name="Column11327"/>
    <tableColumn id="11347" xr3:uid="{A0A633B1-52E3-4667-94AB-7486D0568D1A}" name="Column11328"/>
    <tableColumn id="11348" xr3:uid="{72F332C2-C7B2-4328-95C8-609C9BB2DAB1}" name="Column11329"/>
    <tableColumn id="11349" xr3:uid="{7FC676F9-84D8-499B-9E02-08A4125802B3}" name="Column11330"/>
    <tableColumn id="11350" xr3:uid="{27CFA651-30B3-4FB6-A853-CCFCA416B464}" name="Column11331"/>
    <tableColumn id="11351" xr3:uid="{C513B006-5BF4-452F-8D18-7B9040863293}" name="Column11332"/>
    <tableColumn id="11352" xr3:uid="{C956D5E3-BC66-4C27-9353-0F65974D7D32}" name="Column11333"/>
    <tableColumn id="11353" xr3:uid="{329C013C-26DA-4D62-8502-5A2C71B41992}" name="Column11334"/>
    <tableColumn id="11354" xr3:uid="{F8CE82E2-5E35-4D6D-85CE-945D31E2342A}" name="Column11335"/>
    <tableColumn id="11355" xr3:uid="{A4E4174A-060C-4C6E-963A-50B5E715BE6E}" name="Column11336"/>
    <tableColumn id="11356" xr3:uid="{F475E6D7-CBE0-4324-B24C-03609BF996C0}" name="Column11337"/>
    <tableColumn id="11357" xr3:uid="{17ECCE8B-DB6A-4F37-8F46-51F8BBC16C85}" name="Column11338"/>
    <tableColumn id="11358" xr3:uid="{64D2EBC5-F5E3-42DF-AF82-B1FBAA5B2BBF}" name="Column11339"/>
    <tableColumn id="11359" xr3:uid="{7EFCA04E-6ED2-434F-8995-0B123E9E2045}" name="Column11340"/>
    <tableColumn id="11360" xr3:uid="{744A4F1E-1DAF-445C-85BC-FBD15884D4FB}" name="Column11341"/>
    <tableColumn id="11361" xr3:uid="{373C3527-6B79-4633-9AA9-FF14DA6E206B}" name="Column11342"/>
    <tableColumn id="11362" xr3:uid="{223CA212-180D-4920-A845-F452470071E4}" name="Column11343"/>
    <tableColumn id="11363" xr3:uid="{465974D5-D1FA-41D0-BF9F-1F0DA95FB83C}" name="Column11344"/>
    <tableColumn id="11364" xr3:uid="{E8594BE6-6494-4290-9437-B64735494F43}" name="Column11345"/>
    <tableColumn id="11365" xr3:uid="{737F96B6-1BDF-43A9-960D-7FDF7948C3A7}" name="Column11346"/>
    <tableColumn id="11366" xr3:uid="{2C8C8C3E-3DEB-457D-8B03-0BD2FA1D639A}" name="Column11347"/>
    <tableColumn id="11367" xr3:uid="{B74107C5-C7B3-4821-B5DE-8CF37B1BE3BF}" name="Column11348"/>
    <tableColumn id="11368" xr3:uid="{3439B311-A30D-4AE3-AEDB-1A2C2552DE9A}" name="Column11349"/>
    <tableColumn id="11369" xr3:uid="{21E73964-0B27-4F9B-93A0-C9ACF0140523}" name="Column11350"/>
    <tableColumn id="11370" xr3:uid="{F4587DD7-99F3-4C83-8769-551C43141DE6}" name="Column11351"/>
    <tableColumn id="11371" xr3:uid="{C6AB7A95-BF34-47CC-8A47-DED4514F6671}" name="Column11352"/>
    <tableColumn id="11372" xr3:uid="{9C9FC981-2843-4D1F-82BE-A877B9030481}" name="Column11353"/>
    <tableColumn id="11373" xr3:uid="{081E997E-FB76-4D80-86CB-833EB7C1A60C}" name="Column11354"/>
    <tableColumn id="11374" xr3:uid="{4D100FDD-D1CC-4CA2-9362-42BE9E0A2889}" name="Column11355"/>
    <tableColumn id="11375" xr3:uid="{42611A46-D9E1-46EF-AC5F-4FAE73086878}" name="Column11356"/>
    <tableColumn id="11376" xr3:uid="{08CBC6DB-D1BA-4C63-BBA3-EF633D8D899F}" name="Column11357"/>
    <tableColumn id="11377" xr3:uid="{7D3A93D7-8143-44E4-B572-01451DDA8D74}" name="Column11358"/>
    <tableColumn id="11378" xr3:uid="{4B098A75-C00A-428A-88FA-D14D6C660BF5}" name="Column11359"/>
    <tableColumn id="11379" xr3:uid="{16F1D76E-90BE-4A6B-B199-D225474C8A5F}" name="Column11360"/>
    <tableColumn id="11380" xr3:uid="{9D379E0E-B36A-42E2-89A5-BD5C42CA05C4}" name="Column11361"/>
    <tableColumn id="11381" xr3:uid="{1BB5BC2F-A9EE-45F5-BEB6-9BA54C2CA855}" name="Column11362"/>
    <tableColumn id="11382" xr3:uid="{79E83D83-C827-4C19-B4E5-BB8173D27623}" name="Column11363"/>
    <tableColumn id="11383" xr3:uid="{29803506-E5C4-4EE5-968B-385F7AA630A2}" name="Column11364"/>
    <tableColumn id="11384" xr3:uid="{559821AB-FDC1-4429-96C5-E3D0142A38C5}" name="Column11365"/>
    <tableColumn id="11385" xr3:uid="{91888C7C-15FA-4636-9269-F917641570F2}" name="Column11366"/>
    <tableColumn id="11386" xr3:uid="{0D1973E2-F5CC-4E85-A881-52062697A087}" name="Column11367"/>
    <tableColumn id="11387" xr3:uid="{DDFB7907-EE66-4B66-BE03-A337765D8262}" name="Column11368"/>
    <tableColumn id="11388" xr3:uid="{296DC91F-C87F-4961-97C2-C46F9925F26A}" name="Column11369"/>
    <tableColumn id="11389" xr3:uid="{6B452780-9C5A-4996-A551-FE45A6A257C4}" name="Column11370"/>
    <tableColumn id="11390" xr3:uid="{80B16245-9D8D-4D4E-B736-D36A84DE7B2D}" name="Column11371"/>
    <tableColumn id="11391" xr3:uid="{E04F9CD9-0E41-468C-8E8C-BED04FA4CF45}" name="Column11372"/>
    <tableColumn id="11392" xr3:uid="{86EF1BA7-693D-4CEE-B483-E31CCCE73E4E}" name="Column11373"/>
    <tableColumn id="11393" xr3:uid="{2080ECF6-A45A-4B01-8667-0BA6A28DF7E2}" name="Column11374"/>
    <tableColumn id="11394" xr3:uid="{D910C468-DD77-4A4B-8C0A-78D8C10AA2D0}" name="Column11375"/>
    <tableColumn id="11395" xr3:uid="{94ED21D4-1D1D-4B68-8009-5A83C1F38970}" name="Column11376"/>
    <tableColumn id="11396" xr3:uid="{F5CBB667-45ED-4C9E-B608-8791980ED6E3}" name="Column11377"/>
    <tableColumn id="11397" xr3:uid="{F3778626-CD4C-4549-A318-3A253AF0294D}" name="Column11378"/>
    <tableColumn id="11398" xr3:uid="{73543027-FAD8-49DF-90D4-86C44017ED25}" name="Column11379"/>
    <tableColumn id="11399" xr3:uid="{C1C41C01-3E50-4768-AF1E-70D0693EED30}" name="Column11380"/>
    <tableColumn id="11400" xr3:uid="{6B3C0044-8437-4C14-B8CD-8EA3A6DDE0D9}" name="Column11381"/>
    <tableColumn id="11401" xr3:uid="{C207C524-7312-40D6-8520-B94E5FFE3740}" name="Column11382"/>
    <tableColumn id="11402" xr3:uid="{03870192-7F3B-4232-9AF9-A30A27B8129A}" name="Column11383"/>
    <tableColumn id="11403" xr3:uid="{51272CA4-4AA3-453D-98B8-0576A75CB321}" name="Column11384"/>
    <tableColumn id="11404" xr3:uid="{4D8088BD-55B3-4E55-856E-E0E28EEB328E}" name="Column11385"/>
    <tableColumn id="11405" xr3:uid="{80B27150-1E76-44A9-97B8-30999A5B31C6}" name="Column11386"/>
    <tableColumn id="11406" xr3:uid="{B50D1CCF-D124-4E44-AD0A-F5C04C0CF586}" name="Column11387"/>
    <tableColumn id="11407" xr3:uid="{B042370D-CBF5-423F-B6DD-110D78227E03}" name="Column11388"/>
    <tableColumn id="11408" xr3:uid="{79FFD763-BCCD-444E-962B-46D95AD3C3EA}" name="Column11389"/>
    <tableColumn id="11409" xr3:uid="{4AD1C5C0-8379-4A4D-9E7B-267EE1261A40}" name="Column11390"/>
    <tableColumn id="11410" xr3:uid="{35EBF1A9-8145-4E09-92FC-C8CB4CF32F4A}" name="Column11391"/>
    <tableColumn id="11411" xr3:uid="{AEDAE47A-085F-47A7-8971-7ECEFE1E2AFE}" name="Column11392"/>
    <tableColumn id="11412" xr3:uid="{C0DCBB13-520A-46FD-A8F0-3B03206DB17E}" name="Column11393"/>
    <tableColumn id="11413" xr3:uid="{F46032C1-F1EC-46DB-AB39-D511E67C962F}" name="Column11394"/>
    <tableColumn id="11414" xr3:uid="{92B2EA4E-210F-4A1D-BA7C-85CE6D73353C}" name="Column11395"/>
    <tableColumn id="11415" xr3:uid="{E2768D2E-7CF3-4D95-9444-5AF5E9E6778E}" name="Column11396"/>
    <tableColumn id="11416" xr3:uid="{C25C23DC-C8E2-4A10-84FF-D7C105E7BBEA}" name="Column11397"/>
    <tableColumn id="11417" xr3:uid="{A2D8EBBD-DE14-45F0-87F0-182FA5ABE9C2}" name="Column11398"/>
    <tableColumn id="11418" xr3:uid="{9694F956-2706-4269-9BA4-17FA043700CB}" name="Column11399"/>
    <tableColumn id="11419" xr3:uid="{C759B5DA-982A-491B-98C4-56C234B4A28F}" name="Column11400"/>
    <tableColumn id="11420" xr3:uid="{7537E14D-4D22-48ED-B7F8-8F8583F79EDD}" name="Column11401"/>
    <tableColumn id="11421" xr3:uid="{2CE8D334-A638-46DB-A9AF-9E72954401E4}" name="Column11402"/>
    <tableColumn id="11422" xr3:uid="{814EAF60-0FD2-4524-B984-266410AFAE30}" name="Column11403"/>
    <tableColumn id="11423" xr3:uid="{780CDE0C-B4D0-44C7-9659-65020B80CCFB}" name="Column11404"/>
    <tableColumn id="11424" xr3:uid="{E803A9D8-5CC7-4641-A20C-25EA0E6BD5FF}" name="Column11405"/>
    <tableColumn id="11425" xr3:uid="{77D6FDA6-ED86-4134-A1DA-A6D5002E8A86}" name="Column11406"/>
    <tableColumn id="11426" xr3:uid="{22AE8653-FAED-4F42-B487-90AE61DEE677}" name="Column11407"/>
    <tableColumn id="11427" xr3:uid="{4D0D592C-4B50-4264-959E-4159A4F30CE2}" name="Column11408"/>
    <tableColumn id="11428" xr3:uid="{75EC672C-614E-4F95-B967-B140BD2A06FD}" name="Column11409"/>
    <tableColumn id="11429" xr3:uid="{667949D8-4D37-4FF5-AB89-DF7ABA0F8509}" name="Column11410"/>
    <tableColumn id="11430" xr3:uid="{092990EF-CE6A-47C7-B133-0046D6874239}" name="Column11411"/>
    <tableColumn id="11431" xr3:uid="{80E33893-1596-4D48-BBC6-5BD2CCBB4A95}" name="Column11412"/>
    <tableColumn id="11432" xr3:uid="{1F8B1F4E-1F3D-4238-8EB3-FDF2810EFE68}" name="Column11413"/>
    <tableColumn id="11433" xr3:uid="{67F91DB3-BD7B-4EDB-B33C-2FDEF08E692D}" name="Column11414"/>
    <tableColumn id="11434" xr3:uid="{359D8D10-B768-4C35-9DBA-E2D504A0570D}" name="Column11415"/>
    <tableColumn id="11435" xr3:uid="{F9EAF509-5961-4DEC-8140-24C56326A7DB}" name="Column11416"/>
    <tableColumn id="11436" xr3:uid="{2AE90E86-763D-4E1C-816B-E39C3514AE14}" name="Column11417"/>
    <tableColumn id="11437" xr3:uid="{740CE832-859A-4730-88B1-8F33E642392E}" name="Column11418"/>
    <tableColumn id="11438" xr3:uid="{02CC5503-55C2-4212-9D28-24659B050149}" name="Column11419"/>
    <tableColumn id="11439" xr3:uid="{9960C40D-EB5B-4FE3-B60F-33E979C032EC}" name="Column11420"/>
    <tableColumn id="11440" xr3:uid="{A538660C-FDBD-498E-B153-967F0A560404}" name="Column11421"/>
    <tableColumn id="11441" xr3:uid="{F4B2E955-A79F-4951-9DA2-53F6A981564D}" name="Column11422"/>
    <tableColumn id="11442" xr3:uid="{53973F7E-26AF-4FDC-A7DB-B162212584E0}" name="Column11423"/>
    <tableColumn id="11443" xr3:uid="{EC71C70B-9108-4E4E-BD92-4A0871DE14D1}" name="Column11424"/>
    <tableColumn id="11444" xr3:uid="{81DD7A75-11E7-4669-A2AE-C16461F73D9D}" name="Column11425"/>
    <tableColumn id="11445" xr3:uid="{8321A0CC-519A-47C7-901D-1F9800B814ED}" name="Column11426"/>
    <tableColumn id="11446" xr3:uid="{688C1B21-C756-4D45-915C-9B8B67DA71E4}" name="Column11427"/>
    <tableColumn id="11447" xr3:uid="{6E67BB47-7341-4BAF-B969-933C110BA8C5}" name="Column11428"/>
    <tableColumn id="11448" xr3:uid="{2546A888-BEF2-4BD9-A7DD-FFB9C1BF5AF1}" name="Column11429"/>
    <tableColumn id="11449" xr3:uid="{65B12839-4CF0-429D-AA98-7B5EFB077916}" name="Column11430"/>
    <tableColumn id="11450" xr3:uid="{B4440C39-8DE1-4026-912D-EA71A7252616}" name="Column11431"/>
    <tableColumn id="11451" xr3:uid="{896BD2B8-A270-4512-B1D7-CDA3AFB2ABDD}" name="Column11432"/>
    <tableColumn id="11452" xr3:uid="{F33E01F2-D627-4859-8D73-AC2FB2D6D7A7}" name="Column11433"/>
    <tableColumn id="11453" xr3:uid="{4945CDD1-F843-4728-9FB5-31EBF4B15F23}" name="Column11434"/>
    <tableColumn id="11454" xr3:uid="{91DCBD4F-040A-4E78-87DB-0C4032E3C9AD}" name="Column11435"/>
    <tableColumn id="11455" xr3:uid="{AF3084BB-0E3F-4CCE-BD1B-0B5B8F497F0C}" name="Column11436"/>
    <tableColumn id="11456" xr3:uid="{08DBDE88-FBA1-45AE-B412-D744AD3E458F}" name="Column11437"/>
    <tableColumn id="11457" xr3:uid="{65DA818A-2827-4A8B-9E5D-3DBE23E40A8B}" name="Column11438"/>
    <tableColumn id="11458" xr3:uid="{61CFE7A1-3A15-44BD-B408-67C280FD88FF}" name="Column11439"/>
    <tableColumn id="11459" xr3:uid="{C4E1EFD0-1CF3-420A-9FC3-DDCADBFB4751}" name="Column11440"/>
    <tableColumn id="11460" xr3:uid="{074E5731-D126-4A75-AB99-F1BEB7874C25}" name="Column11441"/>
    <tableColumn id="11461" xr3:uid="{1F7C9FA4-3FC6-4144-B9D7-2764949EC742}" name="Column11442"/>
    <tableColumn id="11462" xr3:uid="{DD44735B-1FEA-463F-8291-0008AF75A1CE}" name="Column11443"/>
    <tableColumn id="11463" xr3:uid="{DEC9A927-E9D7-47BD-BA9A-B46CCDEC866B}" name="Column11444"/>
    <tableColumn id="11464" xr3:uid="{4411B62A-4FBF-4F1B-951D-B16E1EEDC7F4}" name="Column11445"/>
    <tableColumn id="11465" xr3:uid="{385D4711-7A59-46BF-83FD-3C8F8AE3A99B}" name="Column11446"/>
    <tableColumn id="11466" xr3:uid="{E897FE5B-E136-4907-AF82-01E24EF8763C}" name="Column11447"/>
    <tableColumn id="11467" xr3:uid="{DFB564EB-02BF-495F-9E75-AEBF5E198CC2}" name="Column11448"/>
    <tableColumn id="11468" xr3:uid="{60F11E0A-22AE-4D29-8A5F-EE32F982ED3A}" name="Column11449"/>
    <tableColumn id="11469" xr3:uid="{22815A5F-48FB-46FB-80F9-2982CA3AB75E}" name="Column11450"/>
    <tableColumn id="11470" xr3:uid="{6F7B37E2-BA31-43FD-8DF5-9DAB453D02C2}" name="Column11451"/>
    <tableColumn id="11471" xr3:uid="{C5224E9A-86F8-4E9A-9372-496C20317D02}" name="Column11452"/>
    <tableColumn id="11472" xr3:uid="{A515B9BD-5018-4F2D-9A7D-35E2DB7F1227}" name="Column11453"/>
    <tableColumn id="11473" xr3:uid="{8E6990D1-FF84-4850-BE0D-0CD175CB5324}" name="Column11454"/>
    <tableColumn id="11474" xr3:uid="{F30036AE-5707-42A5-AE8F-6BEDEC350780}" name="Column11455"/>
    <tableColumn id="11475" xr3:uid="{E6CCE0FB-1F24-466E-AD77-2BA1C1124E0A}" name="Column11456"/>
    <tableColumn id="11476" xr3:uid="{B9EBDE86-A2C5-49C0-9F92-BA8CEB4F1645}" name="Column11457"/>
    <tableColumn id="11477" xr3:uid="{49431998-CEED-4C51-A786-4C8D7251B9AC}" name="Column11458"/>
    <tableColumn id="11478" xr3:uid="{ABFD4286-CE52-4CF9-B252-F5ABA9404B1C}" name="Column11459"/>
    <tableColumn id="11479" xr3:uid="{A846CA83-D9BE-4CB2-A3A7-4AAA0B012668}" name="Column11460"/>
    <tableColumn id="11480" xr3:uid="{754D6022-1EC8-4465-8C29-3D1CB930E1E9}" name="Column11461"/>
    <tableColumn id="11481" xr3:uid="{1BF325AA-D687-490B-AE5B-0EBC7BDA6920}" name="Column11462"/>
    <tableColumn id="11482" xr3:uid="{2FE768AD-869F-4440-A7DD-B8F62D6F70AA}" name="Column11463"/>
    <tableColumn id="11483" xr3:uid="{D3E88514-839E-43AD-B38C-674F228689B4}" name="Column11464"/>
    <tableColumn id="11484" xr3:uid="{7C833F9A-6700-43ED-9284-87B397A15BC6}" name="Column11465"/>
    <tableColumn id="11485" xr3:uid="{8B123554-6E84-43A6-A217-2D520734E656}" name="Column11466"/>
    <tableColumn id="11486" xr3:uid="{D8F683BB-83EB-4451-8459-B796E5C1FA4F}" name="Column11467"/>
    <tableColumn id="11487" xr3:uid="{43924085-920C-4425-94E1-842D17C3119B}" name="Column11468"/>
    <tableColumn id="11488" xr3:uid="{0D995B49-1B8E-49DC-A819-02B759A95BC1}" name="Column11469"/>
    <tableColumn id="11489" xr3:uid="{DFA18BD7-5902-4B07-B1FD-8E9BCB30F1E3}" name="Column11470"/>
    <tableColumn id="11490" xr3:uid="{4A9C0FE1-D3D3-4022-A7D8-6688B2317945}" name="Column11471"/>
    <tableColumn id="11491" xr3:uid="{0875C8A4-F833-4635-BD8D-B7EB5133F30C}" name="Column11472"/>
    <tableColumn id="11492" xr3:uid="{C704CC90-F91F-40A2-9510-AC8028A0D4F8}" name="Column11473"/>
    <tableColumn id="11493" xr3:uid="{5F9DBFE3-DC10-493E-AC2B-682F7927C528}" name="Column11474"/>
    <tableColumn id="11494" xr3:uid="{6243C334-95F8-4BF9-AF70-378409F68C25}" name="Column11475"/>
    <tableColumn id="11495" xr3:uid="{6C97D209-DD9F-41B0-B130-9E2B7BC3FFF0}" name="Column11476"/>
    <tableColumn id="11496" xr3:uid="{99C09BE6-D853-45D0-AE2F-F84E17974355}" name="Column11477"/>
    <tableColumn id="11497" xr3:uid="{C583DF5D-D26B-4A02-8EA5-08012B08E145}" name="Column11478"/>
    <tableColumn id="11498" xr3:uid="{1D7F7693-C37C-4526-BA0F-ED2052E6EAE1}" name="Column11479"/>
    <tableColumn id="11499" xr3:uid="{F74E8C88-33DA-4960-904F-C841079AD6A5}" name="Column11480"/>
    <tableColumn id="11500" xr3:uid="{0CEBE749-C3E0-4F97-97B4-5FCB34E9D707}" name="Column11481"/>
    <tableColumn id="11501" xr3:uid="{470AF047-D73D-4BD9-9500-3608D826E14D}" name="Column11482"/>
    <tableColumn id="11502" xr3:uid="{9D9E75D8-1CB5-4416-B713-7913224BCF7D}" name="Column11483"/>
    <tableColumn id="11503" xr3:uid="{85AF9F76-BF11-489C-B387-0498FD6107A7}" name="Column11484"/>
    <tableColumn id="11504" xr3:uid="{5561BD4C-C3F2-440D-B2EE-BC08A26DCE54}" name="Column11485"/>
    <tableColumn id="11505" xr3:uid="{4C4B5D93-0926-48C5-BC39-858EC4EB3433}" name="Column11486"/>
    <tableColumn id="11506" xr3:uid="{4F6684B2-DFD8-4819-B31A-269756636CB1}" name="Column11487"/>
    <tableColumn id="11507" xr3:uid="{364040A8-DEFE-4E69-A65C-B44661AEBC58}" name="Column11488"/>
    <tableColumn id="11508" xr3:uid="{77A2ACE8-49CE-4C8A-BC30-AFB4FAFF462B}" name="Column11489"/>
    <tableColumn id="11509" xr3:uid="{25FC8216-25F4-48AA-9021-86BAB4F919B0}" name="Column11490"/>
    <tableColumn id="11510" xr3:uid="{93260356-B0A2-4894-BD31-7B9926925898}" name="Column11491"/>
    <tableColumn id="11511" xr3:uid="{806229CB-F7D8-4AED-871A-D98811671CC3}" name="Column11492"/>
    <tableColumn id="11512" xr3:uid="{0BD063FF-E82B-4F9F-955A-1B1B7FF9929F}" name="Column11493"/>
    <tableColumn id="11513" xr3:uid="{A9DD41F7-D939-4441-8E1A-94479A126A67}" name="Column11494"/>
    <tableColumn id="11514" xr3:uid="{C3AE94A4-A367-4E60-B762-DDE1F65782DF}" name="Column11495"/>
    <tableColumn id="11515" xr3:uid="{07BA0509-624F-42B9-ABB3-7500F6C990D9}" name="Column11496"/>
    <tableColumn id="11516" xr3:uid="{BFA197D8-73CC-4EF5-BA1A-645C130147CF}" name="Column11497"/>
    <tableColumn id="11517" xr3:uid="{4E5BB9CA-00AF-4E4D-BD85-482D40733ECB}" name="Column11498"/>
    <tableColumn id="11518" xr3:uid="{C3668545-FDFC-49AA-86DC-2AC3F8D410C4}" name="Column11499"/>
    <tableColumn id="11519" xr3:uid="{41819568-4E7E-4973-80D7-CE6C4AE8A822}" name="Column11500"/>
    <tableColumn id="11520" xr3:uid="{00C2FEE8-6D98-4102-A3F0-07A334F15B5A}" name="Column11501"/>
    <tableColumn id="11521" xr3:uid="{104555A4-3B5C-43FA-A334-8F15B561EB86}" name="Column11502"/>
    <tableColumn id="11522" xr3:uid="{C2D6ACDF-4113-4BB1-A329-461E22DAFE48}" name="Column11503"/>
    <tableColumn id="11523" xr3:uid="{404140EA-6B04-409F-B373-F9EDF5D51369}" name="Column11504"/>
    <tableColumn id="11524" xr3:uid="{41E5EDC4-0F49-4DE6-8702-2167C576280C}" name="Column11505"/>
    <tableColumn id="11525" xr3:uid="{6A730D18-0E90-448D-AF74-B35D5F58547D}" name="Column11506"/>
    <tableColumn id="11526" xr3:uid="{8D4AFDF8-92DC-4FDE-BCFE-9C15D66277FB}" name="Column11507"/>
    <tableColumn id="11527" xr3:uid="{E913FB25-0797-4453-B850-20670CEC4866}" name="Column11508"/>
    <tableColumn id="11528" xr3:uid="{3BB43B28-1F83-4DF9-B725-373C9133E866}" name="Column11509"/>
    <tableColumn id="11529" xr3:uid="{640A32CC-7A2E-49DA-8E58-3BFD3A60EEE9}" name="Column11510"/>
    <tableColumn id="11530" xr3:uid="{1DA098CB-BBF3-4BC6-BF93-AB522EDB8B4A}" name="Column11511"/>
    <tableColumn id="11531" xr3:uid="{EB1FF5E8-5A20-49CD-A2E8-68CD187067CC}" name="Column11512"/>
    <tableColumn id="11532" xr3:uid="{918E859B-995B-4596-8BCD-1AF7F6F4BF23}" name="Column11513"/>
    <tableColumn id="11533" xr3:uid="{958F8C35-85BF-4944-A0CD-8EAD663A8E6B}" name="Column11514"/>
    <tableColumn id="11534" xr3:uid="{E1D9E830-1F77-49A5-AE5E-64D27F45EC42}" name="Column11515"/>
    <tableColumn id="11535" xr3:uid="{138D6698-55CC-43BA-A82C-60B52E31CA3E}" name="Column11516"/>
    <tableColumn id="11536" xr3:uid="{6E2B36AC-2AA2-43E9-96F4-1B7A46FBA01F}" name="Column11517"/>
    <tableColumn id="11537" xr3:uid="{22554937-88DD-41CA-9E24-EC860B99451D}" name="Column11518"/>
    <tableColumn id="11538" xr3:uid="{EE5142B7-57AB-461F-84AD-4371F42D247B}" name="Column11519"/>
    <tableColumn id="11539" xr3:uid="{52110A5A-E0B9-4B67-B2E8-030F19850BCC}" name="Column11520"/>
    <tableColumn id="11540" xr3:uid="{650B13CA-8233-4D66-8AA8-5379D6A70327}" name="Column11521"/>
    <tableColumn id="11541" xr3:uid="{9F8A6D08-EEEB-4DD5-8C0C-E212EA5B1070}" name="Column11522"/>
    <tableColumn id="11542" xr3:uid="{AB7071B3-6042-45E2-9677-5A8FBA3537E0}" name="Column11523"/>
    <tableColumn id="11543" xr3:uid="{67E4A225-5D2B-48B1-9D0C-D38571F026F5}" name="Column11524"/>
    <tableColumn id="11544" xr3:uid="{8249C763-3594-4021-86C4-B1F9CEE1D74A}" name="Column11525"/>
    <tableColumn id="11545" xr3:uid="{AFC316B2-87CA-4BE6-84D3-52BCF9F01622}" name="Column11526"/>
    <tableColumn id="11546" xr3:uid="{7F085354-1D75-4C2A-AF02-8BB0CB0ECBBD}" name="Column11527"/>
    <tableColumn id="11547" xr3:uid="{A8079B76-66DD-4E69-A10D-B0500D5CEDA3}" name="Column11528"/>
    <tableColumn id="11548" xr3:uid="{3B63923E-49E4-49B3-9A8E-EB8E5909B7E1}" name="Column11529"/>
    <tableColumn id="11549" xr3:uid="{67AA6861-7D5A-4527-AD0C-387DA093BCD3}" name="Column11530"/>
    <tableColumn id="11550" xr3:uid="{9938FA96-A4A9-436F-A6C4-8873F3E964C4}" name="Column11531"/>
    <tableColumn id="11551" xr3:uid="{8318EFF4-48E1-4302-AD7B-56E5D9540A70}" name="Column11532"/>
    <tableColumn id="11552" xr3:uid="{76309577-4D76-495D-A47F-AEBFFFA9DE28}" name="Column11533"/>
    <tableColumn id="11553" xr3:uid="{15F16858-2AFA-4A62-86B9-CCC5FB964230}" name="Column11534"/>
    <tableColumn id="11554" xr3:uid="{D26B27FE-556E-400C-B3E8-C492A0CBBBB8}" name="Column11535"/>
    <tableColumn id="11555" xr3:uid="{43F34189-0B26-4D49-8567-471A8D2FCFF8}" name="Column11536"/>
    <tableColumn id="11556" xr3:uid="{CA915752-58D1-425C-932A-14FCAC9025C9}" name="Column11537"/>
    <tableColumn id="11557" xr3:uid="{E39E1773-6DD2-4D63-BA61-2E996439D12C}" name="Column11538"/>
    <tableColumn id="11558" xr3:uid="{4F0DAAD0-0640-4575-8281-EC93D30BCFEF}" name="Column11539"/>
    <tableColumn id="11559" xr3:uid="{C554D764-E677-4DD5-946B-F984147D16EB}" name="Column11540"/>
    <tableColumn id="11560" xr3:uid="{DB5DE78E-9F40-4E7B-BD5C-6ABAB739727A}" name="Column11541"/>
    <tableColumn id="11561" xr3:uid="{835D1407-2965-43D6-B46B-528C7738E358}" name="Column11542"/>
    <tableColumn id="11562" xr3:uid="{A2D21299-A20B-4DAA-9B44-54A0DF61F15C}" name="Column11543"/>
    <tableColumn id="11563" xr3:uid="{B5F7921D-0FA4-44EA-B669-39A6CFEC6EA0}" name="Column11544"/>
    <tableColumn id="11564" xr3:uid="{6E388DD2-FEEC-4741-8806-614D3F8341A0}" name="Column11545"/>
    <tableColumn id="11565" xr3:uid="{E15AE333-3E89-4593-8269-EAD1BA569F55}" name="Column11546"/>
    <tableColumn id="11566" xr3:uid="{AAA22825-822C-490F-B112-F7D39F44FF00}" name="Column11547"/>
    <tableColumn id="11567" xr3:uid="{B4F023FB-5EBC-466C-88D9-15FF4C135007}" name="Column11548"/>
    <tableColumn id="11568" xr3:uid="{C40EC3FF-4314-42F1-8B1D-D41A4C693B3E}" name="Column11549"/>
    <tableColumn id="11569" xr3:uid="{60B9F190-9BF9-41FC-8A2D-A3A5664C6B5A}" name="Column11550"/>
    <tableColumn id="11570" xr3:uid="{7453521E-2168-4AAC-ABA3-246F810451B2}" name="Column11551"/>
    <tableColumn id="11571" xr3:uid="{C3F64FBA-39A3-47CE-9A02-CF2CC902DCAD}" name="Column11552"/>
    <tableColumn id="11572" xr3:uid="{119D3BE1-254C-4021-9842-AE39ACBCC825}" name="Column11553"/>
    <tableColumn id="11573" xr3:uid="{522FFD7B-1734-475A-8CB5-1300A0984668}" name="Column11554"/>
    <tableColumn id="11574" xr3:uid="{704534C4-43A9-4CD5-A156-66CA649CD51D}" name="Column11555"/>
    <tableColumn id="11575" xr3:uid="{1A76CD1D-1834-4C4F-8BF5-4EC6D438E525}" name="Column11556"/>
    <tableColumn id="11576" xr3:uid="{9051B17C-83A1-4FAD-BAA5-20547492E777}" name="Column11557"/>
    <tableColumn id="11577" xr3:uid="{E888790E-195D-48F9-953B-BFD155E0313A}" name="Column11558"/>
    <tableColumn id="11578" xr3:uid="{A14ED6F6-8087-4FC1-B873-D96843A08814}" name="Column11559"/>
    <tableColumn id="11579" xr3:uid="{90B50976-48CA-41AA-9D52-4A3799AFDA9D}" name="Column11560"/>
    <tableColumn id="11580" xr3:uid="{B1E40399-0E3D-44EE-B135-6727FB7CE20E}" name="Column11561"/>
    <tableColumn id="11581" xr3:uid="{D10290E8-2399-459C-A370-5826521579AD}" name="Column11562"/>
    <tableColumn id="11582" xr3:uid="{79E0F7E5-C4E2-4CDA-9F4E-E5E7763FDBAE}" name="Column11563"/>
    <tableColumn id="11583" xr3:uid="{8B9CF42C-BFB3-4A49-9012-AD4A450717E8}" name="Column11564"/>
    <tableColumn id="11584" xr3:uid="{B1817B5E-E9DA-4333-B589-D4057FC137AD}" name="Column11565"/>
    <tableColumn id="11585" xr3:uid="{4CFBBE16-3636-4687-9609-9205F8516CDD}" name="Column11566"/>
    <tableColumn id="11586" xr3:uid="{C5235053-CA15-45C8-999A-F06616B174BB}" name="Column11567"/>
    <tableColumn id="11587" xr3:uid="{DF1B2642-7FCA-4525-ABB7-5E92DF891137}" name="Column11568"/>
    <tableColumn id="11588" xr3:uid="{ACECC264-6370-4F97-A68C-796C33223DB5}" name="Column11569"/>
    <tableColumn id="11589" xr3:uid="{B16D682A-556F-42F7-96E8-0221D7084F34}" name="Column11570"/>
    <tableColumn id="11590" xr3:uid="{E287D934-D4A8-4BA3-A924-D9944C2375F2}" name="Column11571"/>
    <tableColumn id="11591" xr3:uid="{1D64744C-30C1-479E-82FA-DF982D8A75E5}" name="Column11572"/>
    <tableColumn id="11592" xr3:uid="{0C4A301D-CDCC-45C5-9B4B-7D724EE1D743}" name="Column11573"/>
    <tableColumn id="11593" xr3:uid="{6A59008E-FD2E-48A2-8F5C-C65A61B013AA}" name="Column11574"/>
    <tableColumn id="11594" xr3:uid="{EBCF1608-FC2E-498B-A1C4-F1E46044292D}" name="Column11575"/>
    <tableColumn id="11595" xr3:uid="{C7649A0B-2E91-46A8-9476-590EE6BACB10}" name="Column11576"/>
    <tableColumn id="11596" xr3:uid="{D4024774-7F25-4653-9552-D74CB62064B5}" name="Column11577"/>
    <tableColumn id="11597" xr3:uid="{3E72478E-58DA-4E2F-BF19-5E8EE274F3E1}" name="Column11578"/>
    <tableColumn id="11598" xr3:uid="{69E64F7B-B7A3-48B1-B074-DAD6F7917CD8}" name="Column11579"/>
    <tableColumn id="11599" xr3:uid="{E7B3B026-30E1-436E-8671-637B7FB4BAE4}" name="Column11580"/>
    <tableColumn id="11600" xr3:uid="{176BE837-19D9-4C59-90B7-4FC84BCC9D62}" name="Column11581"/>
    <tableColumn id="11601" xr3:uid="{69A86B4C-A32A-4FAC-BD40-BAFD70EF7942}" name="Column11582"/>
    <tableColumn id="11602" xr3:uid="{848B667E-D9E9-401E-92D7-99D80342455D}" name="Column11583"/>
    <tableColumn id="11603" xr3:uid="{10540BB6-9C9F-4A16-8233-4DE462A14FB9}" name="Column11584"/>
    <tableColumn id="11604" xr3:uid="{92F7CF49-12D8-424C-9ED8-561589B5EDC5}" name="Column11585"/>
    <tableColumn id="11605" xr3:uid="{2BD702E2-97D0-45A5-940A-6FE1D4269D63}" name="Column11586"/>
    <tableColumn id="11606" xr3:uid="{49EF97C4-5728-4445-B43A-04DA42EF311D}" name="Column11587"/>
    <tableColumn id="11607" xr3:uid="{9FC16033-3256-48B1-8FA5-B0EE05689EF1}" name="Column11588"/>
    <tableColumn id="11608" xr3:uid="{6B41AC90-C5E6-4C8F-9926-6CE7D83F4BAB}" name="Column11589"/>
    <tableColumn id="11609" xr3:uid="{CF1C744D-7498-4015-9C64-74AE3FD05313}" name="Column11590"/>
    <tableColumn id="11610" xr3:uid="{8F76959E-778A-406F-A8FC-F7F7AE750CDE}" name="Column11591"/>
    <tableColumn id="11611" xr3:uid="{F29EB6CE-2E3C-4134-9BF6-6E30E49A6A5A}" name="Column11592"/>
    <tableColumn id="11612" xr3:uid="{63AED00B-9106-4781-92FB-99E39A0F0B9A}" name="Column11593"/>
    <tableColumn id="11613" xr3:uid="{E7DD1376-6821-4C97-B3E9-6FB84E312810}" name="Column11594"/>
    <tableColumn id="11614" xr3:uid="{86F2BC25-584D-4994-B4C0-BC7EC56A95E7}" name="Column11595"/>
    <tableColumn id="11615" xr3:uid="{DBFA119F-400F-4950-B665-51EB55A9C33A}" name="Column11596"/>
    <tableColumn id="11616" xr3:uid="{69E2AD6A-E42E-4839-8A2A-49DD04FD4504}" name="Column11597"/>
    <tableColumn id="11617" xr3:uid="{770C23C1-89F5-4833-835D-C5AE0A4EA83E}" name="Column11598"/>
    <tableColumn id="11618" xr3:uid="{A3D623A9-6A87-49FD-A110-3901F431E7D3}" name="Column11599"/>
    <tableColumn id="11619" xr3:uid="{12F86F94-94F5-471D-A61F-B37DDAFF4402}" name="Column11600"/>
    <tableColumn id="11620" xr3:uid="{B68D0DAA-4883-497A-B753-9B0228AC2A82}" name="Column11601"/>
    <tableColumn id="11621" xr3:uid="{9F561322-AE70-46CB-AAD0-F5114BD6C7A8}" name="Column11602"/>
    <tableColumn id="11622" xr3:uid="{0FBEBDAA-C709-4F9C-8E3D-790002F6A504}" name="Column11603"/>
    <tableColumn id="11623" xr3:uid="{2D5A057B-029B-464C-9C42-17AAFF1A0C8F}" name="Column11604"/>
    <tableColumn id="11624" xr3:uid="{19B360F8-C163-408D-9D40-984F07BD7CF9}" name="Column11605"/>
    <tableColumn id="11625" xr3:uid="{1B9E1369-6D3F-4EE4-97B1-86FD2DEC1840}" name="Column11606"/>
    <tableColumn id="11626" xr3:uid="{D848E448-34DE-428F-888D-71506F8EF623}" name="Column11607"/>
    <tableColumn id="11627" xr3:uid="{8646753D-32DC-4FED-8433-D002E2F7D501}" name="Column11608"/>
    <tableColumn id="11628" xr3:uid="{1305872C-8B2A-4500-94AD-7AF137F68995}" name="Column11609"/>
    <tableColumn id="11629" xr3:uid="{FC95024C-1E93-4266-9926-E090C2E2D868}" name="Column11610"/>
    <tableColumn id="11630" xr3:uid="{958862CC-B66D-4A5D-8362-6FD0D841B981}" name="Column11611"/>
    <tableColumn id="11631" xr3:uid="{F68B827D-E117-461F-9A36-6B858B054E52}" name="Column11612"/>
    <tableColumn id="11632" xr3:uid="{3454F11A-1DD6-4C5C-B249-737DC2054B91}" name="Column11613"/>
    <tableColumn id="11633" xr3:uid="{4E5361BB-DD84-42D4-9DD5-5DD751B86828}" name="Column11614"/>
    <tableColumn id="11634" xr3:uid="{F2E9EDAB-602F-4EDE-BB5C-83BA7B7E5094}" name="Column11615"/>
    <tableColumn id="11635" xr3:uid="{B7E8AD22-B709-4273-AC9A-CD2D6EF66852}" name="Column11616"/>
    <tableColumn id="11636" xr3:uid="{25A3BCE5-DA14-42A5-A24C-5B381FB19C90}" name="Column11617"/>
    <tableColumn id="11637" xr3:uid="{F3437A67-A7FD-4CCB-A14F-B424D562A478}" name="Column11618"/>
    <tableColumn id="11638" xr3:uid="{EFAF4834-506D-4FEF-918A-43C16DE1244E}" name="Column11619"/>
    <tableColumn id="11639" xr3:uid="{39D2B177-5B05-4EFD-8934-F6963D862ED8}" name="Column11620"/>
    <tableColumn id="11640" xr3:uid="{B6BC5BDE-ABB0-4299-A8E8-3F2C40A0698D}" name="Column11621"/>
    <tableColumn id="11641" xr3:uid="{70F1E5D9-8EC3-4737-82E9-07F81EFCB6D1}" name="Column11622"/>
    <tableColumn id="11642" xr3:uid="{3483680F-A4B1-4F71-B460-422AD9F00B60}" name="Column11623"/>
    <tableColumn id="11643" xr3:uid="{A120FCBF-F0C6-4BB5-8C29-7C7E016A22FF}" name="Column11624"/>
    <tableColumn id="11644" xr3:uid="{DDFADADA-CB46-4166-B52B-69B47A4B5EF6}" name="Column11625"/>
    <tableColumn id="11645" xr3:uid="{B20B967F-986B-421E-AABB-5F889921100F}" name="Column11626"/>
    <tableColumn id="11646" xr3:uid="{61C341D8-2DE1-4A46-BA6D-FC5B94854DCD}" name="Column11627"/>
    <tableColumn id="11647" xr3:uid="{12D9CEA9-DF4E-4DC1-9AAC-21344C504F1F}" name="Column11628"/>
    <tableColumn id="11648" xr3:uid="{5DF917CE-0F08-454F-92A0-0E31585A7F19}" name="Column11629"/>
    <tableColumn id="11649" xr3:uid="{E23A138C-64F7-47C0-A617-9F49416D5040}" name="Column11630"/>
    <tableColumn id="11650" xr3:uid="{0A9C3B15-8B41-4CD3-BF05-9D9198E33792}" name="Column11631"/>
    <tableColumn id="11651" xr3:uid="{2976ED54-7767-4FD2-806B-8B686AE904FD}" name="Column11632"/>
    <tableColumn id="11652" xr3:uid="{8EECAC84-D23F-4EBA-9736-434D1CF4978E}" name="Column11633"/>
    <tableColumn id="11653" xr3:uid="{68698399-5059-464F-B66A-95BDD161CBFF}" name="Column11634"/>
    <tableColumn id="11654" xr3:uid="{CEB7C9AF-BF7E-4967-8478-87AE829C6983}" name="Column11635"/>
    <tableColumn id="11655" xr3:uid="{220341AB-07C2-42E1-9867-7339E50E7876}" name="Column11636"/>
    <tableColumn id="11656" xr3:uid="{8C929285-BD1C-4FC2-8892-A0A943B76B7A}" name="Column11637"/>
    <tableColumn id="11657" xr3:uid="{8BAF85C2-870A-430A-8A68-56328AB1A16A}" name="Column11638"/>
    <tableColumn id="11658" xr3:uid="{43C106FB-9664-4AB2-A460-BFC2EA3AB746}" name="Column11639"/>
    <tableColumn id="11659" xr3:uid="{E6ED58D0-B0D3-4793-9F04-EAA9B547898B}" name="Column11640"/>
    <tableColumn id="11660" xr3:uid="{6951C612-0586-44AA-8344-3D6B5EBCEA9C}" name="Column11641"/>
    <tableColumn id="11661" xr3:uid="{CB40ED79-2425-4FC1-867E-9187315AE8F5}" name="Column11642"/>
    <tableColumn id="11662" xr3:uid="{B97E4307-041D-409D-8ED8-DED60BE0020F}" name="Column11643"/>
    <tableColumn id="11663" xr3:uid="{AE4F8E44-08E6-4C86-AD05-F73FF78835DA}" name="Column11644"/>
    <tableColumn id="11664" xr3:uid="{2678619D-8830-4C45-9BD5-C5B4CBDB2AC6}" name="Column11645"/>
    <tableColumn id="11665" xr3:uid="{D5835BD5-3E34-45B5-82B4-25708A3C2EAA}" name="Column11646"/>
    <tableColumn id="11666" xr3:uid="{19E0E37A-A037-4594-9315-87B152BBE4F0}" name="Column11647"/>
    <tableColumn id="11667" xr3:uid="{9EB55878-D217-4B31-9C25-76AA4E9819D9}" name="Column11648"/>
    <tableColumn id="11668" xr3:uid="{64A673C4-E61A-42FC-AE60-F48C7BD58FAC}" name="Column11649"/>
    <tableColumn id="11669" xr3:uid="{268C7F8D-19B4-4DB4-99BE-50C48B5987BF}" name="Column11650"/>
    <tableColumn id="11670" xr3:uid="{F81F6B71-5A35-46B3-8537-1C53259B0FFE}" name="Column11651"/>
    <tableColumn id="11671" xr3:uid="{8FF4F346-F0F6-4C6D-A483-607BF5660ED1}" name="Column11652"/>
    <tableColumn id="11672" xr3:uid="{AB685AD3-46DC-4CF5-80FE-93269D1F7AA2}" name="Column11653"/>
    <tableColumn id="11673" xr3:uid="{795BEEBF-29E9-48F0-B0D3-6E3E1FA40AAF}" name="Column11654"/>
    <tableColumn id="11674" xr3:uid="{64AFB972-776A-4E2A-B0BD-A311B15BD380}" name="Column11655"/>
    <tableColumn id="11675" xr3:uid="{01DC937A-AD07-4105-9C08-B02585F2A33A}" name="Column11656"/>
    <tableColumn id="11676" xr3:uid="{7548D1BB-671E-412D-913E-B5D7F62DC9A2}" name="Column11657"/>
    <tableColumn id="11677" xr3:uid="{3632A53D-1DF1-492F-A758-8F978EE58ED0}" name="Column11658"/>
    <tableColumn id="11678" xr3:uid="{1AC2D76B-9168-49E5-BBD9-1622F8B52A90}" name="Column11659"/>
    <tableColumn id="11679" xr3:uid="{4B7CC405-471B-4605-8D51-8E2E4489BC18}" name="Column11660"/>
    <tableColumn id="11680" xr3:uid="{418B680F-7E25-49DA-8AA6-804D58C9432F}" name="Column11661"/>
    <tableColumn id="11681" xr3:uid="{C6AE8808-F0DC-4202-A348-4390F6879B11}" name="Column11662"/>
    <tableColumn id="11682" xr3:uid="{5AC84CCB-E4C4-4BFC-AB53-10B0E9FF2754}" name="Column11663"/>
    <tableColumn id="11683" xr3:uid="{7FB80424-4F02-4BA0-B751-0933E8EC49D1}" name="Column11664"/>
    <tableColumn id="11684" xr3:uid="{23ADE572-8510-4437-949A-649417D3ED3A}" name="Column11665"/>
    <tableColumn id="11685" xr3:uid="{6AB4791A-B26F-4DFA-B720-FFBC9EE784CD}" name="Column11666"/>
    <tableColumn id="11686" xr3:uid="{6D218EB1-ACAC-4EEA-835F-0356878356AB}" name="Column11667"/>
    <tableColumn id="11687" xr3:uid="{D68E9352-DCF9-4221-A009-E6012A1F5496}" name="Column11668"/>
    <tableColumn id="11688" xr3:uid="{AB0D449E-C903-4917-B3E5-5F5DAFFBBDBA}" name="Column11669"/>
    <tableColumn id="11689" xr3:uid="{C4C7731D-A2C7-4E3C-9665-31B20372CCEB}" name="Column11670"/>
    <tableColumn id="11690" xr3:uid="{860CE541-BA39-4693-BF49-1E2D9E7CD846}" name="Column11671"/>
    <tableColumn id="11691" xr3:uid="{39E425DC-C8BA-46E1-B469-F3AEF744509F}" name="Column11672"/>
    <tableColumn id="11692" xr3:uid="{E9799797-1C12-4493-B6AF-A75C4675D186}" name="Column11673"/>
    <tableColumn id="11693" xr3:uid="{9F1FA547-52E2-4D25-9F6B-EB0FE6E9697F}" name="Column11674"/>
    <tableColumn id="11694" xr3:uid="{4411AF39-DAA8-404C-A9C1-0D7E6D2DD80D}" name="Column11675"/>
    <tableColumn id="11695" xr3:uid="{AB0F2DAB-E1C1-4CDC-B677-1D636E72B946}" name="Column11676"/>
    <tableColumn id="11696" xr3:uid="{04B82FFC-B9B8-48C8-9C5A-903862EFD9F9}" name="Column11677"/>
    <tableColumn id="11697" xr3:uid="{640BB834-2C00-46C4-A775-2CB75322EA5F}" name="Column11678"/>
    <tableColumn id="11698" xr3:uid="{5A09B482-529A-47BE-AC40-CCF5F889DB33}" name="Column11679"/>
    <tableColumn id="11699" xr3:uid="{220421BA-D84D-4A38-A2A9-47506F70FF58}" name="Column11680"/>
    <tableColumn id="11700" xr3:uid="{6E7B0C8C-B6E8-4E45-8617-E5ECC85CDE88}" name="Column11681"/>
    <tableColumn id="11701" xr3:uid="{D4933A92-D151-4149-B1AB-3E2E529BACFD}" name="Column11682"/>
    <tableColumn id="11702" xr3:uid="{84798D19-42F7-47EC-B43E-D7E5D7D5C7A2}" name="Column11683"/>
    <tableColumn id="11703" xr3:uid="{3C971072-8E0F-4DDE-9529-50F0E0B3AB14}" name="Column11684"/>
    <tableColumn id="11704" xr3:uid="{D8F0A857-86C4-4B04-BCC1-98FFD2D1D5A8}" name="Column11685"/>
    <tableColumn id="11705" xr3:uid="{064D9D72-3796-4F5D-B13B-18C676C8CED0}" name="Column11686"/>
    <tableColumn id="11706" xr3:uid="{38BEB8D2-22A7-44D0-9E10-D48C5F55D61E}" name="Column11687"/>
    <tableColumn id="11707" xr3:uid="{67B4B75A-5B9E-4717-8B3A-B138FB8F54F0}" name="Column11688"/>
    <tableColumn id="11708" xr3:uid="{EE80C0B7-5857-4F6D-97B7-EA9424D24263}" name="Column11689"/>
    <tableColumn id="11709" xr3:uid="{5ACEAA97-DF62-46BE-B1CA-2628F41AF512}" name="Column11690"/>
    <tableColumn id="11710" xr3:uid="{951F8DF0-8B7B-4EA0-B10B-14D5EBF250B2}" name="Column11691"/>
    <tableColumn id="11711" xr3:uid="{14FC581B-0FF7-4BFB-BCD9-0222EC23FC81}" name="Column11692"/>
    <tableColumn id="11712" xr3:uid="{F7E3CA55-FBEC-441A-A745-C3BEA34DB816}" name="Column11693"/>
    <tableColumn id="11713" xr3:uid="{FDCB83BC-1D07-4BAB-B77E-44EEE5147CEF}" name="Column11694"/>
    <tableColumn id="11714" xr3:uid="{E1C15D31-5F9A-4891-A61A-5158F753FCE6}" name="Column11695"/>
    <tableColumn id="11715" xr3:uid="{7F4B64DF-DA2A-40DC-9FD3-B7985D5888EF}" name="Column11696"/>
    <tableColumn id="11716" xr3:uid="{99F21A9A-7741-49DF-A3D2-29AC57F689A6}" name="Column11697"/>
    <tableColumn id="11717" xr3:uid="{F3BA1C2E-C2E8-40B0-BBB1-79065D93F46E}" name="Column11698"/>
    <tableColumn id="11718" xr3:uid="{27BB1E4C-929C-4326-A44A-9B17844B5110}" name="Column11699"/>
    <tableColumn id="11719" xr3:uid="{E9963368-BEBC-45B6-8E7A-86268C8A02BB}" name="Column11700"/>
    <tableColumn id="11720" xr3:uid="{B4F13E4E-E963-4B33-98EE-11E278D4F7E7}" name="Column11701"/>
    <tableColumn id="11721" xr3:uid="{9F491CAE-09E9-4A7D-B469-CA65FBD250B9}" name="Column11702"/>
    <tableColumn id="11722" xr3:uid="{407B74BF-91DC-49C4-B478-75161E479BB5}" name="Column11703"/>
    <tableColumn id="11723" xr3:uid="{30BDDA91-9345-4223-BF57-129A22EFA347}" name="Column11704"/>
    <tableColumn id="11724" xr3:uid="{19564A61-926E-4DEF-BEA0-883CEC50DD76}" name="Column11705"/>
    <tableColumn id="11725" xr3:uid="{5E3A2B0B-D6B3-4251-9304-1EE2EF980098}" name="Column11706"/>
    <tableColumn id="11726" xr3:uid="{2FEAEC2E-CE3E-4816-AA8B-0A1B73AF9CC3}" name="Column11707"/>
    <tableColumn id="11727" xr3:uid="{9DDC91DA-E126-4C2D-825E-88F6FB4C861C}" name="Column11708"/>
    <tableColumn id="11728" xr3:uid="{8ABC8EA4-E48B-49BC-BE48-728833F57419}" name="Column11709"/>
    <tableColumn id="11729" xr3:uid="{DF894ACC-78FC-45C4-816B-0303D72EA1CE}" name="Column11710"/>
    <tableColumn id="11730" xr3:uid="{8D8552F1-2DB8-42AC-BECA-3A5B3F8FFF57}" name="Column11711"/>
    <tableColumn id="11731" xr3:uid="{1306F467-79D3-45BF-927B-71BC0D5D47FE}" name="Column11712"/>
    <tableColumn id="11732" xr3:uid="{5A2068FF-36C4-4910-8FDF-E57C5E169C36}" name="Column11713"/>
    <tableColumn id="11733" xr3:uid="{3DD62371-D8C2-4F69-8F78-A0A76070C23A}" name="Column11714"/>
    <tableColumn id="11734" xr3:uid="{E43F4AD6-4294-46D1-ACB6-5B3D8A8E359C}" name="Column11715"/>
    <tableColumn id="11735" xr3:uid="{260EA96A-1A02-4086-912C-FE195BCCCCE8}" name="Column11716"/>
    <tableColumn id="11736" xr3:uid="{71EB7EFC-A24D-4782-9DA6-7C843422AFB8}" name="Column11717"/>
    <tableColumn id="11737" xr3:uid="{84D9B939-A6F9-4FE2-96BA-FD56F369CB66}" name="Column11718"/>
    <tableColumn id="11738" xr3:uid="{65496F5A-EA8D-4156-B278-55C2B6689839}" name="Column11719"/>
    <tableColumn id="11739" xr3:uid="{066A819A-DFC3-4982-B588-CEDD79301166}" name="Column11720"/>
    <tableColumn id="11740" xr3:uid="{0EC39CB0-F2F4-4F34-91B1-6D7C9B0B616B}" name="Column11721"/>
    <tableColumn id="11741" xr3:uid="{0C0031AE-8110-4D44-A4C7-C090A5925F4A}" name="Column11722"/>
    <tableColumn id="11742" xr3:uid="{C82FD96C-92F8-4CF2-A603-BE0B5572371B}" name="Column11723"/>
    <tableColumn id="11743" xr3:uid="{CD95E264-5991-4B9C-A0CE-5CCD3637BD0D}" name="Column11724"/>
    <tableColumn id="11744" xr3:uid="{C1CE3105-99B3-4B42-9BE9-E53CF4A6858B}" name="Column11725"/>
    <tableColumn id="11745" xr3:uid="{5F2B5B49-8F4E-4D0A-8D5C-9D007D593046}" name="Column11726"/>
    <tableColumn id="11746" xr3:uid="{6C1E47E7-0EB9-4AA2-A1AD-E3738E8F464C}" name="Column11727"/>
    <tableColumn id="11747" xr3:uid="{7941CCAD-167D-4869-AA51-4A1B8F1D85F7}" name="Column11728"/>
    <tableColumn id="11748" xr3:uid="{FF0E326B-F729-49E0-AD04-EEEB9F41C629}" name="Column11729"/>
    <tableColumn id="11749" xr3:uid="{33C5D15B-AFA8-4837-BA1E-7AE3C8E0D6B8}" name="Column11730"/>
    <tableColumn id="11750" xr3:uid="{C6873CFA-D516-4DFC-9A4A-248EF51B0E07}" name="Column11731"/>
    <tableColumn id="11751" xr3:uid="{8E513D24-259B-45F1-8212-FCCC1C685C2F}" name="Column11732"/>
    <tableColumn id="11752" xr3:uid="{BB7B8B94-915C-407F-89AD-629E50841097}" name="Column11733"/>
    <tableColumn id="11753" xr3:uid="{94AD5EEF-0609-4C94-9067-ABC46A09DE5E}" name="Column11734"/>
    <tableColumn id="11754" xr3:uid="{12CCAD40-4536-4167-BB0D-EB71A5D5854B}" name="Column11735"/>
    <tableColumn id="11755" xr3:uid="{4004A872-496D-45F6-BC29-6C56812B730D}" name="Column11736"/>
    <tableColumn id="11756" xr3:uid="{FC5BEE85-D238-4A94-8010-F32381B0E3FF}" name="Column11737"/>
    <tableColumn id="11757" xr3:uid="{64525BD6-3EA0-42AB-A514-EC462D070E54}" name="Column11738"/>
    <tableColumn id="11758" xr3:uid="{E4D52E97-D233-4BB7-9D0C-EE39CDA3342F}" name="Column11739"/>
    <tableColumn id="11759" xr3:uid="{09B4CAB7-787A-48DA-A79C-EBF7BB05E490}" name="Column11740"/>
    <tableColumn id="11760" xr3:uid="{10E1B856-63E2-428C-B807-B09CA8E2D04B}" name="Column11741"/>
    <tableColumn id="11761" xr3:uid="{FB0BADCC-52BD-455A-8948-B420A2FB629B}" name="Column11742"/>
    <tableColumn id="11762" xr3:uid="{2474292D-852A-45E7-854D-62DB3D4452A1}" name="Column11743"/>
    <tableColumn id="11763" xr3:uid="{E7C5D8EC-97B4-4B91-9903-181F3E4DB036}" name="Column11744"/>
    <tableColumn id="11764" xr3:uid="{B19F3294-44DE-460E-B58F-D9CB95FF28D1}" name="Column11745"/>
    <tableColumn id="11765" xr3:uid="{6DD0D467-FA32-4932-95A8-E0E5D1A581CD}" name="Column11746"/>
    <tableColumn id="11766" xr3:uid="{0D33BFA4-84A5-4315-9B9F-7EB8D2F4B392}" name="Column11747"/>
    <tableColumn id="11767" xr3:uid="{27E2214B-A02E-4525-B42D-AE61C30E285B}" name="Column11748"/>
    <tableColumn id="11768" xr3:uid="{8FF46E42-61C9-4B97-9E24-7C80AEABE649}" name="Column11749"/>
    <tableColumn id="11769" xr3:uid="{087CA47B-B8B5-4424-B337-3C858F904F66}" name="Column11750"/>
    <tableColumn id="11770" xr3:uid="{F36F1840-CFBA-4655-9142-8E45415DA6A8}" name="Column11751"/>
    <tableColumn id="11771" xr3:uid="{F0129AA9-F21B-405D-84CF-EB0F6D253BF6}" name="Column11752"/>
    <tableColumn id="11772" xr3:uid="{D1B1DF3C-999B-4DEC-B231-625897A2F01D}" name="Column11753"/>
    <tableColumn id="11773" xr3:uid="{C3CD85E1-42DD-477F-82C1-3E66F50804F8}" name="Column11754"/>
    <tableColumn id="11774" xr3:uid="{9CFF3ED7-F6A4-45E9-AF13-C5E0DE21E829}" name="Column11755"/>
    <tableColumn id="11775" xr3:uid="{96BD8EED-D1EA-42B4-8540-4579F03E7B96}" name="Column11756"/>
    <tableColumn id="11776" xr3:uid="{F1F43816-1412-4EC3-9961-0464B7A9479A}" name="Column11757"/>
    <tableColumn id="11777" xr3:uid="{261F8B36-D778-4D0C-82D8-F91A58768DD1}" name="Column11758"/>
    <tableColumn id="11778" xr3:uid="{11BBBE08-44D7-4CAF-8025-587D6B8F206E}" name="Column11759"/>
    <tableColumn id="11779" xr3:uid="{E9DDDBC9-0698-469C-9F17-3B648FCE9D18}" name="Column11760"/>
    <tableColumn id="11780" xr3:uid="{976144FE-747F-4EC8-BF10-2EA7229A5935}" name="Column11761"/>
    <tableColumn id="11781" xr3:uid="{C2F1FBF2-ACA3-47AF-BC33-DC76E3CA87B9}" name="Column11762"/>
    <tableColumn id="11782" xr3:uid="{FE5BA0C7-9B8B-4F8B-8D9C-8BBC92471037}" name="Column11763"/>
    <tableColumn id="11783" xr3:uid="{0B3FD835-D493-4B57-9E78-93106718BCFE}" name="Column11764"/>
    <tableColumn id="11784" xr3:uid="{874C697D-BA30-488F-9FCA-BEB3F2DBDDD6}" name="Column11765"/>
    <tableColumn id="11785" xr3:uid="{AD236D5F-5315-494F-919E-549898071220}" name="Column11766"/>
    <tableColumn id="11786" xr3:uid="{5958D1FF-1022-48BB-B106-E8B224DA0CBD}" name="Column11767"/>
    <tableColumn id="11787" xr3:uid="{593A7DF4-22F8-4E61-9662-6C4DF7439FD9}" name="Column11768"/>
    <tableColumn id="11788" xr3:uid="{164C0493-B49B-48A9-BD6A-04FA5B2C752C}" name="Column11769"/>
    <tableColumn id="11789" xr3:uid="{3F337A4B-3A8E-4531-B353-D3EF535433F8}" name="Column11770"/>
    <tableColumn id="11790" xr3:uid="{B2F2BCC4-0E4F-421E-9E1B-92AF40B78B61}" name="Column11771"/>
    <tableColumn id="11791" xr3:uid="{D12CA29A-B024-49FC-8E1D-8CCD507FBE7D}" name="Column11772"/>
    <tableColumn id="11792" xr3:uid="{C8D6D34E-4D84-42AA-B4CC-4CE81069C62A}" name="Column11773"/>
    <tableColumn id="11793" xr3:uid="{C1C9E39F-9089-4D0B-964E-5DED7F4D19BD}" name="Column11774"/>
    <tableColumn id="11794" xr3:uid="{6E29820D-9640-42EB-AFE3-E1CA785A6843}" name="Column11775"/>
    <tableColumn id="11795" xr3:uid="{7DF8054B-689F-4812-A23A-FDD7ABAD77CF}" name="Column11776"/>
    <tableColumn id="11796" xr3:uid="{C174E91F-05E9-40E3-9422-5F7FBEC7C0BF}" name="Column11777"/>
    <tableColumn id="11797" xr3:uid="{1C7822CE-2055-4A48-B79A-F11F1B6688B3}" name="Column11778"/>
    <tableColumn id="11798" xr3:uid="{1EA7FE42-B591-4A7F-98E0-DAABE0174B25}" name="Column11779"/>
    <tableColumn id="11799" xr3:uid="{28B6DB55-806D-42FE-B8E4-61B58DBA23A1}" name="Column11780"/>
    <tableColumn id="11800" xr3:uid="{FDA4177E-7A09-4C96-B429-604C56DEC030}" name="Column11781"/>
    <tableColumn id="11801" xr3:uid="{F14DCD21-377D-4B36-9732-9A252F8C9A4E}" name="Column11782"/>
    <tableColumn id="11802" xr3:uid="{E26F82FF-514B-4B7C-AEE2-DB4FB1B031F1}" name="Column11783"/>
    <tableColumn id="11803" xr3:uid="{BFE36CC6-68F3-437E-8249-D43060EBDEA3}" name="Column11784"/>
    <tableColumn id="11804" xr3:uid="{354EBB70-DC71-46D8-ABFA-B5089B3991AD}" name="Column11785"/>
    <tableColumn id="11805" xr3:uid="{99D930BD-CBBB-4315-A6F1-DE0B45182465}" name="Column11786"/>
    <tableColumn id="11806" xr3:uid="{D2F3076D-D971-454C-A2D8-C5DA82AEDDC2}" name="Column11787"/>
    <tableColumn id="11807" xr3:uid="{F8BAC4A2-43DE-40C3-B0A4-442D5EB290A7}" name="Column11788"/>
    <tableColumn id="11808" xr3:uid="{03F9C286-74A0-4929-8241-33DDD9D58160}" name="Column11789"/>
    <tableColumn id="11809" xr3:uid="{5C34B619-52D1-4BF3-9F8F-0A2E498BD756}" name="Column11790"/>
    <tableColumn id="11810" xr3:uid="{C4C2CA3A-E5DF-45AF-979D-B66A5F7EE71E}" name="Column11791"/>
    <tableColumn id="11811" xr3:uid="{7C08ED6F-B269-476E-93B1-5168064773CC}" name="Column11792"/>
    <tableColumn id="11812" xr3:uid="{A8775302-4A55-457D-B729-15CCFBCB1723}" name="Column11793"/>
    <tableColumn id="11813" xr3:uid="{9E93CEB5-BBA0-44FD-B4DC-6D181B2B6D8E}" name="Column11794"/>
    <tableColumn id="11814" xr3:uid="{FACBAAA4-4A6B-4FC5-9164-B304D84CF7A8}" name="Column11795"/>
    <tableColumn id="11815" xr3:uid="{3744A018-5A7F-4ACE-8022-1BED225ABA4F}" name="Column11796"/>
    <tableColumn id="11816" xr3:uid="{81ED18ED-5CB6-45A4-B4B9-715AB1372526}" name="Column11797"/>
    <tableColumn id="11817" xr3:uid="{23A9D66B-7991-482B-915A-ECCE82A4EEAF}" name="Column11798"/>
    <tableColumn id="11818" xr3:uid="{F2801B1E-B3AC-443F-9187-BAFED70C0763}" name="Column11799"/>
    <tableColumn id="11819" xr3:uid="{EC168E0D-2D59-41E6-9D87-0697A637BD6A}" name="Column11800"/>
    <tableColumn id="11820" xr3:uid="{37ABF1DA-A00B-4B11-8F67-90E03FEDEA0D}" name="Column11801"/>
    <tableColumn id="11821" xr3:uid="{DADDF00D-9CD6-4B1A-90AA-3BBEE55DEE7B}" name="Column11802"/>
    <tableColumn id="11822" xr3:uid="{97E34FDE-6FB9-4529-976A-BC7D2CC62252}" name="Column11803"/>
    <tableColumn id="11823" xr3:uid="{FD7519EF-D983-4A14-8373-6560F2B68FC1}" name="Column11804"/>
    <tableColumn id="11824" xr3:uid="{3E599738-5E11-40DA-B709-58469B262827}" name="Column11805"/>
    <tableColumn id="11825" xr3:uid="{9B465535-0BDA-4D1C-AB87-EAFD48D46622}" name="Column11806"/>
    <tableColumn id="11826" xr3:uid="{6DB9B010-A311-48E1-8E8F-F97308578730}" name="Column11807"/>
    <tableColumn id="11827" xr3:uid="{ADA16892-A2DF-4BB5-8317-0D035B000F3A}" name="Column11808"/>
    <tableColumn id="11828" xr3:uid="{6AD4340B-E7BE-455F-A408-E82947A2AECB}" name="Column11809"/>
    <tableColumn id="11829" xr3:uid="{4CFE801C-8D1B-46F1-94D8-0AA958B69F8C}" name="Column11810"/>
    <tableColumn id="11830" xr3:uid="{83236B50-F67A-4861-8C2B-A48C3A8BFD1B}" name="Column11811"/>
    <tableColumn id="11831" xr3:uid="{02341D0B-5352-4056-ADC4-10F9B7A645C9}" name="Column11812"/>
    <tableColumn id="11832" xr3:uid="{C2BE98FC-F313-4C19-88A4-AD5C4199617A}" name="Column11813"/>
    <tableColumn id="11833" xr3:uid="{2772D429-D86F-44FD-B81C-90039B59BFA0}" name="Column11814"/>
    <tableColumn id="11834" xr3:uid="{44F0FF40-6DC4-43EF-9E76-F933BEC983F6}" name="Column11815"/>
    <tableColumn id="11835" xr3:uid="{906213C6-3510-4105-81AD-774346B6CD71}" name="Column11816"/>
    <tableColumn id="11836" xr3:uid="{4B74A516-F436-4675-8A4C-17085AB8E965}" name="Column11817"/>
    <tableColumn id="11837" xr3:uid="{B8880ADE-52D8-4741-AEEE-372B4818ADCF}" name="Column11818"/>
    <tableColumn id="11838" xr3:uid="{094E954D-FD6C-431A-890B-278B5DF81673}" name="Column11819"/>
    <tableColumn id="11839" xr3:uid="{B0E91A78-98D2-47E7-84C3-DAE96BECE57A}" name="Column11820"/>
    <tableColumn id="11840" xr3:uid="{DB6EAE97-2473-4194-9524-FA06B1682EEA}" name="Column11821"/>
    <tableColumn id="11841" xr3:uid="{9A632178-9EFB-4AD4-B341-AD1C18FCA417}" name="Column11822"/>
    <tableColumn id="11842" xr3:uid="{0E06740C-7DF4-4AD1-95D5-BBA7FCBC835F}" name="Column11823"/>
    <tableColumn id="11843" xr3:uid="{027D545F-3314-4706-BF7F-78AC01EFC196}" name="Column11824"/>
    <tableColumn id="11844" xr3:uid="{2FE2C8DE-46DF-4B3F-8A52-8932846CA227}" name="Column11825"/>
    <tableColumn id="11845" xr3:uid="{C3B12990-6066-478B-A226-4B5A87C57A1E}" name="Column11826"/>
    <tableColumn id="11846" xr3:uid="{3989D936-C920-4DB1-BFF0-A458FBC44F37}" name="Column11827"/>
    <tableColumn id="11847" xr3:uid="{F7EC67E5-A6E6-41F9-BEB0-BECC771EF79A}" name="Column11828"/>
    <tableColumn id="11848" xr3:uid="{CD3DA4B2-A2F8-4EB4-B4EA-AF361AF6197C}" name="Column11829"/>
    <tableColumn id="11849" xr3:uid="{7EF360EC-03E8-41D2-B2FB-50FE3538622D}" name="Column11830"/>
    <tableColumn id="11850" xr3:uid="{715A4DE1-837B-4AE9-A30F-41F0458D6C9A}" name="Column11831"/>
    <tableColumn id="11851" xr3:uid="{A4907EF2-1658-4812-ADA5-F1A68CF31488}" name="Column11832"/>
    <tableColumn id="11852" xr3:uid="{255A8AD3-EEE7-4DA3-941F-8789010D23DF}" name="Column11833"/>
    <tableColumn id="11853" xr3:uid="{938390A9-F0F6-48D3-A0C1-273D7C9C2DEE}" name="Column11834"/>
    <tableColumn id="11854" xr3:uid="{61E26640-5F5E-4595-8C2C-27E24A51F107}" name="Column11835"/>
    <tableColumn id="11855" xr3:uid="{37A8780F-46CE-48A6-A4E6-32D8BE465181}" name="Column11836"/>
    <tableColumn id="11856" xr3:uid="{9CF317D7-478C-485C-B008-8859728489F1}" name="Column11837"/>
    <tableColumn id="11857" xr3:uid="{8AC523A0-85E4-4D4A-9E0D-9FC3958CA5BF}" name="Column11838"/>
    <tableColumn id="11858" xr3:uid="{B4361A54-D548-4047-9953-95FA9647CBFE}" name="Column11839"/>
    <tableColumn id="11859" xr3:uid="{4DFB6A0D-8681-4C4F-AAF2-361D7D406259}" name="Column11840"/>
    <tableColumn id="11860" xr3:uid="{D0B8CC48-CFEE-495C-A3D0-FC8631F0811A}" name="Column11841"/>
    <tableColumn id="11861" xr3:uid="{376F2CC6-5351-4BE0-9740-3F1A77B6126B}" name="Column11842"/>
    <tableColumn id="11862" xr3:uid="{736E999E-D85F-4815-9D35-D5E69D1A818B}" name="Column11843"/>
    <tableColumn id="11863" xr3:uid="{E247F319-81D1-4FA5-A5C8-7B755B7BCE26}" name="Column11844"/>
    <tableColumn id="11864" xr3:uid="{6C4972F1-2C30-4328-9305-A8D4AB5C2BA1}" name="Column11845"/>
    <tableColumn id="11865" xr3:uid="{59D48602-A354-43C0-8435-341C6807590B}" name="Column11846"/>
    <tableColumn id="11866" xr3:uid="{518DAEE7-3A2B-4360-9640-6955E9158C35}" name="Column11847"/>
    <tableColumn id="11867" xr3:uid="{10C200D3-2CF6-48AF-B805-DB2F1D2F8F1C}" name="Column11848"/>
    <tableColumn id="11868" xr3:uid="{974CC069-E229-4ADE-9CCC-7F65E2C376C4}" name="Column11849"/>
    <tableColumn id="11869" xr3:uid="{437477B1-260E-40A5-80EF-2F7409DC0087}" name="Column11850"/>
    <tableColumn id="11870" xr3:uid="{DB09154C-E6B6-47E4-9B5F-2B852E8D3426}" name="Column11851"/>
    <tableColumn id="11871" xr3:uid="{A8D457E0-F5E9-4DEE-BB6C-703B9121C776}" name="Column11852"/>
    <tableColumn id="11872" xr3:uid="{F624594B-020A-4086-9A89-B1576ED68D6F}" name="Column11853"/>
    <tableColumn id="11873" xr3:uid="{846B7CDD-C036-4C23-99E7-F3D5344C2676}" name="Column11854"/>
    <tableColumn id="11874" xr3:uid="{85595F06-A436-4181-A3A7-EF52EA114B36}" name="Column11855"/>
    <tableColumn id="11875" xr3:uid="{9214CB3A-E958-48FF-BD6A-91A2B16F4952}" name="Column11856"/>
    <tableColumn id="11876" xr3:uid="{AF4FD728-955A-4047-8602-B0D4E0A2900A}" name="Column11857"/>
    <tableColumn id="11877" xr3:uid="{7810DE25-8CA7-4161-8016-9AD4B92BFEAA}" name="Column11858"/>
    <tableColumn id="11878" xr3:uid="{A0631E25-9267-43A6-B97E-1F1BDBCF2417}" name="Column11859"/>
    <tableColumn id="11879" xr3:uid="{867BA94C-4B98-4424-9DCA-E28AC2A9EA75}" name="Column11860"/>
    <tableColumn id="11880" xr3:uid="{649F787D-9924-454F-B6C9-E64C1FFE8882}" name="Column11861"/>
    <tableColumn id="11881" xr3:uid="{98FB213F-C511-4E1F-99B7-F491D11B2FCA}" name="Column11862"/>
    <tableColumn id="11882" xr3:uid="{7DDDA2B5-873F-421B-9E43-837628927BB7}" name="Column11863"/>
    <tableColumn id="11883" xr3:uid="{7D99B6F0-9103-4674-B6F5-CFDDBD45B4FB}" name="Column11864"/>
    <tableColumn id="11884" xr3:uid="{E28A4D61-B215-4B35-BD74-F2C26CE93784}" name="Column11865"/>
    <tableColumn id="11885" xr3:uid="{B4C458BB-A06F-471B-B8CA-12827BDCB1E1}" name="Column11866"/>
    <tableColumn id="11886" xr3:uid="{9E0692AA-CA01-4E67-AE81-9696F88083AD}" name="Column11867"/>
    <tableColumn id="11887" xr3:uid="{2E4A2085-654F-4692-8CFA-E98064BF55A1}" name="Column11868"/>
    <tableColumn id="11888" xr3:uid="{2874F579-A73E-435C-8650-4347A9B73D8D}" name="Column11869"/>
    <tableColumn id="11889" xr3:uid="{57BD465A-CE4E-429C-B7B2-382B6D8B7E58}" name="Column11870"/>
    <tableColumn id="11890" xr3:uid="{35B8B114-DFBA-4E37-9BA0-785A6146A88E}" name="Column11871"/>
    <tableColumn id="11891" xr3:uid="{44D7CE12-0B92-41CB-9C8A-5081C63F85FF}" name="Column11872"/>
    <tableColumn id="11892" xr3:uid="{69DFBC0B-4D49-4218-82CD-928ABD69A55D}" name="Column11873"/>
    <tableColumn id="11893" xr3:uid="{D74057BC-C711-4F23-BDA1-6B66C59C93C6}" name="Column11874"/>
    <tableColumn id="11894" xr3:uid="{20EB1952-8948-47F5-A6F7-45A899BF0C49}" name="Column11875"/>
    <tableColumn id="11895" xr3:uid="{8C38F83E-F30D-4CD2-BF97-CFE4520D91DB}" name="Column11876"/>
    <tableColumn id="11896" xr3:uid="{BDBE7025-0852-4104-B856-76D128E2CC9F}" name="Column11877"/>
    <tableColumn id="11897" xr3:uid="{A1B49BCF-0B0B-4870-9602-6CB0B054820E}" name="Column11878"/>
    <tableColumn id="11898" xr3:uid="{43758044-C73B-49E5-AFC2-B7B5031B9F3E}" name="Column11879"/>
    <tableColumn id="11899" xr3:uid="{DDCB4263-56B1-4B65-941B-8C544A0BC784}" name="Column11880"/>
    <tableColumn id="11900" xr3:uid="{E390BFA2-3C8C-4148-A008-5D17C8CF5D7C}" name="Column11881"/>
    <tableColumn id="11901" xr3:uid="{B891C13E-225D-4E1D-ACF1-FD1822DC4D15}" name="Column11882"/>
    <tableColumn id="11902" xr3:uid="{691B7D14-0B46-4C1D-892C-BC94533E7CD2}" name="Column11883"/>
    <tableColumn id="11903" xr3:uid="{1B7BCC47-50E9-4B5C-AF41-623F5387A4A7}" name="Column11884"/>
    <tableColumn id="11904" xr3:uid="{4A410271-0962-47B5-BC85-5A11A2FD998C}" name="Column11885"/>
    <tableColumn id="11905" xr3:uid="{144CAB0D-EFC2-46C4-B1D9-D9A89E9AAFA1}" name="Column11886"/>
    <tableColumn id="11906" xr3:uid="{DBE28462-91BF-4530-927D-20214CB3104D}" name="Column11887"/>
    <tableColumn id="11907" xr3:uid="{3FADECFB-6ACD-480F-BB3A-9129143D879D}" name="Column11888"/>
    <tableColumn id="11908" xr3:uid="{F55C45A5-C521-46B0-85E9-87AA5D9364B3}" name="Column11889"/>
    <tableColumn id="11909" xr3:uid="{17C4DF79-DD0F-4CC3-BB2D-6313CE67A4B1}" name="Column11890"/>
    <tableColumn id="11910" xr3:uid="{C94B46A8-57D1-415B-BA53-68B534D3FB56}" name="Column11891"/>
    <tableColumn id="11911" xr3:uid="{3C165BA8-1031-465D-A164-406840B8058E}" name="Column11892"/>
    <tableColumn id="11912" xr3:uid="{931074A2-C67C-4A2F-8AE4-5E79F78C5AD4}" name="Column11893"/>
    <tableColumn id="11913" xr3:uid="{8122A5D0-50F5-43DB-A995-0145F3500D15}" name="Column11894"/>
    <tableColumn id="11914" xr3:uid="{8EAE4E0B-6D1D-485B-8F24-B93FF89D8AB6}" name="Column11895"/>
    <tableColumn id="11915" xr3:uid="{0BCFF74C-9B5A-42C8-8565-FF0693833C02}" name="Column11896"/>
    <tableColumn id="11916" xr3:uid="{2119C573-2AC0-42CB-9F87-D7E800319874}" name="Column11897"/>
    <tableColumn id="11917" xr3:uid="{604515B4-631F-49ED-BDB5-762296B4C5F9}" name="Column11898"/>
    <tableColumn id="11918" xr3:uid="{10A5FF29-00C1-447C-A028-38B5764E4537}" name="Column11899"/>
    <tableColumn id="11919" xr3:uid="{5DBC57BD-0ED5-47CC-BC76-059F8F866C57}" name="Column11900"/>
    <tableColumn id="11920" xr3:uid="{9B02C3E6-F1EB-4DBC-B272-86577362676F}" name="Column11901"/>
    <tableColumn id="11921" xr3:uid="{89E63973-18AE-4342-8AD7-871FF0A8E999}" name="Column11902"/>
    <tableColumn id="11922" xr3:uid="{BE3C5A7A-46EF-4EA7-A46C-9552796BEA4F}" name="Column11903"/>
    <tableColumn id="11923" xr3:uid="{D6541465-8FDD-4E91-97A4-91359D461A36}" name="Column11904"/>
    <tableColumn id="11924" xr3:uid="{E2D1B174-8BDB-4F1F-BAFC-05B1E47D2D6D}" name="Column11905"/>
    <tableColumn id="11925" xr3:uid="{CC8FBC8A-F129-4930-BB80-C797B0B000BD}" name="Column11906"/>
    <tableColumn id="11926" xr3:uid="{69E8D145-1F46-47A6-AADF-9F086C4C85F2}" name="Column11907"/>
    <tableColumn id="11927" xr3:uid="{71775811-F254-42BC-9015-33E45AEA4B13}" name="Column11908"/>
    <tableColumn id="11928" xr3:uid="{4C171ECC-DC0D-41E1-A72B-CF852212B8F8}" name="Column11909"/>
    <tableColumn id="11929" xr3:uid="{339F76CF-5E6D-49EE-8D36-53D5F94657AC}" name="Column11910"/>
    <tableColumn id="11930" xr3:uid="{BD35820B-B910-4025-AA47-1C8996A72C24}" name="Column11911"/>
    <tableColumn id="11931" xr3:uid="{F67F4793-1107-4EB7-A88F-7DF817B67A8F}" name="Column11912"/>
    <tableColumn id="11932" xr3:uid="{5FE8D739-D069-4129-A277-A2FC5C138E22}" name="Column11913"/>
    <tableColumn id="11933" xr3:uid="{3D096E5A-83DB-4661-93DE-4BFC49CEC66E}" name="Column11914"/>
    <tableColumn id="11934" xr3:uid="{14DFC947-B50E-497A-938E-CB58D9249BF6}" name="Column11915"/>
    <tableColumn id="11935" xr3:uid="{80F25221-4149-44B4-906E-C8C17E20E6C1}" name="Column11916"/>
    <tableColumn id="11936" xr3:uid="{B30E2282-94F9-402E-942A-1FFA3F9D6C58}" name="Column11917"/>
    <tableColumn id="11937" xr3:uid="{A581377F-AB40-4635-AC8B-D2186E19BEA5}" name="Column11918"/>
    <tableColumn id="11938" xr3:uid="{8FE8385D-BFE4-40D5-B725-21BFC901CA7A}" name="Column11919"/>
    <tableColumn id="11939" xr3:uid="{6EC65E9A-429C-4681-80E1-AD13465C4260}" name="Column11920"/>
    <tableColumn id="11940" xr3:uid="{1BEBF738-7C37-4CB4-91D0-B92B7F2A2A91}" name="Column11921"/>
    <tableColumn id="11941" xr3:uid="{78306B18-08BA-4880-A2D8-C3F54CD0A4CC}" name="Column11922"/>
    <tableColumn id="11942" xr3:uid="{4088ACCA-B263-4AA4-A603-255D2D584F07}" name="Column11923"/>
    <tableColumn id="11943" xr3:uid="{73F73184-0DFC-426C-B849-D681173B40A4}" name="Column11924"/>
    <tableColumn id="11944" xr3:uid="{299F1D34-81EC-4840-A8EE-7917C5D2AC35}" name="Column11925"/>
    <tableColumn id="11945" xr3:uid="{3C419FED-4BC3-4759-B9EB-CCAE48EE5A6D}" name="Column11926"/>
    <tableColumn id="11946" xr3:uid="{1C8C32D2-D9DE-4402-9C73-7A52AED573B3}" name="Column11927"/>
    <tableColumn id="11947" xr3:uid="{6648A427-1ADE-4D4F-BCA6-371DD980B9CF}" name="Column11928"/>
    <tableColumn id="11948" xr3:uid="{E01176FE-D158-4913-8C09-F374FBB78DF7}" name="Column11929"/>
    <tableColumn id="11949" xr3:uid="{ACB720B2-CB74-4DC5-BC51-CBE90681DC4F}" name="Column11930"/>
    <tableColumn id="11950" xr3:uid="{5A2361C4-56EB-49D9-8D95-80E7C8A6DF39}" name="Column11931"/>
    <tableColumn id="11951" xr3:uid="{FE9A35EE-B126-453A-A0BB-FE6799A68F86}" name="Column11932"/>
    <tableColumn id="11952" xr3:uid="{CCAFFCFB-3F59-4E46-B95D-D548877B7DA4}" name="Column11933"/>
    <tableColumn id="11953" xr3:uid="{0472B8EC-6BD4-43E3-B34F-9FE68CE198F0}" name="Column11934"/>
    <tableColumn id="11954" xr3:uid="{4301BF17-B9B8-49C0-A595-6F00C30AA080}" name="Column11935"/>
    <tableColumn id="11955" xr3:uid="{8AC85063-3F4A-4FCE-A51B-C6E168A99872}" name="Column11936"/>
    <tableColumn id="11956" xr3:uid="{D8E0C95E-2B9B-433F-BE12-FF58F02A1FCD}" name="Column11937"/>
    <tableColumn id="11957" xr3:uid="{3C6F686B-052F-4523-898B-9826E44147E3}" name="Column11938"/>
    <tableColumn id="11958" xr3:uid="{E1F07737-A345-4456-AC1E-21F51D40BCCF}" name="Column11939"/>
    <tableColumn id="11959" xr3:uid="{137FBB57-FECB-414A-9C38-127D62447CF0}" name="Column11940"/>
    <tableColumn id="11960" xr3:uid="{D46DE797-7FFA-4E7A-BF8F-8CF0B9614630}" name="Column11941"/>
    <tableColumn id="11961" xr3:uid="{3B470FA3-95B2-4E7C-969F-7D1CEFA4C0EB}" name="Column11942"/>
    <tableColumn id="11962" xr3:uid="{945880CA-B3EA-4A1A-831D-48C2D52DC119}" name="Column11943"/>
    <tableColumn id="11963" xr3:uid="{9EE4A362-5262-4936-8EED-8CF8F00B7528}" name="Column11944"/>
    <tableColumn id="11964" xr3:uid="{639033AF-94A6-4436-9973-93EC99B21C4D}" name="Column11945"/>
    <tableColumn id="11965" xr3:uid="{8DB760D8-71ED-4664-93D2-9CDE597D6B29}" name="Column11946"/>
    <tableColumn id="11966" xr3:uid="{21414A4F-F6B8-4906-869F-0BCAF934DCE5}" name="Column11947"/>
    <tableColumn id="11967" xr3:uid="{E19BC9B3-3B33-4AB8-A5FE-1399365A2F96}" name="Column11948"/>
    <tableColumn id="11968" xr3:uid="{675AE137-8DA5-488D-948A-27052801D8FC}" name="Column11949"/>
    <tableColumn id="11969" xr3:uid="{A84D112C-7EE6-4C42-8CEE-F41B22003E15}" name="Column11950"/>
    <tableColumn id="11970" xr3:uid="{B062B566-7DA2-4DA7-9B47-E72E7F85E1E5}" name="Column11951"/>
    <tableColumn id="11971" xr3:uid="{A608EC5D-3D19-44E8-B5E7-DE81A520A424}" name="Column11952"/>
    <tableColumn id="11972" xr3:uid="{969AA418-B581-4DDC-8290-7E9F5B87B234}" name="Column11953"/>
    <tableColumn id="11973" xr3:uid="{26871C53-9E38-45D4-8D54-99154C1516B7}" name="Column11954"/>
    <tableColumn id="11974" xr3:uid="{3E5F794E-5746-4501-A358-954D764E36DE}" name="Column11955"/>
    <tableColumn id="11975" xr3:uid="{0AFD4B98-F6CC-4202-8E37-105B79DD9081}" name="Column11956"/>
    <tableColumn id="11976" xr3:uid="{142310FB-3BF9-4CA2-B0B0-516B04FAE6DF}" name="Column11957"/>
    <tableColumn id="11977" xr3:uid="{5B5C7F86-AF0A-4C46-A436-D016CE24A1AD}" name="Column11958"/>
    <tableColumn id="11978" xr3:uid="{EDDD9BA6-8280-416A-9C8E-4AD987F7F337}" name="Column11959"/>
    <tableColumn id="11979" xr3:uid="{2F22C104-D0F6-4094-B9F7-38DB239917F6}" name="Column11960"/>
    <tableColumn id="11980" xr3:uid="{503180E9-27FD-48E6-B427-468C5E192561}" name="Column11961"/>
    <tableColumn id="11981" xr3:uid="{8894D068-0855-4DA7-B544-D5E4948F0840}" name="Column11962"/>
    <tableColumn id="11982" xr3:uid="{FD673A65-E3F1-4FD6-84D0-2FA44E48D05A}" name="Column11963"/>
    <tableColumn id="11983" xr3:uid="{147AF521-3E32-42B4-9106-E59D41D19FC7}" name="Column11964"/>
    <tableColumn id="11984" xr3:uid="{80371C6B-455F-46E1-BC3A-E197533E7144}" name="Column11965"/>
    <tableColumn id="11985" xr3:uid="{4597945E-DF1D-4F96-A3C3-99CF4368ED1D}" name="Column11966"/>
    <tableColumn id="11986" xr3:uid="{C8CF385D-CE02-4132-B2F5-DF6A61F282B9}" name="Column11967"/>
    <tableColumn id="11987" xr3:uid="{B135E188-150A-4B97-8522-853B299E6FB6}" name="Column11968"/>
    <tableColumn id="11988" xr3:uid="{59CBFE50-6027-4317-A6C9-C6596539E041}" name="Column11969"/>
    <tableColumn id="11989" xr3:uid="{66F9C72D-5E02-48B0-8CE9-AF8C80ADB3A3}" name="Column11970"/>
    <tableColumn id="11990" xr3:uid="{621BD8E0-6FE7-4C36-B3B2-720ED7844CE1}" name="Column11971"/>
    <tableColumn id="11991" xr3:uid="{D8F37181-F565-45B4-B0D8-A6FEA2EC84D7}" name="Column11972"/>
    <tableColumn id="11992" xr3:uid="{DDB8784F-B662-4CCE-ABC2-0519FCB7FF2F}" name="Column11973"/>
    <tableColumn id="11993" xr3:uid="{ADFCA441-547B-4BF6-8101-67D23CE07673}" name="Column11974"/>
    <tableColumn id="11994" xr3:uid="{53F1B830-FEF6-46F7-A2D2-FDC11BB2F245}" name="Column11975"/>
    <tableColumn id="11995" xr3:uid="{AE6209EB-4A5A-4B73-805C-720CEE6FEBDE}" name="Column11976"/>
    <tableColumn id="11996" xr3:uid="{4CE09169-1CC7-49DF-A1E4-8D1D49BF8542}" name="Column11977"/>
    <tableColumn id="11997" xr3:uid="{1DADDB3C-3D34-47D2-9C0F-12589E77DF0E}" name="Column11978"/>
    <tableColumn id="11998" xr3:uid="{81DFA297-E7F2-42D8-A94B-269839ECC3F4}" name="Column11979"/>
    <tableColumn id="11999" xr3:uid="{3713BE9A-79DB-45D2-AB3F-E37A89162F10}" name="Column11980"/>
    <tableColumn id="12000" xr3:uid="{E97F8079-C044-4497-94E8-CCEDDBBDD760}" name="Column11981"/>
    <tableColumn id="12001" xr3:uid="{B9D03768-9F51-4D4F-B1DB-53FEAD383A47}" name="Column11982"/>
    <tableColumn id="12002" xr3:uid="{0C5CDF99-8454-4729-8D16-14051E236C5D}" name="Column11983"/>
    <tableColumn id="12003" xr3:uid="{32B146B3-A227-4D86-8C2B-603B8D3DCFB1}" name="Column11984"/>
    <tableColumn id="12004" xr3:uid="{81D76C98-F1DC-4F69-8F0F-1BC00231E97E}" name="Column11985"/>
    <tableColumn id="12005" xr3:uid="{DF764D16-B08A-4791-AAC8-D305BBAF8050}" name="Column11986"/>
    <tableColumn id="12006" xr3:uid="{CD3F1489-783E-48F9-889B-032B3FB2267E}" name="Column11987"/>
    <tableColumn id="12007" xr3:uid="{33104C27-76F7-4811-85F3-BF412267AD0B}" name="Column11988"/>
    <tableColumn id="12008" xr3:uid="{F9A0822F-3DA7-4C6B-BA0F-1CEEDD8FA9CB}" name="Column11989"/>
    <tableColumn id="12009" xr3:uid="{60D5F738-C999-431D-849D-76835F0486E5}" name="Column11990"/>
    <tableColumn id="12010" xr3:uid="{B680C588-66DE-4F7E-B6D6-C65704F9FD64}" name="Column11991"/>
    <tableColumn id="12011" xr3:uid="{50FD696C-348C-48B2-BE9B-B61A1FD2FF83}" name="Column11992"/>
    <tableColumn id="12012" xr3:uid="{CA20EBC0-7920-4816-8129-D7DFFAF7E2AB}" name="Column11993"/>
    <tableColumn id="12013" xr3:uid="{A9C1E1AC-C000-4FE6-9317-4E0B60A5F1C5}" name="Column11994"/>
    <tableColumn id="12014" xr3:uid="{5E2F1651-EEDA-48FD-9D51-E9C474889788}" name="Column11995"/>
    <tableColumn id="12015" xr3:uid="{187F2C54-3EB1-4E00-B802-BD39815B6A58}" name="Column11996"/>
    <tableColumn id="12016" xr3:uid="{A3DCAD96-1FCB-42FF-9C8A-9F76ACD289C0}" name="Column11997"/>
    <tableColumn id="12017" xr3:uid="{2CA91E46-5211-4CEC-9B7E-005BE3B67015}" name="Column11998"/>
    <tableColumn id="12018" xr3:uid="{831A84EA-8006-46D3-8BEB-BC0478813AF8}" name="Column11999"/>
    <tableColumn id="12019" xr3:uid="{9374EED3-E01F-4736-ACA0-D34973F3B461}" name="Column12000"/>
    <tableColumn id="12020" xr3:uid="{F89C26E6-E4BD-4EED-8FB0-F57631ED222D}" name="Column12001"/>
    <tableColumn id="12021" xr3:uid="{E446E342-6D96-48D2-B75D-1918372CADA0}" name="Column12002"/>
    <tableColumn id="12022" xr3:uid="{181D476A-007A-48B2-B234-47F8B0F4CEA1}" name="Column12003"/>
    <tableColumn id="12023" xr3:uid="{FD4E5246-0F9A-4CA3-BEDF-DA1CCEA640A3}" name="Column12004"/>
    <tableColumn id="12024" xr3:uid="{ED537B3B-549A-4049-B474-0A18131E05A5}" name="Column12005"/>
    <tableColumn id="12025" xr3:uid="{F2B5345F-BDED-49B5-841C-20F7680A8FA4}" name="Column12006"/>
    <tableColumn id="12026" xr3:uid="{186C436B-1C99-4AC9-9AE8-9E90EDC7116D}" name="Column12007"/>
    <tableColumn id="12027" xr3:uid="{070FDC1B-8D7C-4D88-AF5F-50D2CD67B26D}" name="Column12008"/>
    <tableColumn id="12028" xr3:uid="{4FDED712-FD09-463C-AEBF-1B1FD3D44B34}" name="Column12009"/>
    <tableColumn id="12029" xr3:uid="{0B6E0ACD-8B95-47E5-B4D2-155424DC2830}" name="Column12010"/>
    <tableColumn id="12030" xr3:uid="{21F13253-E0C3-4E9B-961D-9B2F53568E8D}" name="Column12011"/>
    <tableColumn id="12031" xr3:uid="{EF0D5679-A40D-4199-8EAE-8C15D574F4D0}" name="Column12012"/>
    <tableColumn id="12032" xr3:uid="{22AEB285-AC08-4D5E-945D-B92A7A5953E3}" name="Column12013"/>
    <tableColumn id="12033" xr3:uid="{B9A2072E-2665-4610-92D3-21BFE9EADAC4}" name="Column12014"/>
    <tableColumn id="12034" xr3:uid="{41CF01F3-746A-4CBC-869F-4E5F6A1E5C76}" name="Column12015"/>
    <tableColumn id="12035" xr3:uid="{C0BF9280-4E0C-49F7-B338-5ED38F066321}" name="Column12016"/>
    <tableColumn id="12036" xr3:uid="{80DA5938-FABF-4215-86A1-B6C75C465242}" name="Column12017"/>
    <tableColumn id="12037" xr3:uid="{504E46D0-04C6-4F44-A237-A89542691C5A}" name="Column12018"/>
    <tableColumn id="12038" xr3:uid="{D188BF83-B3CD-4D04-B18C-097AF7EAE8C1}" name="Column12019"/>
    <tableColumn id="12039" xr3:uid="{142919EE-3013-4525-8C21-7DC1A01D745A}" name="Column12020"/>
    <tableColumn id="12040" xr3:uid="{CE470C99-303C-42DD-9C06-5AC9670831B9}" name="Column12021"/>
    <tableColumn id="12041" xr3:uid="{C27C1373-4A84-44D0-A474-2093C769E761}" name="Column12022"/>
    <tableColumn id="12042" xr3:uid="{A4DE98C4-0637-474C-9362-1E57388D3CBB}" name="Column12023"/>
    <tableColumn id="12043" xr3:uid="{B986C573-8CAD-4572-8ADF-4C3F61FDE6FC}" name="Column12024"/>
    <tableColumn id="12044" xr3:uid="{AF55C1F3-9F59-4DD2-90DE-E10B98D24DF4}" name="Column12025"/>
    <tableColumn id="12045" xr3:uid="{96654863-1E00-4A92-BED5-2A6D7F538C93}" name="Column12026"/>
    <tableColumn id="12046" xr3:uid="{AB2CA2BC-DC8D-4063-BA1D-8A887432AE90}" name="Column12027"/>
    <tableColumn id="12047" xr3:uid="{A98162CC-589A-44A5-9D36-9F6A48489968}" name="Column12028"/>
    <tableColumn id="12048" xr3:uid="{38CF5A60-DAF3-42A8-88FC-347A5663454C}" name="Column12029"/>
    <tableColumn id="12049" xr3:uid="{576392AC-DC8E-4F12-A9D5-00C3B038CD48}" name="Column12030"/>
    <tableColumn id="12050" xr3:uid="{27AD20FD-0E31-4990-9BD4-CB924D34E6DE}" name="Column12031"/>
    <tableColumn id="12051" xr3:uid="{66537A04-A2BC-44BE-B523-76523327E2F0}" name="Column12032"/>
    <tableColumn id="12052" xr3:uid="{CB8A6605-67F3-4A79-B88A-DD669598E506}" name="Column12033"/>
    <tableColumn id="12053" xr3:uid="{B47146BF-825D-461A-B27E-582DB9097E55}" name="Column12034"/>
    <tableColumn id="12054" xr3:uid="{7688605C-A486-4A12-AB01-281ECF20C61C}" name="Column12035"/>
    <tableColumn id="12055" xr3:uid="{D12703D1-896F-428B-9D1C-D98E3C8CDEA6}" name="Column12036"/>
    <tableColumn id="12056" xr3:uid="{8A70AF24-C2CC-4A82-BA77-0C744BC3DA98}" name="Column12037"/>
    <tableColumn id="12057" xr3:uid="{13FDDA2B-D854-424E-A78A-BE74C0C9CDCC}" name="Column12038"/>
    <tableColumn id="12058" xr3:uid="{2DE9B764-AE88-4564-9DD7-7D95A79BDB6C}" name="Column12039"/>
    <tableColumn id="12059" xr3:uid="{E8F2FAF4-993A-4B21-808F-4C9E53E03CE3}" name="Column12040"/>
    <tableColumn id="12060" xr3:uid="{553C5E1C-6320-41F3-99AA-A6B09E782020}" name="Column12041"/>
    <tableColumn id="12061" xr3:uid="{0AF6AC03-5EC1-4AFE-89AE-AFEC3E0F38C6}" name="Column12042"/>
    <tableColumn id="12062" xr3:uid="{95740C48-0BF4-469E-92DD-06553AAD3A5B}" name="Column12043"/>
    <tableColumn id="12063" xr3:uid="{B0A439E8-ECE8-4979-BF90-53318073FB86}" name="Column12044"/>
    <tableColumn id="12064" xr3:uid="{F0753A8F-FC8C-4711-9B1D-E38BC15C3660}" name="Column12045"/>
    <tableColumn id="12065" xr3:uid="{F60215D1-97F9-4077-B8C2-F4853D9753C3}" name="Column12046"/>
    <tableColumn id="12066" xr3:uid="{A93DD39F-D6B2-4AED-B321-CCC2412FC1A3}" name="Column12047"/>
    <tableColumn id="12067" xr3:uid="{66FCB2E3-8D60-4FB7-9D01-483580F3D183}" name="Column12048"/>
    <tableColumn id="12068" xr3:uid="{968490F1-2950-4B57-A65B-8089A1D53E81}" name="Column12049"/>
    <tableColumn id="12069" xr3:uid="{9E762C27-A1F2-42F7-966B-F458B03EF1FA}" name="Column12050"/>
    <tableColumn id="12070" xr3:uid="{768B5BDB-7876-465D-8F9C-A6901CC7D155}" name="Column12051"/>
    <tableColumn id="12071" xr3:uid="{A7554DA5-A838-49F6-830B-08B0854A75F1}" name="Column12052"/>
    <tableColumn id="12072" xr3:uid="{4E4BDF67-CB45-492D-968B-79B1257AF1AE}" name="Column12053"/>
    <tableColumn id="12073" xr3:uid="{C03AAA68-9784-4AA9-B74F-2DA0D4F8A477}" name="Column12054"/>
    <tableColumn id="12074" xr3:uid="{C6F88DF9-FDE5-4ECA-BF1D-1B6F21989A8A}" name="Column12055"/>
    <tableColumn id="12075" xr3:uid="{6D04D8AB-8876-44FA-B400-BCA293F936D1}" name="Column12056"/>
    <tableColumn id="12076" xr3:uid="{BE8CC237-4148-4F90-B9E9-FFB14547D3E3}" name="Column12057"/>
    <tableColumn id="12077" xr3:uid="{8A62433D-269C-4DAD-AFD4-2E1ACC657D58}" name="Column12058"/>
    <tableColumn id="12078" xr3:uid="{776604B9-5DBF-403F-A87B-D58C1297BD04}" name="Column12059"/>
    <tableColumn id="12079" xr3:uid="{10CC071A-52C6-42B0-9783-681BE82A41C1}" name="Column12060"/>
    <tableColumn id="12080" xr3:uid="{0F5FC955-369B-4FC5-B0E1-A3BF6168FF2C}" name="Column12061"/>
    <tableColumn id="12081" xr3:uid="{A2D96129-B153-405C-A56C-3B4914A2F748}" name="Column12062"/>
    <tableColumn id="12082" xr3:uid="{E4E4FD64-07C5-488C-A31F-5118B1FD7182}" name="Column12063"/>
    <tableColumn id="12083" xr3:uid="{8BAD41CC-CDC1-4A66-8B68-5BAF9F76506F}" name="Column12064"/>
    <tableColumn id="12084" xr3:uid="{210BACB9-C1C1-4787-905D-E31A0E874155}" name="Column12065"/>
    <tableColumn id="12085" xr3:uid="{087D2A7B-1984-4A10-97BC-0141282B1559}" name="Column12066"/>
    <tableColumn id="12086" xr3:uid="{882016B4-E3F0-4FC2-AA41-86A9B46004D7}" name="Column12067"/>
    <tableColumn id="12087" xr3:uid="{95449A43-D58D-42E1-8757-D92F302CE7AA}" name="Column12068"/>
    <tableColumn id="12088" xr3:uid="{0BA803AC-824B-48DD-A2CA-E8FF8FE795B8}" name="Column12069"/>
    <tableColumn id="12089" xr3:uid="{FA3E6FBE-925B-4C46-ACC4-E4297AD1992F}" name="Column12070"/>
    <tableColumn id="12090" xr3:uid="{01679BC4-CCA2-435B-9A4A-1C7FB906E0E4}" name="Column12071"/>
    <tableColumn id="12091" xr3:uid="{8692DD81-BD02-4C72-BC28-124CC6081367}" name="Column12072"/>
    <tableColumn id="12092" xr3:uid="{4BEEB944-6BC7-44CF-BC28-B08F48545C96}" name="Column12073"/>
    <tableColumn id="12093" xr3:uid="{620969DF-7516-4C32-848D-2B2DB739F809}" name="Column12074"/>
    <tableColumn id="12094" xr3:uid="{532A9694-E448-4D89-81DD-C010D1D4B748}" name="Column12075"/>
    <tableColumn id="12095" xr3:uid="{034F3F96-7283-4966-80E4-2CD320AF9DBA}" name="Column12076"/>
    <tableColumn id="12096" xr3:uid="{3E554855-BE9C-4FF5-9FD4-A5442AAB6E2E}" name="Column12077"/>
    <tableColumn id="12097" xr3:uid="{7C822306-FFF4-4B4E-9D87-87D406FC4A33}" name="Column12078"/>
    <tableColumn id="12098" xr3:uid="{97DEAE0E-BDA0-4478-9A19-B1449238BDB6}" name="Column12079"/>
    <tableColumn id="12099" xr3:uid="{BB3E78FD-9C31-444F-9445-6BCF3C50A393}" name="Column12080"/>
    <tableColumn id="12100" xr3:uid="{CB9D391C-AEA2-4D95-B7AF-77F3093F91E9}" name="Column12081"/>
    <tableColumn id="12101" xr3:uid="{F03C2B13-3D62-4E69-B928-D1C38496FD1C}" name="Column12082"/>
    <tableColumn id="12102" xr3:uid="{BE09542E-6FB4-4CD7-A3C8-B1845D6FF29B}" name="Column12083"/>
    <tableColumn id="12103" xr3:uid="{C28B36D7-8339-411D-A44E-4D3AF348A169}" name="Column12084"/>
    <tableColumn id="12104" xr3:uid="{C1C13491-DC99-4BEF-ADCA-188D57F4FE6D}" name="Column12085"/>
    <tableColumn id="12105" xr3:uid="{C61E3E38-EF56-432E-9E3A-BB140C05FE8E}" name="Column12086"/>
    <tableColumn id="12106" xr3:uid="{2F2B1E9E-E798-4862-93F8-CC37BAFCFBCD}" name="Column12087"/>
    <tableColumn id="12107" xr3:uid="{3B171163-0D3F-49E1-9C73-F24982923493}" name="Column12088"/>
    <tableColumn id="12108" xr3:uid="{DB06683E-805A-4DA0-8E6E-2C7CECAAF82A}" name="Column12089"/>
    <tableColumn id="12109" xr3:uid="{10AEE4D5-91C3-45EE-8BCC-8D059AA0460D}" name="Column12090"/>
    <tableColumn id="12110" xr3:uid="{0A2D5B15-4ABF-409F-9448-E993166D12C7}" name="Column12091"/>
    <tableColumn id="12111" xr3:uid="{63AD757D-8204-4643-BCA0-C02131A497FC}" name="Column12092"/>
    <tableColumn id="12112" xr3:uid="{16DDABCB-EDE5-4F5C-A8E8-E2E57B8FD426}" name="Column12093"/>
    <tableColumn id="12113" xr3:uid="{99F1E8D9-142D-4856-9B3B-86988801468E}" name="Column12094"/>
    <tableColumn id="12114" xr3:uid="{5CC3186C-4FC0-413F-B04C-EDAA7271963A}" name="Column12095"/>
    <tableColumn id="12115" xr3:uid="{8C694DC4-AAA6-46A8-8915-64CAE80DA909}" name="Column12096"/>
    <tableColumn id="12116" xr3:uid="{250083CF-4924-4995-8B65-0209582C83F2}" name="Column12097"/>
    <tableColumn id="12117" xr3:uid="{453EE89B-B3E9-4BE7-9046-14657A2075B0}" name="Column12098"/>
    <tableColumn id="12118" xr3:uid="{82170387-9ACA-4F0F-A3BA-4EB402220D9A}" name="Column12099"/>
    <tableColumn id="12119" xr3:uid="{41694716-C3F5-4ACF-9AA2-5CA638DA80C5}" name="Column12100"/>
    <tableColumn id="12120" xr3:uid="{C644848F-BA09-4982-9F87-834B4D53EC1C}" name="Column12101"/>
    <tableColumn id="12121" xr3:uid="{BD985FA3-0670-4019-9224-EA891CCF6C82}" name="Column12102"/>
    <tableColumn id="12122" xr3:uid="{98216A87-B4AB-4D1B-B16F-6085F5B51318}" name="Column12103"/>
    <tableColumn id="12123" xr3:uid="{387C4ECF-95C8-4E4B-A575-BA478113865C}" name="Column12104"/>
    <tableColumn id="12124" xr3:uid="{86812565-3BF3-472D-A2E7-EB65213C08D0}" name="Column12105"/>
    <tableColumn id="12125" xr3:uid="{1F34DFE9-C0F3-4711-84C5-938C8A998D7D}" name="Column12106"/>
    <tableColumn id="12126" xr3:uid="{C37DB793-0059-4F2E-8350-C56F12B9C7FE}" name="Column12107"/>
    <tableColumn id="12127" xr3:uid="{4F3194E8-C59F-49E6-AED1-3068955A499D}" name="Column12108"/>
    <tableColumn id="12128" xr3:uid="{ABFA9E25-02D7-49EE-B68C-FAE01DB07CFB}" name="Column12109"/>
    <tableColumn id="12129" xr3:uid="{530D0802-2C8B-4D56-A6CA-A8646503A9FA}" name="Column12110"/>
    <tableColumn id="12130" xr3:uid="{2FF3CFC2-F9EF-4AA1-9CAA-5CC1B07E4002}" name="Column12111"/>
    <tableColumn id="12131" xr3:uid="{FCCB4856-8C83-4461-B793-EB555F9BF8BC}" name="Column12112"/>
    <tableColumn id="12132" xr3:uid="{4F7CE444-5F2F-4C0C-A4C8-9DB33F437915}" name="Column12113"/>
    <tableColumn id="12133" xr3:uid="{99B2758A-31D6-40B6-ADFF-D9E937277ADE}" name="Column12114"/>
    <tableColumn id="12134" xr3:uid="{F070BB90-F3F0-445C-9752-DC2F66BC8D73}" name="Column12115"/>
    <tableColumn id="12135" xr3:uid="{363EFA53-C9EE-47F3-BA4A-290AD41C940C}" name="Column12116"/>
    <tableColumn id="12136" xr3:uid="{0C01BD39-9575-4F99-A37E-7E520CB896C4}" name="Column12117"/>
    <tableColumn id="12137" xr3:uid="{0855DBDB-DAA4-4079-82C8-6CBD6A38DD52}" name="Column12118"/>
    <tableColumn id="12138" xr3:uid="{C75816B1-1974-4C4B-AEC9-B9ACEF0709EF}" name="Column12119"/>
    <tableColumn id="12139" xr3:uid="{66449C24-531A-427F-93B0-A784023CB938}" name="Column12120"/>
    <tableColumn id="12140" xr3:uid="{47FFE561-296C-422B-A914-BF7E8A762F85}" name="Column12121"/>
    <tableColumn id="12141" xr3:uid="{207BEEC9-4497-4B60-B8FA-B22A6FF8ACDC}" name="Column12122"/>
    <tableColumn id="12142" xr3:uid="{51AF80B8-8B22-42B0-A129-66CCC7DBF19A}" name="Column12123"/>
    <tableColumn id="12143" xr3:uid="{867EC717-84AB-45C2-A88E-1D0F7A486A3D}" name="Column12124"/>
    <tableColumn id="12144" xr3:uid="{51A5F2AB-96C9-4199-A02B-EE485B2B1C10}" name="Column12125"/>
    <tableColumn id="12145" xr3:uid="{BC245FB3-64A2-46D1-A965-297CF2904E5E}" name="Column12126"/>
    <tableColumn id="12146" xr3:uid="{ADCA08ED-2DF2-45F2-8ECF-889AA552308C}" name="Column12127"/>
    <tableColumn id="12147" xr3:uid="{2C8974FC-9893-4491-AD55-C8365442DD9A}" name="Column12128"/>
    <tableColumn id="12148" xr3:uid="{583D9AD6-BE27-4585-B3B8-93D11F9B6748}" name="Column12129"/>
    <tableColumn id="12149" xr3:uid="{2FB35C17-964C-46D6-89AB-F76225DF01E6}" name="Column12130"/>
    <tableColumn id="12150" xr3:uid="{563F200A-B9ED-4A99-B881-E7E2CCA98B42}" name="Column12131"/>
    <tableColumn id="12151" xr3:uid="{7CD7E398-6EFB-45D0-BC3A-97A7EA3A6E30}" name="Column12132"/>
    <tableColumn id="12152" xr3:uid="{B2D65B6B-5B19-4616-9BBB-F45F6874612A}" name="Column12133"/>
    <tableColumn id="12153" xr3:uid="{E5FBA699-BD07-4F00-800E-9D73CFF64502}" name="Column12134"/>
    <tableColumn id="12154" xr3:uid="{2A9E740C-E40F-447C-8046-EFCCE30793A4}" name="Column12135"/>
    <tableColumn id="12155" xr3:uid="{C2D1AD08-98D4-4ACF-AEF6-D1ADA9922777}" name="Column12136"/>
    <tableColumn id="12156" xr3:uid="{4DE8E1F7-FD06-4821-9274-D64BA589F3B7}" name="Column12137"/>
    <tableColumn id="12157" xr3:uid="{C78B8BDC-6B22-4B24-9692-15834CE57D8D}" name="Column12138"/>
    <tableColumn id="12158" xr3:uid="{69D5FAC7-A338-47D1-972F-1B175DFABB5F}" name="Column12139"/>
    <tableColumn id="12159" xr3:uid="{77C2413C-BBC9-4A80-A8C2-8D4F65617C2E}" name="Column12140"/>
    <tableColumn id="12160" xr3:uid="{B7BB7010-8C68-434B-B8B5-DC656565617F}" name="Column12141"/>
    <tableColumn id="12161" xr3:uid="{859B6384-0CD0-4855-83BF-2ECB87C942A5}" name="Column12142"/>
    <tableColumn id="12162" xr3:uid="{0A8D2028-23C2-4D15-A1D0-69F0E9EF9627}" name="Column12143"/>
    <tableColumn id="12163" xr3:uid="{AFD5E672-532F-46E4-8CA9-6C276F2B6F96}" name="Column12144"/>
    <tableColumn id="12164" xr3:uid="{ADCABAEF-1109-465E-8748-F05BBE12D585}" name="Column12145"/>
    <tableColumn id="12165" xr3:uid="{47061692-245B-4B28-A759-42644D29C6D3}" name="Column12146"/>
    <tableColumn id="12166" xr3:uid="{C09D8AF2-1C60-4128-A267-03CF29524740}" name="Column12147"/>
    <tableColumn id="12167" xr3:uid="{195F24FF-C6AC-4BBA-8656-A8C17E06E79D}" name="Column12148"/>
    <tableColumn id="12168" xr3:uid="{D7FFD8ED-53A8-424C-AEFA-243D80D17861}" name="Column12149"/>
    <tableColumn id="12169" xr3:uid="{A96E01DA-FACB-48A7-A08D-2B41C344A60B}" name="Column12150"/>
    <tableColumn id="12170" xr3:uid="{17A037AC-3CC8-4CC6-A079-31FF5B6A7019}" name="Column12151"/>
    <tableColumn id="12171" xr3:uid="{BBA89516-D2AD-4B78-86EF-12BA6EDF86DB}" name="Column12152"/>
    <tableColumn id="12172" xr3:uid="{453520FB-FB0F-48D2-8646-F05EF3A0A54A}" name="Column12153"/>
    <tableColumn id="12173" xr3:uid="{20772E17-D885-4214-9C47-5B22D69A46ED}" name="Column12154"/>
    <tableColumn id="12174" xr3:uid="{49587D11-A339-4BD0-B12E-BA31313C6912}" name="Column12155"/>
    <tableColumn id="12175" xr3:uid="{29F11D0C-FAAA-4147-ABF2-939A22C7BAE9}" name="Column12156"/>
    <tableColumn id="12176" xr3:uid="{5FFA9EF9-EAB2-4C11-A2B6-0AC3584AA68B}" name="Column12157"/>
    <tableColumn id="12177" xr3:uid="{9D126983-7EE5-47D3-8B99-1433318B36F0}" name="Column12158"/>
    <tableColumn id="12178" xr3:uid="{208BB18D-0054-4414-95DA-E19BA98B43CA}" name="Column12159"/>
    <tableColumn id="12179" xr3:uid="{47FB8E0F-AE8B-4F2C-AFE2-D86BA30C61DF}" name="Column12160"/>
    <tableColumn id="12180" xr3:uid="{8E2116E6-DED1-4CC2-B109-A6CA517519AA}" name="Column12161"/>
    <tableColumn id="12181" xr3:uid="{4C8636C6-3542-4BF8-A759-B7A6C767AC91}" name="Column12162"/>
    <tableColumn id="12182" xr3:uid="{B20D29B8-4610-4B53-96F7-81488CC9AD31}" name="Column12163"/>
    <tableColumn id="12183" xr3:uid="{EFA28A6F-A23A-4B54-9EF8-3F3C45FF7439}" name="Column12164"/>
    <tableColumn id="12184" xr3:uid="{5969C41F-D085-46AC-8F61-7C2813CCDDEA}" name="Column12165"/>
    <tableColumn id="12185" xr3:uid="{EFC14A61-693E-43E6-A0BE-6B0643CDA49D}" name="Column12166"/>
    <tableColumn id="12186" xr3:uid="{324B7B04-173E-4E28-AEFC-4202EDB9E713}" name="Column12167"/>
    <tableColumn id="12187" xr3:uid="{3B3295B5-D6E2-4C05-9FC8-EFC18C25BAF5}" name="Column12168"/>
    <tableColumn id="12188" xr3:uid="{37380B01-DB40-40A3-A3FF-1A63108C86B0}" name="Column12169"/>
    <tableColumn id="12189" xr3:uid="{F918B7FC-5C03-4BA3-B79F-6F07130A2389}" name="Column12170"/>
    <tableColumn id="12190" xr3:uid="{A6E88CDA-3E80-49A8-BB26-BA6CE29330AD}" name="Column12171"/>
    <tableColumn id="12191" xr3:uid="{08F927FC-9C9F-488C-B664-C3309E2F2821}" name="Column12172"/>
    <tableColumn id="12192" xr3:uid="{6647E90C-8A7A-41D3-B0B0-3774C2167827}" name="Column12173"/>
    <tableColumn id="12193" xr3:uid="{1AC6EE24-D6C8-4E5D-ABD4-A66E19F22DF7}" name="Column12174"/>
    <tableColumn id="12194" xr3:uid="{28CAB391-73C6-463E-BA08-5ADCBFB47358}" name="Column12175"/>
    <tableColumn id="12195" xr3:uid="{64BA6CFE-9542-46B2-B6CA-B9637AFC86B0}" name="Column12176"/>
    <tableColumn id="12196" xr3:uid="{B94FF77C-8586-49BD-825A-3E5AED3D8219}" name="Column12177"/>
    <tableColumn id="12197" xr3:uid="{DDD17139-7605-4DE5-9148-0A1E735DC3E7}" name="Column12178"/>
    <tableColumn id="12198" xr3:uid="{A0F4D5B5-1545-4C04-ADF3-1205EBC44977}" name="Column12179"/>
    <tableColumn id="12199" xr3:uid="{A8EF600F-4F65-4FB0-93F7-B4995877F843}" name="Column12180"/>
    <tableColumn id="12200" xr3:uid="{0FCC8C6D-6C39-45F7-BC74-EB991AD52788}" name="Column12181"/>
    <tableColumn id="12201" xr3:uid="{30539763-98A3-4B97-B527-0E3DE8BA07D2}" name="Column12182"/>
    <tableColumn id="12202" xr3:uid="{67B9B689-3B87-42C7-9B99-A84A173E0907}" name="Column12183"/>
    <tableColumn id="12203" xr3:uid="{916DBED6-DB64-4544-81DD-426413866568}" name="Column12184"/>
    <tableColumn id="12204" xr3:uid="{F93B9541-73B8-4F76-A6A8-92D7D7BE8F76}" name="Column12185"/>
    <tableColumn id="12205" xr3:uid="{0A72426B-03E1-4AF7-9B31-0051EC289F8A}" name="Column12186"/>
    <tableColumn id="12206" xr3:uid="{2DCE1DC0-EBB5-4F25-8171-6DC424472EE4}" name="Column12187"/>
    <tableColumn id="12207" xr3:uid="{E7DFDD25-05E0-4576-8356-294362F18C51}" name="Column12188"/>
    <tableColumn id="12208" xr3:uid="{C2DFF985-AC42-4582-9FE5-5DDB5186DD98}" name="Column12189"/>
    <tableColumn id="12209" xr3:uid="{1DF19232-D743-4F0C-A711-8F79A1FCA4E3}" name="Column12190"/>
    <tableColumn id="12210" xr3:uid="{696242AB-10B4-4155-BB05-0A6F241FB2EA}" name="Column12191"/>
    <tableColumn id="12211" xr3:uid="{C06DB93A-B789-45D2-9FAC-BC05494D5F27}" name="Column12192"/>
    <tableColumn id="12212" xr3:uid="{3138DA41-A222-4C23-9937-9E57A5A63A5F}" name="Column12193"/>
    <tableColumn id="12213" xr3:uid="{DCECCF46-D4A2-44B9-A217-154C089E49E0}" name="Column12194"/>
    <tableColumn id="12214" xr3:uid="{F87621AC-9121-4023-A715-8025BD221D77}" name="Column12195"/>
    <tableColumn id="12215" xr3:uid="{47A6381B-CC2D-483E-8468-5FC458ADCE3D}" name="Column12196"/>
    <tableColumn id="12216" xr3:uid="{13321487-CE43-46B8-9985-49527A21C22A}" name="Column12197"/>
    <tableColumn id="12217" xr3:uid="{F3692F9A-D2E6-4B45-945A-23AFD245D27C}" name="Column12198"/>
    <tableColumn id="12218" xr3:uid="{4FB7B130-DFB3-4A64-B013-4BBF19A2CB78}" name="Column12199"/>
    <tableColumn id="12219" xr3:uid="{B11F9938-351B-41AD-B139-3E4C8D851126}" name="Column12200"/>
    <tableColumn id="12220" xr3:uid="{17A3A4EF-85DA-42EA-A97B-D154D975EEA3}" name="Column12201"/>
    <tableColumn id="12221" xr3:uid="{C58D4461-A39B-401B-8C8C-FAF50B1EEF94}" name="Column12202"/>
    <tableColumn id="12222" xr3:uid="{B9EF8CCC-9091-4998-B9F7-0BC432575857}" name="Column12203"/>
    <tableColumn id="12223" xr3:uid="{A84F96CF-3B5B-49B5-B53D-5B76E8AC743E}" name="Column12204"/>
    <tableColumn id="12224" xr3:uid="{906C92B3-33EE-4665-9044-D0ED96B12ABA}" name="Column12205"/>
    <tableColumn id="12225" xr3:uid="{44C3129B-61D1-4A70-A6F0-EE89C6972BCA}" name="Column12206"/>
    <tableColumn id="12226" xr3:uid="{39677210-F9D0-4C9A-8747-144A7FEBDFB9}" name="Column12207"/>
    <tableColumn id="12227" xr3:uid="{68889810-A923-41AA-A9AA-1F32D83F9E80}" name="Column12208"/>
    <tableColumn id="12228" xr3:uid="{FC39DA01-FDC1-429B-927F-EE8FF10BB201}" name="Column12209"/>
    <tableColumn id="12229" xr3:uid="{C99F608E-7825-4B21-BDE3-7986B3592613}" name="Column12210"/>
    <tableColumn id="12230" xr3:uid="{8E448177-C3B1-4958-90E3-36C400596641}" name="Column12211"/>
    <tableColumn id="12231" xr3:uid="{6C4A3D87-D7C1-4645-8662-62A7E39E7735}" name="Column12212"/>
    <tableColumn id="12232" xr3:uid="{7D579A9A-8F4E-4680-8E48-A253284D4323}" name="Column12213"/>
    <tableColumn id="12233" xr3:uid="{02DB05CA-B0E9-4B38-B9F3-3E56A9BC9BC7}" name="Column12214"/>
    <tableColumn id="12234" xr3:uid="{C50F3AA2-2506-4741-87EC-3CB8B0FB3638}" name="Column12215"/>
    <tableColumn id="12235" xr3:uid="{AA456D79-6B08-4196-AD29-26E44B6E8D8F}" name="Column12216"/>
    <tableColumn id="12236" xr3:uid="{524FD051-0337-4BE6-83DC-20D8A854B64A}" name="Column12217"/>
    <tableColumn id="12237" xr3:uid="{9B32BABB-D2C9-4F4B-B43E-04064CC18C58}" name="Column12218"/>
    <tableColumn id="12238" xr3:uid="{AEAC97C9-D334-4CC3-BF46-3692955D102E}" name="Column12219"/>
    <tableColumn id="12239" xr3:uid="{3C7DDE2B-1650-4A78-A8AF-0F6FE310D926}" name="Column12220"/>
    <tableColumn id="12240" xr3:uid="{3C97909A-7976-4896-83B3-3CC4C027885A}" name="Column12221"/>
    <tableColumn id="12241" xr3:uid="{16B283E8-BDB7-4D51-A94F-FE6BAD09FE21}" name="Column12222"/>
    <tableColumn id="12242" xr3:uid="{9E665DC3-890C-4790-AFC6-A487024B2E5A}" name="Column12223"/>
    <tableColumn id="12243" xr3:uid="{B94BC9BE-F9EB-43FD-8D22-1BBBDBB77648}" name="Column12224"/>
    <tableColumn id="12244" xr3:uid="{547B3D63-1194-420B-A831-D4DB50C2F9AD}" name="Column12225"/>
    <tableColumn id="12245" xr3:uid="{6208251A-A8C4-41D9-A9B5-F6BD59DA1ACD}" name="Column12226"/>
    <tableColumn id="12246" xr3:uid="{559419A5-5FE3-49F6-8C61-E9242D847C23}" name="Column12227"/>
    <tableColumn id="12247" xr3:uid="{2D06F5A0-AB75-435D-BD93-4E19D9D16FDB}" name="Column12228"/>
    <tableColumn id="12248" xr3:uid="{EEFFAAA1-F395-4B8A-B64A-2D6F6927B419}" name="Column12229"/>
    <tableColumn id="12249" xr3:uid="{EF3D743D-B0CA-4495-9BF5-82C9FE79B433}" name="Column12230"/>
    <tableColumn id="12250" xr3:uid="{4ED6E500-574D-426F-BD18-7C8658AE73E7}" name="Column12231"/>
    <tableColumn id="12251" xr3:uid="{930DDF00-936F-4754-8FEF-1DC187C0A4F3}" name="Column12232"/>
    <tableColumn id="12252" xr3:uid="{F23671A0-F465-4C9B-86E9-069D0A8550E6}" name="Column12233"/>
    <tableColumn id="12253" xr3:uid="{BB19FA72-2F96-4BEB-9699-F3FD790457DE}" name="Column12234"/>
    <tableColumn id="12254" xr3:uid="{E5479580-2276-422E-9EB2-E59C59697E86}" name="Column12235"/>
    <tableColumn id="12255" xr3:uid="{AFA63949-AF46-4063-A298-B8F1B6F2F675}" name="Column12236"/>
    <tableColumn id="12256" xr3:uid="{1404BBD9-CCB3-4CE1-A5AB-118A1A790B1B}" name="Column12237"/>
    <tableColumn id="12257" xr3:uid="{EF0D72E3-DA2C-44CD-BFDD-DFDC94A6C5D8}" name="Column12238"/>
    <tableColumn id="12258" xr3:uid="{C7DC9171-6835-4B0D-BFB4-C914CC554CFE}" name="Column12239"/>
    <tableColumn id="12259" xr3:uid="{D8D33993-112A-415B-AF07-907F080D7166}" name="Column12240"/>
    <tableColumn id="12260" xr3:uid="{AF50A273-85A1-4E3F-8C61-F9D1A2A55DEA}" name="Column12241"/>
    <tableColumn id="12261" xr3:uid="{15210210-AEB3-46A4-9572-89F184DE90ED}" name="Column12242"/>
    <tableColumn id="12262" xr3:uid="{6575E5C7-F957-4C17-8013-5367F8984BE3}" name="Column12243"/>
    <tableColumn id="12263" xr3:uid="{FD2B1DC5-3018-4A73-8A5E-212C822F142F}" name="Column12244"/>
    <tableColumn id="12264" xr3:uid="{6162294A-2CB9-4C1A-9567-83BA18ED27DA}" name="Column12245"/>
    <tableColumn id="12265" xr3:uid="{FA19CF15-0A80-41B0-9816-ED957DF3F561}" name="Column12246"/>
    <tableColumn id="12266" xr3:uid="{9F2021A8-BCE5-48D8-835E-E0E71029EFE6}" name="Column12247"/>
    <tableColumn id="12267" xr3:uid="{EC117DAF-A874-40DF-9BFC-BE6CBB22FD3F}" name="Column12248"/>
    <tableColumn id="12268" xr3:uid="{C43CF000-BA0D-444A-9B27-654BBDE76BFE}" name="Column12249"/>
    <tableColumn id="12269" xr3:uid="{38412E54-EE20-4774-9688-47848FF44F62}" name="Column12250"/>
    <tableColumn id="12270" xr3:uid="{C94E0CE1-1416-40E5-A484-B740F712C9D1}" name="Column12251"/>
    <tableColumn id="12271" xr3:uid="{777FE4ED-D87E-4E56-8694-B935F7DF6898}" name="Column12252"/>
    <tableColumn id="12272" xr3:uid="{2CEB78AB-8DB1-490B-AAA1-9C43B16BCA04}" name="Column12253"/>
    <tableColumn id="12273" xr3:uid="{C2497E64-4021-4D04-9547-538705ACC155}" name="Column12254"/>
    <tableColumn id="12274" xr3:uid="{1D5E9EC5-8A63-409D-8EF5-3F10339E6154}" name="Column12255"/>
    <tableColumn id="12275" xr3:uid="{1AD121B8-0A3D-481E-92F0-9E2F63C1E6B5}" name="Column12256"/>
    <tableColumn id="12276" xr3:uid="{9EB2089B-353B-4F75-80AD-D0AB639916A6}" name="Column12257"/>
    <tableColumn id="12277" xr3:uid="{47B551CA-E42F-40EF-BE1E-A08B7668E302}" name="Column12258"/>
    <tableColumn id="12278" xr3:uid="{4370F422-0EB2-4672-9D46-13B47675518E}" name="Column12259"/>
    <tableColumn id="12279" xr3:uid="{67EAB7A0-C1AD-45B0-A402-E48EDB212409}" name="Column12260"/>
    <tableColumn id="12280" xr3:uid="{BBE5451B-0667-40D7-9F0A-4BC64B37105B}" name="Column12261"/>
    <tableColumn id="12281" xr3:uid="{40858A27-E7E3-4E08-8F2C-2315057D9343}" name="Column12262"/>
    <tableColumn id="12282" xr3:uid="{F0E48CC5-BF72-4F81-ABCC-B8E0D6059AD9}" name="Column12263"/>
    <tableColumn id="12283" xr3:uid="{D449F735-1E56-440B-9CDF-5BB6ADFFF22C}" name="Column12264"/>
    <tableColumn id="12284" xr3:uid="{A7A3D4B8-8E6F-4B3D-894A-5610F93FAEAC}" name="Column12265"/>
    <tableColumn id="12285" xr3:uid="{9129BF06-E2B6-4885-8823-506E828A22AE}" name="Column12266"/>
    <tableColumn id="12286" xr3:uid="{48DCC67E-803C-4F52-8853-33C68476B4FE}" name="Column12267"/>
    <tableColumn id="12287" xr3:uid="{E34BC644-2444-4BDE-897B-1090088761C8}" name="Column12268"/>
    <tableColumn id="12288" xr3:uid="{77EFEDF5-1740-4F9D-BC55-872EA3505CF2}" name="Column12269"/>
    <tableColumn id="12289" xr3:uid="{7A42CADB-A289-4D3C-86FC-CD6A19EB80DE}" name="Column12270"/>
    <tableColumn id="12290" xr3:uid="{C9043141-6EB1-47A4-807B-97E29449C7F6}" name="Column12271"/>
    <tableColumn id="12291" xr3:uid="{A75E8FAC-2829-4EEF-A75F-CB6F554A14BB}" name="Column12272"/>
    <tableColumn id="12292" xr3:uid="{5E0266AE-8084-4202-B274-176FDAB8AD94}" name="Column12273"/>
    <tableColumn id="12293" xr3:uid="{DC27E7FB-2F8E-468B-ABCF-183692390000}" name="Column12274"/>
    <tableColumn id="12294" xr3:uid="{0911444E-1817-4C59-A044-95F41063E651}" name="Column12275"/>
    <tableColumn id="12295" xr3:uid="{28C82622-17F9-4EEB-B769-C70D77166B94}" name="Column12276"/>
    <tableColumn id="12296" xr3:uid="{776ACFC0-46FA-47E1-B000-405DCDEDA7FF}" name="Column12277"/>
    <tableColumn id="12297" xr3:uid="{E9E75C53-CF02-41C7-9181-18D564BC77D7}" name="Column12278"/>
    <tableColumn id="12298" xr3:uid="{38F286DB-D7FD-4C92-96D2-698A1BA1DD3C}" name="Column12279"/>
    <tableColumn id="12299" xr3:uid="{9C1C2105-DDCF-42FD-BD6B-F1BD808B430A}" name="Column12280"/>
    <tableColumn id="12300" xr3:uid="{D2D543BA-90AF-4B67-A3A6-AC792A447857}" name="Column12281"/>
    <tableColumn id="12301" xr3:uid="{A155E37B-90EF-4022-91D7-2CEB23113ADF}" name="Column12282"/>
    <tableColumn id="12302" xr3:uid="{C7EC58F4-8DC2-4DBB-9A43-A9578BA1A27F}" name="Column12283"/>
    <tableColumn id="12303" xr3:uid="{E9C97318-542A-4383-9AC1-D5079180C82E}" name="Column12284"/>
    <tableColumn id="12304" xr3:uid="{1E65E326-2F1D-49D5-9164-BB78050E9A2C}" name="Column12285"/>
    <tableColumn id="12305" xr3:uid="{AF07DFBB-9E4F-4A89-A0C2-D674C91E8F56}" name="Column12286"/>
    <tableColumn id="12306" xr3:uid="{18D090B9-C9CD-4E95-8C2B-E0EE369617D5}" name="Column12287"/>
    <tableColumn id="12307" xr3:uid="{C7E190E6-E099-41A2-A7B1-B74C93AF88CA}" name="Column12288"/>
    <tableColumn id="12308" xr3:uid="{81A7269C-4A35-482E-BC2C-52A2D57FEEEA}" name="Column12289"/>
    <tableColumn id="12309" xr3:uid="{3E8380F1-905A-4C13-A0EE-FCEED3E5F67A}" name="Column12290"/>
    <tableColumn id="12310" xr3:uid="{B8D53E7E-D8F2-4AE0-A6E9-AD81FAF5CE95}" name="Column12291"/>
    <tableColumn id="12311" xr3:uid="{75E80657-31DA-4C8C-8C65-D813E00EFD11}" name="Column12292"/>
    <tableColumn id="12312" xr3:uid="{6FC00E6B-2EFB-482D-9FD5-7D183F0F717B}" name="Column12293"/>
    <tableColumn id="12313" xr3:uid="{F638CF04-1DB3-4369-9D13-F77E446F1623}" name="Column12294"/>
    <tableColumn id="12314" xr3:uid="{428D6A08-1492-466D-A97A-C50B20CB8956}" name="Column12295"/>
    <tableColumn id="12315" xr3:uid="{635DB813-85C0-43CF-83B1-772136905EAD}" name="Column12296"/>
    <tableColumn id="12316" xr3:uid="{7F72D5A8-EC82-4B31-B408-0304DAD627F2}" name="Column12297"/>
    <tableColumn id="12317" xr3:uid="{04ECCDBA-7230-4AB5-B1E6-755F9C243AD4}" name="Column12298"/>
    <tableColumn id="12318" xr3:uid="{5AD10466-03AC-4A3A-993A-92195FDB5676}" name="Column12299"/>
    <tableColumn id="12319" xr3:uid="{12C17906-EB97-46B3-84E6-C80236339A54}" name="Column12300"/>
    <tableColumn id="12320" xr3:uid="{7B3AB848-54EB-4E09-81FC-36C247E287BA}" name="Column12301"/>
    <tableColumn id="12321" xr3:uid="{520FACA9-239F-4BE9-821E-F0D7D779A2E3}" name="Column12302"/>
    <tableColumn id="12322" xr3:uid="{A68C2653-1DC8-4F47-880A-4345B61E6EBF}" name="Column12303"/>
    <tableColumn id="12323" xr3:uid="{F741827F-34C6-4754-973E-A1CA91ECBA43}" name="Column12304"/>
    <tableColumn id="12324" xr3:uid="{3B8FF9F2-C3B4-460C-9277-9E730FA248BB}" name="Column12305"/>
    <tableColumn id="12325" xr3:uid="{75D063BC-8563-4684-A363-E7CF3EDCC779}" name="Column12306"/>
    <tableColumn id="12326" xr3:uid="{EE7D6FBE-47C1-4008-9354-5824703602B5}" name="Column12307"/>
    <tableColumn id="12327" xr3:uid="{3BA36E1F-5214-46DE-90FC-CA7A2E3B94F0}" name="Column12308"/>
    <tableColumn id="12328" xr3:uid="{09584CC4-B699-4076-832C-0E834748E912}" name="Column12309"/>
    <tableColumn id="12329" xr3:uid="{7BC155C5-E97B-47BD-A32B-C1122439A5EC}" name="Column12310"/>
    <tableColumn id="12330" xr3:uid="{82816C7A-07B4-4530-BAB8-872DD019D9AE}" name="Column12311"/>
    <tableColumn id="12331" xr3:uid="{F7F55876-165F-40E2-879E-714D83535BF4}" name="Column12312"/>
    <tableColumn id="12332" xr3:uid="{329DCC11-A5CC-48EE-9948-5817A4CF53EB}" name="Column12313"/>
    <tableColumn id="12333" xr3:uid="{EAF5F261-DCF6-49C0-BA00-D499C7A47F7B}" name="Column12314"/>
    <tableColumn id="12334" xr3:uid="{C52AF765-AF71-47EE-A859-C2031D12110E}" name="Column12315"/>
    <tableColumn id="12335" xr3:uid="{16C4A280-FCC1-4A4E-B06D-048A2681ED17}" name="Column12316"/>
    <tableColumn id="12336" xr3:uid="{2121D3AC-C537-4043-A02D-6EB5FF9CDB9F}" name="Column12317"/>
    <tableColumn id="12337" xr3:uid="{6EF55253-D5CA-4616-AA9F-92A807D5F3FB}" name="Column12318"/>
    <tableColumn id="12338" xr3:uid="{E860C132-F3DB-45D8-BC53-627E05648FB4}" name="Column12319"/>
    <tableColumn id="12339" xr3:uid="{C901B94C-9375-42DD-B9AD-D2F2305897F6}" name="Column12320"/>
    <tableColumn id="12340" xr3:uid="{73D542A2-6D13-4B4C-8047-A36D872CFF19}" name="Column12321"/>
    <tableColumn id="12341" xr3:uid="{291428E7-2A42-4FD5-B290-BFDF33E52BDA}" name="Column12322"/>
    <tableColumn id="12342" xr3:uid="{83BCEE4A-DF0F-4F58-9727-C155C3D7464E}" name="Column12323"/>
    <tableColumn id="12343" xr3:uid="{A35CD8EC-6F54-4E98-9CB5-9328C023ED48}" name="Column12324"/>
    <tableColumn id="12344" xr3:uid="{87C0C5ED-5EFE-4850-9374-2B48A76CA9AD}" name="Column12325"/>
    <tableColumn id="12345" xr3:uid="{8C026D35-C2E4-4BD4-A2B7-C8B084C32361}" name="Column12326"/>
    <tableColumn id="12346" xr3:uid="{B2D1830F-A0E9-43EA-84BD-29617412C455}" name="Column12327"/>
    <tableColumn id="12347" xr3:uid="{480C9581-678D-4029-B171-F373ADF2537E}" name="Column12328"/>
    <tableColumn id="12348" xr3:uid="{FF2AB76E-361A-456F-A96A-4F3AE367C261}" name="Column12329"/>
    <tableColumn id="12349" xr3:uid="{441BBD9F-D1F8-442B-9FA9-17496E2378BE}" name="Column12330"/>
    <tableColumn id="12350" xr3:uid="{27FFABE1-33DD-4988-A219-4AAAE663714C}" name="Column12331"/>
    <tableColumn id="12351" xr3:uid="{DB7F2C4F-D1A0-4308-9651-51B7A10B30CE}" name="Column12332"/>
    <tableColumn id="12352" xr3:uid="{F26E8FB3-4652-4342-8188-B6498171FC4D}" name="Column12333"/>
    <tableColumn id="12353" xr3:uid="{E9343640-15B0-4A64-9407-33E2132F4187}" name="Column12334"/>
    <tableColumn id="12354" xr3:uid="{E162CD5C-6426-4B4D-9B22-3210D6989A0B}" name="Column12335"/>
    <tableColumn id="12355" xr3:uid="{D14558B8-3AD7-4F70-ADF7-009823B9BBA4}" name="Column12336"/>
    <tableColumn id="12356" xr3:uid="{979FD8B7-440F-4030-BBC4-4093B7EABD43}" name="Column12337"/>
    <tableColumn id="12357" xr3:uid="{0DEB06E8-9C1E-49B7-8A81-E3B33A11C9DD}" name="Column12338"/>
    <tableColumn id="12358" xr3:uid="{678243ED-CE46-4A74-B75A-B000D72C6790}" name="Column12339"/>
    <tableColumn id="12359" xr3:uid="{ABB6ED93-104E-45D9-BC4A-1A10D5E1A4E3}" name="Column12340"/>
    <tableColumn id="12360" xr3:uid="{03C38D94-1466-4E2F-8295-EE291C98F186}" name="Column12341"/>
    <tableColumn id="12361" xr3:uid="{9EA2284D-B40A-4391-A470-72D11A324D3B}" name="Column12342"/>
    <tableColumn id="12362" xr3:uid="{5E39EDC6-2F6C-4A95-85B3-3F9ACEC026EB}" name="Column12343"/>
    <tableColumn id="12363" xr3:uid="{696B8961-E257-4E43-A8D4-A1074AA63AB8}" name="Column12344"/>
    <tableColumn id="12364" xr3:uid="{205EABDC-8127-464F-869C-14CE8E4CC159}" name="Column12345"/>
    <tableColumn id="12365" xr3:uid="{1DDF425F-DA6D-42C1-A405-6E5B84181A98}" name="Column12346"/>
    <tableColumn id="12366" xr3:uid="{9A3229C0-BB98-43CA-9A33-2480B1A5CC4A}" name="Column12347"/>
    <tableColumn id="12367" xr3:uid="{3EEC5153-C0FE-4EAC-97A3-2733C871528B}" name="Column12348"/>
    <tableColumn id="12368" xr3:uid="{37442BAB-2B4A-429F-AEAC-C2B0D5A8AC71}" name="Column12349"/>
    <tableColumn id="12369" xr3:uid="{8D3C530A-99D1-485E-B110-9B55968F38C3}" name="Column12350"/>
    <tableColumn id="12370" xr3:uid="{4A3BA05B-6172-4585-A861-A00458358BBE}" name="Column12351"/>
    <tableColumn id="12371" xr3:uid="{FCFFC055-FB4F-448C-8915-EDBFD90D289C}" name="Column12352"/>
    <tableColumn id="12372" xr3:uid="{86C07310-0081-4543-AD71-57307CF6180A}" name="Column12353"/>
    <tableColumn id="12373" xr3:uid="{754FE209-E4FB-484C-A1F1-AF5C8B9B170F}" name="Column12354"/>
    <tableColumn id="12374" xr3:uid="{168D2D1C-5D25-4A06-BC8C-28129EB0750B}" name="Column12355"/>
    <tableColumn id="12375" xr3:uid="{CC1B2BFF-3907-4DCF-8759-8CE526732018}" name="Column12356"/>
    <tableColumn id="12376" xr3:uid="{1C6C9AA2-9F09-46B8-A3D6-E29A188E93F7}" name="Column12357"/>
    <tableColumn id="12377" xr3:uid="{7A6EDAAE-A90C-4B3B-BFD2-B70396DB68CE}" name="Column12358"/>
    <tableColumn id="12378" xr3:uid="{1E9BFFB4-4674-49B7-B3BB-0D269CC7DD23}" name="Column12359"/>
    <tableColumn id="12379" xr3:uid="{59DB1F0D-E801-468C-8FCF-9B49588D2856}" name="Column12360"/>
    <tableColumn id="12380" xr3:uid="{25B7AEA4-D1AE-4AD4-A705-9F5C954E67A5}" name="Column12361"/>
    <tableColumn id="12381" xr3:uid="{A60E7860-CD3F-421A-A12D-7ED4920D292B}" name="Column12362"/>
    <tableColumn id="12382" xr3:uid="{80275BBA-0DC0-4D39-BC57-E6748B8688B9}" name="Column12363"/>
    <tableColumn id="12383" xr3:uid="{5E31F97E-1AD6-4F1F-83F4-AF79DCFE5B9E}" name="Column12364"/>
    <tableColumn id="12384" xr3:uid="{9E1F5897-1E1B-4B2B-B0B7-8C391823BE10}" name="Column12365"/>
    <tableColumn id="12385" xr3:uid="{F61B20D5-F91B-40F6-93C1-961257B79E9B}" name="Column12366"/>
    <tableColumn id="12386" xr3:uid="{700AF97A-74CA-4E92-8B69-14220C535FE8}" name="Column12367"/>
    <tableColumn id="12387" xr3:uid="{E525F695-D6A2-4598-B55E-D037ACB345F3}" name="Column12368"/>
    <tableColumn id="12388" xr3:uid="{EEA800EB-FD21-40BF-B70E-5EC5502E95C2}" name="Column12369"/>
    <tableColumn id="12389" xr3:uid="{1FDD1B5F-765D-4F3B-8FEE-DA86606CF7F5}" name="Column12370"/>
    <tableColumn id="12390" xr3:uid="{72D696CB-0FDB-4430-85B7-B3259567B356}" name="Column12371"/>
    <tableColumn id="12391" xr3:uid="{6E3CE1C9-B3B9-4E38-94B6-23F4A7DE80C6}" name="Column12372"/>
    <tableColumn id="12392" xr3:uid="{9004DBAF-BD44-4B6F-B6F1-06A180557773}" name="Column12373"/>
    <tableColumn id="12393" xr3:uid="{9ED02924-C153-408A-9E3D-351E2B3C6F52}" name="Column12374"/>
    <tableColumn id="12394" xr3:uid="{94AAE016-AD44-4428-AC15-A18E84A90AEF}" name="Column12375"/>
    <tableColumn id="12395" xr3:uid="{D49BD345-D2C1-4DC3-BB15-88887F8557B3}" name="Column12376"/>
    <tableColumn id="12396" xr3:uid="{A1962F92-B44D-4647-9751-2246C7F5A6A8}" name="Column12377"/>
    <tableColumn id="12397" xr3:uid="{43EA830B-0F97-47F8-945D-46C08AAE6507}" name="Column12378"/>
    <tableColumn id="12398" xr3:uid="{35A30081-C732-4625-8D83-92E46F838819}" name="Column12379"/>
    <tableColumn id="12399" xr3:uid="{80A028C5-B760-465A-A12E-24CB25B7EDD2}" name="Column12380"/>
    <tableColumn id="12400" xr3:uid="{8D99DD62-557A-41B2-B661-E7CB59548791}" name="Column12381"/>
    <tableColumn id="12401" xr3:uid="{A305E9F7-FA49-4A92-8188-299BC21A14A5}" name="Column12382"/>
    <tableColumn id="12402" xr3:uid="{2EC3E2B1-485E-4678-8B11-6DFD17FBEE8F}" name="Column12383"/>
    <tableColumn id="12403" xr3:uid="{F9767045-4B0A-4CDE-8B9C-ADFDFD0A612A}" name="Column12384"/>
    <tableColumn id="12404" xr3:uid="{DC0F564E-85AE-4D0F-8743-DC63D4B21AC9}" name="Column12385"/>
    <tableColumn id="12405" xr3:uid="{A0CB54C4-6797-4767-BBA4-5ABE37FBF735}" name="Column12386"/>
    <tableColumn id="12406" xr3:uid="{35DBCF1C-5539-4B4A-B69A-541F70AD8539}" name="Column12387"/>
    <tableColumn id="12407" xr3:uid="{36970DCF-91F1-418F-9099-EAE11A131C99}" name="Column12388"/>
    <tableColumn id="12408" xr3:uid="{A7A86BD3-3AE0-4B8A-B888-B322EB11C382}" name="Column12389"/>
    <tableColumn id="12409" xr3:uid="{1A315B4A-16C7-44A3-933E-C55F676F3C35}" name="Column12390"/>
    <tableColumn id="12410" xr3:uid="{7A61D7E7-5810-40D5-9A6D-632288A552B2}" name="Column12391"/>
    <tableColumn id="12411" xr3:uid="{899182D2-FAE9-4432-9614-C03869752844}" name="Column12392"/>
    <tableColumn id="12412" xr3:uid="{74079EA6-8605-4D76-A533-0E8172D51D7A}" name="Column12393"/>
    <tableColumn id="12413" xr3:uid="{E28F7BFF-2290-4B41-8D19-A6FCB17428D9}" name="Column12394"/>
    <tableColumn id="12414" xr3:uid="{A29AE735-0362-4F8B-B490-5919D39F8649}" name="Column12395"/>
    <tableColumn id="12415" xr3:uid="{18A39EDE-E97E-42A3-B85B-98DD8965A155}" name="Column12396"/>
    <tableColumn id="12416" xr3:uid="{1ED82FF2-D13B-44B6-836E-AB6CAFEAB5F9}" name="Column12397"/>
    <tableColumn id="12417" xr3:uid="{938C7C5A-AA69-4AFD-AD83-D9723AEC3429}" name="Column12398"/>
    <tableColumn id="12418" xr3:uid="{00B4CC1B-9AA9-476E-BC10-F515256F1D47}" name="Column12399"/>
    <tableColumn id="12419" xr3:uid="{D7F01618-DEDD-4BFF-AC82-A8D72257BB99}" name="Column12400"/>
    <tableColumn id="12420" xr3:uid="{801182A7-7C0E-4F85-85AC-1CD9E6422ADB}" name="Column12401"/>
    <tableColumn id="12421" xr3:uid="{685A4C3F-452E-4A72-8C9B-DF0B02AD71D6}" name="Column12402"/>
    <tableColumn id="12422" xr3:uid="{3635BC9E-1A4D-4C1B-9A83-9204E5A25468}" name="Column12403"/>
    <tableColumn id="12423" xr3:uid="{F43FFAA2-4E0F-4246-A476-C814CE6796F5}" name="Column12404"/>
    <tableColumn id="12424" xr3:uid="{BE5ABC6D-DA4D-4F45-BFBB-77EBC82689D0}" name="Column12405"/>
    <tableColumn id="12425" xr3:uid="{034CD22E-777F-4C17-9B4E-25DF61BBBE9B}" name="Column12406"/>
    <tableColumn id="12426" xr3:uid="{4387586D-6E70-4593-AEBA-505D624CCCAC}" name="Column12407"/>
    <tableColumn id="12427" xr3:uid="{83D65234-BBE6-4853-9ACC-B38BFD298C87}" name="Column12408"/>
    <tableColumn id="12428" xr3:uid="{8FEB51E7-B32C-454B-A543-65398FC300C6}" name="Column12409"/>
    <tableColumn id="12429" xr3:uid="{C2EC175E-9DAC-4C4D-B61C-5C3FB0CE8334}" name="Column12410"/>
    <tableColumn id="12430" xr3:uid="{807376D6-C3F9-4058-88D4-25343F983ED8}" name="Column12411"/>
    <tableColumn id="12431" xr3:uid="{0319C1EC-9DE5-46E6-AFB4-8E62EE76239C}" name="Column12412"/>
    <tableColumn id="12432" xr3:uid="{7FE9A64A-88A7-4CF9-9681-07375D919CF1}" name="Column12413"/>
    <tableColumn id="12433" xr3:uid="{2B2AF0BB-22F2-4464-ACA1-29D99EFC625A}" name="Column12414"/>
    <tableColumn id="12434" xr3:uid="{48B2E89D-7828-4A33-9C34-5FB4F4DA8322}" name="Column12415"/>
    <tableColumn id="12435" xr3:uid="{0703C37B-8E4E-4B8A-9D3D-879D0D967DCD}" name="Column12416"/>
    <tableColumn id="12436" xr3:uid="{D466DD22-AB82-4FD4-8886-B90144BC02F9}" name="Column12417"/>
    <tableColumn id="12437" xr3:uid="{2BB9F3AF-32B7-4A6D-890C-CFE56463399B}" name="Column12418"/>
    <tableColumn id="12438" xr3:uid="{1884EDCA-8685-48EA-9C0D-BA0CA59F30F5}" name="Column12419"/>
    <tableColumn id="12439" xr3:uid="{CE12B928-7CC6-4A6C-9F4F-5B2170CB7293}" name="Column12420"/>
    <tableColumn id="12440" xr3:uid="{C5DF508C-5505-4D84-A516-D924C1429191}" name="Column12421"/>
    <tableColumn id="12441" xr3:uid="{76007716-CA71-4DA0-91E5-9944689269FF}" name="Column12422"/>
    <tableColumn id="12442" xr3:uid="{ED09CA9E-3B2A-42EF-A223-775FA5D09FDF}" name="Column12423"/>
    <tableColumn id="12443" xr3:uid="{5AE9E2A7-3001-4CA5-A307-E7EDEBC37BFC}" name="Column12424"/>
    <tableColumn id="12444" xr3:uid="{53E337FF-BC60-4F19-B646-1873C7FD2DE6}" name="Column12425"/>
    <tableColumn id="12445" xr3:uid="{44EE2E0C-6C26-458F-951F-85A07BA97FDF}" name="Column12426"/>
    <tableColumn id="12446" xr3:uid="{F8A19651-8779-464D-BB93-64C56BA37B49}" name="Column12427"/>
    <tableColumn id="12447" xr3:uid="{AC060016-78E2-4801-9BD3-BAB0D4D7347C}" name="Column12428"/>
    <tableColumn id="12448" xr3:uid="{8AD81BFB-8B99-48E5-84F0-AE346D469836}" name="Column12429"/>
    <tableColumn id="12449" xr3:uid="{2E764ED7-FA84-42B6-9461-4F5BE45194CA}" name="Column12430"/>
    <tableColumn id="12450" xr3:uid="{331460B0-9419-42AB-A852-32F85962822F}" name="Column12431"/>
    <tableColumn id="12451" xr3:uid="{B62559FB-E565-44CB-B3D5-D66D1B7126A5}" name="Column12432"/>
    <tableColumn id="12452" xr3:uid="{C64AB0E0-0045-43C7-9711-0BC4B445461E}" name="Column12433"/>
    <tableColumn id="12453" xr3:uid="{36494FBB-6ADA-470F-AE3F-3663AC22D1E9}" name="Column12434"/>
    <tableColumn id="12454" xr3:uid="{B92BBAFF-616A-4984-ACF1-AB482D4840B7}" name="Column12435"/>
    <tableColumn id="12455" xr3:uid="{5E3F96C5-6669-442B-97D3-1979688F2C28}" name="Column12436"/>
    <tableColumn id="12456" xr3:uid="{977334F2-C1FC-489A-A6B0-E7F222F51298}" name="Column12437"/>
    <tableColumn id="12457" xr3:uid="{990163AA-6C86-4E9C-99E2-AD8E1A8D4BF9}" name="Column12438"/>
    <tableColumn id="12458" xr3:uid="{0B05D521-02BA-4138-B85E-17B11BCE66E6}" name="Column12439"/>
    <tableColumn id="12459" xr3:uid="{56CF7884-25A4-48DD-B87B-3526FC5530AD}" name="Column12440"/>
    <tableColumn id="12460" xr3:uid="{50B4F339-1427-423B-8BFA-2CEC97B94159}" name="Column12441"/>
    <tableColumn id="12461" xr3:uid="{A57F77DB-D0CA-44CB-AED1-24C16AFE3B65}" name="Column12442"/>
    <tableColumn id="12462" xr3:uid="{1BA4FC70-0236-40F9-B340-B720BA8BC610}" name="Column12443"/>
    <tableColumn id="12463" xr3:uid="{A644BFBC-ACD3-4519-A864-A4278C8AB815}" name="Column12444"/>
    <tableColumn id="12464" xr3:uid="{0AD318D1-95AA-4A0E-8C38-B60592D89129}" name="Column12445"/>
    <tableColumn id="12465" xr3:uid="{E9F61890-5D7B-4376-9551-F352999D03A0}" name="Column12446"/>
    <tableColumn id="12466" xr3:uid="{B53DDD24-89E0-471E-ACC8-690036E216DF}" name="Column12447"/>
    <tableColumn id="12467" xr3:uid="{79712E0C-CA19-46C2-9617-E823011D3E97}" name="Column12448"/>
    <tableColumn id="12468" xr3:uid="{87DEAF3D-F6BD-4436-964B-FC99E9A34C7C}" name="Column12449"/>
    <tableColumn id="12469" xr3:uid="{105B14C5-6D90-431C-8795-EECF78AED911}" name="Column12450"/>
    <tableColumn id="12470" xr3:uid="{1EAA817F-FC93-409D-A782-44FDD76274E8}" name="Column12451"/>
    <tableColumn id="12471" xr3:uid="{A53C37AF-DB29-4712-9B05-6E48D45A6754}" name="Column12452"/>
    <tableColumn id="12472" xr3:uid="{1A149AC6-116A-447E-8371-B835CAE9B41F}" name="Column12453"/>
    <tableColumn id="12473" xr3:uid="{363B0346-4AD3-4FA7-81E9-63EAFE4036AA}" name="Column12454"/>
    <tableColumn id="12474" xr3:uid="{6C4461E5-8D61-4046-9EFD-EA1BDB3C894E}" name="Column12455"/>
    <tableColumn id="12475" xr3:uid="{B711DF18-CEF9-4560-ABBB-3D6936989BD1}" name="Column12456"/>
    <tableColumn id="12476" xr3:uid="{B7A61CEC-6DDC-4883-821A-08083909B84A}" name="Column12457"/>
    <tableColumn id="12477" xr3:uid="{40805C5B-0B5D-455C-BDB5-52095DF6C3BB}" name="Column12458"/>
    <tableColumn id="12478" xr3:uid="{41959726-50D6-4DDE-9C61-CDB83E6A377E}" name="Column12459"/>
    <tableColumn id="12479" xr3:uid="{9FE0BD25-23A4-4854-83FD-86CB973717DA}" name="Column12460"/>
    <tableColumn id="12480" xr3:uid="{78804A44-6292-4E95-ACBE-CB0397490AEE}" name="Column12461"/>
    <tableColumn id="12481" xr3:uid="{3D4AED33-B76D-46B8-9EC1-136EDA3A2B22}" name="Column12462"/>
    <tableColumn id="12482" xr3:uid="{0478BD89-BBD0-4425-8B0C-D99C6C2C5BD5}" name="Column12463"/>
    <tableColumn id="12483" xr3:uid="{89911FCE-4819-4E22-90C8-CE1B8AE86746}" name="Column12464"/>
    <tableColumn id="12484" xr3:uid="{17F395B5-EA6B-45D3-A3F6-F3D17533A0B5}" name="Column12465"/>
    <tableColumn id="12485" xr3:uid="{7E269B73-7D11-4065-8F1B-DE4C7D93A12A}" name="Column12466"/>
    <tableColumn id="12486" xr3:uid="{B9D62B03-D3E4-4D43-9160-EDC61A71E78F}" name="Column12467"/>
    <tableColumn id="12487" xr3:uid="{4CA794ED-7E1D-4AE7-B25E-BCFEFD10FE76}" name="Column12468"/>
    <tableColumn id="12488" xr3:uid="{08D26E1A-1C8C-4195-8A39-6C82255BE901}" name="Column12469"/>
    <tableColumn id="12489" xr3:uid="{9906FE0D-0827-4E35-A740-302736EA5A7C}" name="Column12470"/>
    <tableColumn id="12490" xr3:uid="{7598B38E-2B2D-49D9-8D0B-A52AAA181CE9}" name="Column12471"/>
    <tableColumn id="12491" xr3:uid="{E7471AD6-FE52-4E00-B077-7AC4471E0DA8}" name="Column12472"/>
    <tableColumn id="12492" xr3:uid="{C49CFB8F-A725-4F6F-B381-2A1FC3FE4F6C}" name="Column12473"/>
    <tableColumn id="12493" xr3:uid="{7987CFB5-41DC-42E9-B9DC-15C80CE71504}" name="Column12474"/>
    <tableColumn id="12494" xr3:uid="{9400EEEE-3DDE-425B-880A-5C474BB03897}" name="Column12475"/>
    <tableColumn id="12495" xr3:uid="{292E19A8-B83B-4965-B35C-1F028C9CF654}" name="Column12476"/>
    <tableColumn id="12496" xr3:uid="{49B7F7C7-BE49-4A55-8B70-6C013FF0779D}" name="Column12477"/>
    <tableColumn id="12497" xr3:uid="{1FA45306-FDA8-41C3-8EEC-F38592DF566F}" name="Column12478"/>
    <tableColumn id="12498" xr3:uid="{2BF65D3F-0A92-42BB-8A8A-513757587FA7}" name="Column12479"/>
    <tableColumn id="12499" xr3:uid="{D7DECAA6-6479-4AD8-94A6-0E53A251A60D}" name="Column12480"/>
    <tableColumn id="12500" xr3:uid="{E86EA1BF-3F24-48C4-9321-91D368833A1F}" name="Column12481"/>
    <tableColumn id="12501" xr3:uid="{C20D574A-749B-4A2C-A180-AC7ADC61F3E8}" name="Column12482"/>
    <tableColumn id="12502" xr3:uid="{62BBEF44-CB92-4EAB-A8E6-2B3241D54534}" name="Column12483"/>
    <tableColumn id="12503" xr3:uid="{51CA4CA6-4BB8-42BB-92A1-5B39E4446144}" name="Column12484"/>
    <tableColumn id="12504" xr3:uid="{6E763D9C-DA18-471B-85B5-60F1B1C008C6}" name="Column12485"/>
    <tableColumn id="12505" xr3:uid="{342EF148-9E1E-4E11-B9F3-B8F6E20EBB48}" name="Column12486"/>
    <tableColumn id="12506" xr3:uid="{E3EB79D1-5C4C-4B71-9FBA-F452F365B68E}" name="Column12487"/>
    <tableColumn id="12507" xr3:uid="{8C5DF933-6EB5-4C40-8283-43D1B9681202}" name="Column12488"/>
    <tableColumn id="12508" xr3:uid="{C0252BAF-899D-4EB3-BCF0-CA2F74448EC2}" name="Column12489"/>
    <tableColumn id="12509" xr3:uid="{D95F4C13-5EC2-4D09-BC1D-69173D66F0A2}" name="Column12490"/>
    <tableColumn id="12510" xr3:uid="{61CF557D-AE61-443E-9CD6-9A3A6D1142C2}" name="Column12491"/>
    <tableColumn id="12511" xr3:uid="{7F554817-C681-4900-84A1-023B05B0C054}" name="Column12492"/>
    <tableColumn id="12512" xr3:uid="{7AA7D78F-7773-4542-AAD7-AD3BA761989C}" name="Column12493"/>
    <tableColumn id="12513" xr3:uid="{9A4E746E-DE96-4EC8-8759-D1A6B4F3D2B0}" name="Column12494"/>
    <tableColumn id="12514" xr3:uid="{2DF0F05E-C8C1-48A7-B653-46E5C01E0ACB}" name="Column12495"/>
    <tableColumn id="12515" xr3:uid="{42E714FC-99CF-4F4B-A6F8-D6922B2A343E}" name="Column12496"/>
    <tableColumn id="12516" xr3:uid="{40CEAD9C-160E-41D9-9FA0-725A22E955BD}" name="Column12497"/>
    <tableColumn id="12517" xr3:uid="{5FB8490E-3B5B-4EB9-AB11-4E5D9A0063AC}" name="Column12498"/>
    <tableColumn id="12518" xr3:uid="{8B237326-0BEB-4160-AD36-5C058D34DD8C}" name="Column12499"/>
    <tableColumn id="12519" xr3:uid="{F2A91666-3A8E-46BA-A017-C8AD8FD8AD67}" name="Column12500"/>
    <tableColumn id="12520" xr3:uid="{D88B4BEA-EA15-464D-9E67-2B8FB772EC2E}" name="Column12501"/>
    <tableColumn id="12521" xr3:uid="{350054BF-07B8-4A6F-91F7-3E22EAE09A32}" name="Column12502"/>
    <tableColumn id="12522" xr3:uid="{7C5132AB-B99A-4F50-886F-626F7DA9C7CF}" name="Column12503"/>
    <tableColumn id="12523" xr3:uid="{32ABA241-F941-4F1B-A760-5542DCD3BBCA}" name="Column12504"/>
    <tableColumn id="12524" xr3:uid="{5D8607A2-1293-4424-977D-2EF814666C0B}" name="Column12505"/>
    <tableColumn id="12525" xr3:uid="{73B21D58-B7ED-4946-A12F-24BA3C50D578}" name="Column12506"/>
    <tableColumn id="12526" xr3:uid="{22AB5CEF-48F0-4CF8-9841-A858CFCA79F9}" name="Column12507"/>
    <tableColumn id="12527" xr3:uid="{797C2623-2355-4943-B5B2-62BC1C3DCF02}" name="Column12508"/>
    <tableColumn id="12528" xr3:uid="{122810A6-F5B9-4D4A-9B9E-F9E9C6870A9C}" name="Column12509"/>
    <tableColumn id="12529" xr3:uid="{0D764ED8-4400-4653-8D53-F7B51EA49A4A}" name="Column12510"/>
    <tableColumn id="12530" xr3:uid="{2ADA3E0B-B90D-4238-B498-1C846C440DF7}" name="Column12511"/>
    <tableColumn id="12531" xr3:uid="{86FE3BEC-C117-4D3F-AFF0-5E9F566E88CB}" name="Column12512"/>
    <tableColumn id="12532" xr3:uid="{2B4D9EDA-B09D-4F2A-8CDF-7D33D232AA55}" name="Column12513"/>
    <tableColumn id="12533" xr3:uid="{1FE344C0-CA4E-4F67-AA93-42EDE15ADD95}" name="Column12514"/>
    <tableColumn id="12534" xr3:uid="{BE1C9C32-6203-4868-96E5-4A01C0C15FE2}" name="Column12515"/>
    <tableColumn id="12535" xr3:uid="{44C86B15-02A0-46B4-92DE-A26FDA840978}" name="Column12516"/>
    <tableColumn id="12536" xr3:uid="{34BD30AB-CE4D-4D8B-99A5-FD38A6EE2ECB}" name="Column12517"/>
    <tableColumn id="12537" xr3:uid="{3759D9F0-4388-4DF7-85BD-FC8DF8B10A3D}" name="Column12518"/>
    <tableColumn id="12538" xr3:uid="{CE34E594-CFC8-40D5-A991-0A792AF118D7}" name="Column12519"/>
    <tableColumn id="12539" xr3:uid="{9D804B12-63E5-4C70-890B-EB0756A67923}" name="Column12520"/>
    <tableColumn id="12540" xr3:uid="{27923A94-EF32-45AA-B846-6460988D2838}" name="Column12521"/>
    <tableColumn id="12541" xr3:uid="{BC22AA80-2F05-4B8F-921F-2B683DA29AFE}" name="Column12522"/>
    <tableColumn id="12542" xr3:uid="{330A90AA-D9B2-4890-B02C-D87B53EA49A5}" name="Column12523"/>
    <tableColumn id="12543" xr3:uid="{B5A9F0CD-8DD4-4AEE-AED3-F28841D210C0}" name="Column12524"/>
    <tableColumn id="12544" xr3:uid="{1D302AF1-13F9-41ED-9A46-DB5179682169}" name="Column12525"/>
    <tableColumn id="12545" xr3:uid="{C81F3EFC-2AB6-4C5A-A8FE-72CB15C88327}" name="Column12526"/>
    <tableColumn id="12546" xr3:uid="{28F3DA87-88B7-449D-9CE2-854D9C23B088}" name="Column12527"/>
    <tableColumn id="12547" xr3:uid="{AC893806-06DD-458E-ABE6-09618F7C699C}" name="Column12528"/>
    <tableColumn id="12548" xr3:uid="{3CC7FEF3-6E75-4928-8F3C-AAFDE894EC4C}" name="Column12529"/>
    <tableColumn id="12549" xr3:uid="{277843F9-153F-42F0-B0B9-CDD4E830203A}" name="Column12530"/>
    <tableColumn id="12550" xr3:uid="{CF1AE2D5-D760-458D-BA7B-ED54DC02DDE6}" name="Column12531"/>
    <tableColumn id="12551" xr3:uid="{4CF9E5B8-7A6D-4D13-80D7-E3262138ADA1}" name="Column12532"/>
    <tableColumn id="12552" xr3:uid="{0C3FB476-F4AB-44C5-8D24-1174A22C1651}" name="Column12533"/>
    <tableColumn id="12553" xr3:uid="{A482AABA-919E-4958-B57C-A48F1AE4E0DB}" name="Column12534"/>
    <tableColumn id="12554" xr3:uid="{0AE6D2F4-01E5-4379-838A-BC314C1B6CE0}" name="Column12535"/>
    <tableColumn id="12555" xr3:uid="{61DC879E-A4B8-4B9C-A244-4335E60748B7}" name="Column12536"/>
    <tableColumn id="12556" xr3:uid="{03ECF0F8-1183-4E8E-ACF0-D11670293670}" name="Column12537"/>
    <tableColumn id="12557" xr3:uid="{33852153-0476-4341-81F7-D583766667A6}" name="Column12538"/>
    <tableColumn id="12558" xr3:uid="{F7265743-0289-4384-ADB6-11C9EA137F05}" name="Column12539"/>
    <tableColumn id="12559" xr3:uid="{D78A96AC-C188-4956-95A1-229BF540C731}" name="Column12540"/>
    <tableColumn id="12560" xr3:uid="{FB7CF450-AEB8-42B6-B7D2-45688CFDE612}" name="Column12541"/>
    <tableColumn id="12561" xr3:uid="{230BC169-6CCF-4449-83BE-A5A1FF3C06D0}" name="Column12542"/>
    <tableColumn id="12562" xr3:uid="{352FD787-D29A-4CFE-8356-6E893E21C9A2}" name="Column12543"/>
    <tableColumn id="12563" xr3:uid="{EA6F93AD-69F6-4AE7-B26E-588B08DAEB61}" name="Column12544"/>
    <tableColumn id="12564" xr3:uid="{C0C9E02C-732F-4336-BE88-BCA993A688F0}" name="Column12545"/>
    <tableColumn id="12565" xr3:uid="{AF4B914D-E1A1-4FAC-8B20-82EA1D80E5C2}" name="Column12546"/>
    <tableColumn id="12566" xr3:uid="{09D0CA56-92D0-487A-9B5E-209F35E599BB}" name="Column12547"/>
    <tableColumn id="12567" xr3:uid="{F72F1481-3541-4F1B-A736-C3DF4BA082F2}" name="Column12548"/>
    <tableColumn id="12568" xr3:uid="{E353FE93-FD23-446D-9409-BC91E6BE1106}" name="Column12549"/>
    <tableColumn id="12569" xr3:uid="{536C9777-FBF5-4942-9C89-F83CBE43684F}" name="Column12550"/>
    <tableColumn id="12570" xr3:uid="{878D94EE-9CF3-47A6-9CA9-E2AE4F360B31}" name="Column12551"/>
    <tableColumn id="12571" xr3:uid="{10EBFE4B-69C7-4ECA-8271-62C6A5EE8703}" name="Column12552"/>
    <tableColumn id="12572" xr3:uid="{F9A522E5-1269-41C4-80E6-31D4F54F86D0}" name="Column12553"/>
    <tableColumn id="12573" xr3:uid="{2CD1D7A2-00EA-469E-A002-EC02AA70CC49}" name="Column12554"/>
    <tableColumn id="12574" xr3:uid="{73F25DA3-68F1-4077-B03F-FE26AB55BFFA}" name="Column12555"/>
    <tableColumn id="12575" xr3:uid="{75EEC707-D353-4527-88A8-CD6302CD07C0}" name="Column12556"/>
    <tableColumn id="12576" xr3:uid="{C00FD33C-C5EE-4BC2-8956-DF0CEE4B6AE1}" name="Column12557"/>
    <tableColumn id="12577" xr3:uid="{0A338E6E-537E-4EB6-BB10-8C78FEAD9C30}" name="Column12558"/>
    <tableColumn id="12578" xr3:uid="{33C249D2-7895-47C8-9E47-CAA5C44BFB85}" name="Column12559"/>
    <tableColumn id="12579" xr3:uid="{4E1937F6-9983-467E-81D0-8B4CB0BA0A84}" name="Column12560"/>
    <tableColumn id="12580" xr3:uid="{52C65933-92EF-4708-85FD-B5FBF5970E52}" name="Column12561"/>
    <tableColumn id="12581" xr3:uid="{4EF34844-D6E5-4E97-8E8B-9DC90E88D0D5}" name="Column12562"/>
    <tableColumn id="12582" xr3:uid="{FB230E58-005B-4BAA-A459-0221D8DA0CD4}" name="Column12563"/>
    <tableColumn id="12583" xr3:uid="{D7B60959-34ED-4481-93C4-904F9A59A129}" name="Column12564"/>
    <tableColumn id="12584" xr3:uid="{8FFBD29F-8E4C-428E-86F0-3F2E204549B6}" name="Column12565"/>
    <tableColumn id="12585" xr3:uid="{51FEE967-5F1B-45E7-A70C-1BD36E46D668}" name="Column12566"/>
    <tableColumn id="12586" xr3:uid="{5B5895AD-5D8C-4998-A1B9-A9C119BD2553}" name="Column12567"/>
    <tableColumn id="12587" xr3:uid="{5BC429EA-D6B3-4844-8DCF-AD99BBBDD174}" name="Column12568"/>
    <tableColumn id="12588" xr3:uid="{6AFE9EB9-1F7D-40AB-BACE-938438995A88}" name="Column12569"/>
    <tableColumn id="12589" xr3:uid="{D508A0F0-C997-4BF4-B411-B341B5D6CA76}" name="Column12570"/>
    <tableColumn id="12590" xr3:uid="{9D89836C-CAC7-4245-9A7A-9E68529F91B4}" name="Column12571"/>
    <tableColumn id="12591" xr3:uid="{20343CBF-CF76-472A-9D09-152345AC8F81}" name="Column12572"/>
    <tableColumn id="12592" xr3:uid="{E65FE003-2551-483D-BD1C-F153C7BD6113}" name="Column12573"/>
    <tableColumn id="12593" xr3:uid="{9D34197A-4266-48C7-953B-8105F7915595}" name="Column12574"/>
    <tableColumn id="12594" xr3:uid="{04D7C40E-A71C-401C-ADC6-7B36ED6FBA63}" name="Column12575"/>
    <tableColumn id="12595" xr3:uid="{255E13A7-1D45-4C74-A72D-B262C587DD6D}" name="Column12576"/>
    <tableColumn id="12596" xr3:uid="{49840926-902C-4050-ADA1-472243E3511F}" name="Column12577"/>
    <tableColumn id="12597" xr3:uid="{E3588325-F025-4470-BAEC-0E93427BC7D7}" name="Column12578"/>
    <tableColumn id="12598" xr3:uid="{16B541B8-EE6D-4303-A1A9-3EEB73F1E7CE}" name="Column12579"/>
    <tableColumn id="12599" xr3:uid="{2A531256-0868-429B-8B2F-828A06EF094B}" name="Column12580"/>
    <tableColumn id="12600" xr3:uid="{00515BBB-CFF4-4AF9-8952-CE5F8F013A4A}" name="Column12581"/>
    <tableColumn id="12601" xr3:uid="{6D94AC22-C13B-4E78-9E7B-43FD4D0AE750}" name="Column12582"/>
    <tableColumn id="12602" xr3:uid="{0F1E6250-2905-4E4B-B944-C072D2604589}" name="Column12583"/>
    <tableColumn id="12603" xr3:uid="{EAC9129C-60B4-42C2-9089-1C03E12B8D46}" name="Column12584"/>
    <tableColumn id="12604" xr3:uid="{B797D55A-C850-44C3-9DB5-F6FEE26BD2EF}" name="Column12585"/>
    <tableColumn id="12605" xr3:uid="{027FBBD6-9F03-48AF-992E-6C57A2966F5D}" name="Column12586"/>
    <tableColumn id="12606" xr3:uid="{9482F46D-9868-4F4D-9FA9-E7048ECDC88A}" name="Column12587"/>
    <tableColumn id="12607" xr3:uid="{87828230-5426-4439-87AF-F02150E7E57A}" name="Column12588"/>
    <tableColumn id="12608" xr3:uid="{EA5648F2-0740-4CA5-B9E6-E662C921F85D}" name="Column12589"/>
    <tableColumn id="12609" xr3:uid="{2296963F-428D-450D-AA66-3DAD2D07E37D}" name="Column12590"/>
    <tableColumn id="12610" xr3:uid="{B142D7E5-727B-4FB5-A36F-D58106669D37}" name="Column12591"/>
    <tableColumn id="12611" xr3:uid="{52B80C00-A6AA-475A-9768-952D1DE85AA0}" name="Column12592"/>
    <tableColumn id="12612" xr3:uid="{7F908C4E-4F51-4AA3-B69A-5F21FCACD4AF}" name="Column12593"/>
    <tableColumn id="12613" xr3:uid="{1B50CD54-E757-4B6E-A126-F9AB3B974BFF}" name="Column12594"/>
    <tableColumn id="12614" xr3:uid="{DE19D31A-E6D0-46AC-AC0E-26DCAF732F5D}" name="Column12595"/>
    <tableColumn id="12615" xr3:uid="{5E476AF9-A06A-42DA-BA36-9CAE7F29218F}" name="Column12596"/>
    <tableColumn id="12616" xr3:uid="{4972DC67-C70B-422F-AF20-479165993343}" name="Column12597"/>
    <tableColumn id="12617" xr3:uid="{F5B626D2-1AB3-4C78-A76F-3139ED02802F}" name="Column12598"/>
    <tableColumn id="12618" xr3:uid="{C8DF2A76-77B8-4D40-92CA-E9DB93DA8A50}" name="Column12599"/>
    <tableColumn id="12619" xr3:uid="{D79A5952-8635-4BDA-9626-66A6C4A92ADD}" name="Column12600"/>
    <tableColumn id="12620" xr3:uid="{D01938DF-5559-4239-B4B5-A119F03FCB38}" name="Column12601"/>
    <tableColumn id="12621" xr3:uid="{9159BEF8-B1F4-4583-8466-A1CEB4D21928}" name="Column12602"/>
    <tableColumn id="12622" xr3:uid="{26E98420-6317-4816-B3F1-7CEB513FBA8E}" name="Column12603"/>
    <tableColumn id="12623" xr3:uid="{5F8E7C08-C6A7-4B43-8C36-B28D5D2A7808}" name="Column12604"/>
    <tableColumn id="12624" xr3:uid="{47B300B5-CEA1-4494-84FE-591333F21D31}" name="Column12605"/>
    <tableColumn id="12625" xr3:uid="{671E9A9A-5F78-4905-8D28-76D987000341}" name="Column12606"/>
    <tableColumn id="12626" xr3:uid="{7AD9A36F-152D-49B9-A31B-1F3FB0E98E4A}" name="Column12607"/>
    <tableColumn id="12627" xr3:uid="{75617AE3-7386-4232-837F-8789FDC0A8F2}" name="Column12608"/>
    <tableColumn id="12628" xr3:uid="{82B3FEA3-379E-413B-A074-83ADA814A3D5}" name="Column12609"/>
    <tableColumn id="12629" xr3:uid="{60E7BCF1-8CEC-48A4-8EDF-31ECB31BBD7E}" name="Column12610"/>
    <tableColumn id="12630" xr3:uid="{FEB4C309-6D2C-468F-B191-241B0F07EA5A}" name="Column12611"/>
    <tableColumn id="12631" xr3:uid="{2182EF38-22CB-47DF-AC7E-7E6C68B00430}" name="Column12612"/>
    <tableColumn id="12632" xr3:uid="{BD1CAA26-E139-48E5-BCC7-39135C25583D}" name="Column12613"/>
    <tableColumn id="12633" xr3:uid="{DC45DD06-DC71-4F5B-BD40-7386629FE3FB}" name="Column12614"/>
    <tableColumn id="12634" xr3:uid="{46FC2FA6-DE1D-498B-A7FE-170BED7ADDED}" name="Column12615"/>
    <tableColumn id="12635" xr3:uid="{6B15C694-94D4-4DDC-9AC5-1A5C708FA3AA}" name="Column12616"/>
    <tableColumn id="12636" xr3:uid="{FEC53F1F-5FB4-4017-9260-DFEB677A1A80}" name="Column12617"/>
    <tableColumn id="12637" xr3:uid="{116B3C7D-7DA0-4C42-8CF2-BB2BF3385A12}" name="Column12618"/>
    <tableColumn id="12638" xr3:uid="{8288D978-90DF-4CBF-96B1-D4CD3F136033}" name="Column12619"/>
    <tableColumn id="12639" xr3:uid="{2FAF07EE-4E93-409E-8DD2-2F18E2D084DF}" name="Column12620"/>
    <tableColumn id="12640" xr3:uid="{B5946776-1497-4386-8CBC-C7139E32CFD7}" name="Column12621"/>
    <tableColumn id="12641" xr3:uid="{ED6077B4-D96F-4BF7-9D37-9B0F8DB05562}" name="Column12622"/>
    <tableColumn id="12642" xr3:uid="{0EB28521-DC71-495B-9B34-2224DEF03325}" name="Column12623"/>
    <tableColumn id="12643" xr3:uid="{F2C35B90-A34A-43BF-B8C1-D925225FD63E}" name="Column12624"/>
    <tableColumn id="12644" xr3:uid="{6F2BB8B1-D877-4C47-8C68-6F4E8C151D19}" name="Column12625"/>
    <tableColumn id="12645" xr3:uid="{325400E2-7D34-4519-BF58-65A65A044A7C}" name="Column12626"/>
    <tableColumn id="12646" xr3:uid="{52EC8B05-E06B-4CC5-BFC7-5443D4D87EFC}" name="Column12627"/>
    <tableColumn id="12647" xr3:uid="{9D0C215A-EEAE-4568-A980-FB9BF706AD09}" name="Column12628"/>
    <tableColumn id="12648" xr3:uid="{C2C21813-9009-47D0-B134-1792319C79A7}" name="Column12629"/>
    <tableColumn id="12649" xr3:uid="{4765A3C1-65E2-4854-BFDE-9A8F2CA3743D}" name="Column12630"/>
    <tableColumn id="12650" xr3:uid="{2C736147-BB9D-4C42-BF21-C6CF8F250C75}" name="Column12631"/>
    <tableColumn id="12651" xr3:uid="{A05796D9-A857-4544-BCC6-AE871E490A6E}" name="Column12632"/>
    <tableColumn id="12652" xr3:uid="{25FE69E5-8157-4CEF-9A93-C459549687AD}" name="Column12633"/>
    <tableColumn id="12653" xr3:uid="{66C8D061-86A2-4A7C-A302-C2DD6684259B}" name="Column12634"/>
    <tableColumn id="12654" xr3:uid="{B2BC7C3F-37A4-4DC5-9A9C-44DA0C04D526}" name="Column12635"/>
    <tableColumn id="12655" xr3:uid="{2A811A8C-9457-475C-B2DA-82AA07BA55A4}" name="Column12636"/>
    <tableColumn id="12656" xr3:uid="{C7871D20-EC42-4E8F-8472-8DFD41A28677}" name="Column12637"/>
    <tableColumn id="12657" xr3:uid="{2A622191-F270-422B-8794-6E3573B9881F}" name="Column12638"/>
    <tableColumn id="12658" xr3:uid="{DF401C5B-8BB4-4291-8AF6-2C221C57AF1F}" name="Column12639"/>
    <tableColumn id="12659" xr3:uid="{AF15BEE1-0A5A-4CB1-A0F1-41D3249635D5}" name="Column12640"/>
    <tableColumn id="12660" xr3:uid="{AD4A9DD0-CA5B-4ACA-B1FE-A32F54070FE3}" name="Column12641"/>
    <tableColumn id="12661" xr3:uid="{E528C60E-D018-42D1-B39A-F936AC30C286}" name="Column12642"/>
    <tableColumn id="12662" xr3:uid="{4A38C859-CCBE-4A89-9DF1-13F36BD8BB23}" name="Column12643"/>
    <tableColumn id="12663" xr3:uid="{F2F73846-6323-4C77-8D8A-2D9185ED65F4}" name="Column12644"/>
    <tableColumn id="12664" xr3:uid="{96D51FE5-A6EF-43C2-8B10-9A230365EB56}" name="Column12645"/>
    <tableColumn id="12665" xr3:uid="{7835231A-5F46-4D2B-8F08-46C6EAA153CB}" name="Column12646"/>
    <tableColumn id="12666" xr3:uid="{8E912782-1869-4AAB-AC32-19CE8F632E61}" name="Column12647"/>
    <tableColumn id="12667" xr3:uid="{BF9EE578-37A4-4A06-8761-337A1C647C88}" name="Column12648"/>
    <tableColumn id="12668" xr3:uid="{9B721C2B-3AF6-40BA-BEC0-DA3F30A3EB3D}" name="Column12649"/>
    <tableColumn id="12669" xr3:uid="{2C2B9B8D-56F1-4A7F-8532-BA64D5C4E24E}" name="Column12650"/>
    <tableColumn id="12670" xr3:uid="{4E9DBA21-A3ED-4B38-A0E5-EAD431038FB6}" name="Column12651"/>
    <tableColumn id="12671" xr3:uid="{5F8A1A5F-A4D6-4658-AB31-D3B259C9A195}" name="Column12652"/>
    <tableColumn id="12672" xr3:uid="{02330A2E-1BF6-40DA-BD70-98640CFCC851}" name="Column12653"/>
    <tableColumn id="12673" xr3:uid="{A4969D7D-B885-4714-A8E9-65FDE1581DD7}" name="Column12654"/>
    <tableColumn id="12674" xr3:uid="{622819A5-9AE0-4709-99B1-560EAE361A51}" name="Column12655"/>
    <tableColumn id="12675" xr3:uid="{840DFCCD-3832-4F3B-BFD7-843DE82683CA}" name="Column12656"/>
    <tableColumn id="12676" xr3:uid="{69F8B1AC-97BD-46C7-BD0A-F5ABE21FC08A}" name="Column12657"/>
    <tableColumn id="12677" xr3:uid="{E52B0CF0-BD19-4520-8369-72B47F717CA4}" name="Column12658"/>
    <tableColumn id="12678" xr3:uid="{6544E1F8-05D4-464B-84F4-78ECB7133292}" name="Column12659"/>
    <tableColumn id="12679" xr3:uid="{21AF4236-B607-42DE-8D43-139A4211920B}" name="Column12660"/>
    <tableColumn id="12680" xr3:uid="{CD408216-C5F7-427E-9D98-63C6FA7E60B0}" name="Column12661"/>
    <tableColumn id="12681" xr3:uid="{7566E858-679C-48EC-B327-EB3678E1B0C5}" name="Column12662"/>
    <tableColumn id="12682" xr3:uid="{C1DE0365-5343-4D52-8571-7B2A659ADDF6}" name="Column12663"/>
    <tableColumn id="12683" xr3:uid="{9F67650F-2A42-4E33-8FF8-5519E21233EB}" name="Column12664"/>
    <tableColumn id="12684" xr3:uid="{B1E9FC2A-F11A-4A3C-B9CD-418DCFC9B95C}" name="Column12665"/>
    <tableColumn id="12685" xr3:uid="{62FAA448-6D03-4F2E-BE4E-1D81A66E4A6D}" name="Column12666"/>
    <tableColumn id="12686" xr3:uid="{A5F24E18-93FD-4325-A17D-A455B5139EC8}" name="Column12667"/>
    <tableColumn id="12687" xr3:uid="{1DF16DF5-937C-419A-A2C7-7D21D5C09592}" name="Column12668"/>
    <tableColumn id="12688" xr3:uid="{F37FEB6A-ED50-47C2-A8A8-67183E0C052D}" name="Column12669"/>
    <tableColumn id="12689" xr3:uid="{1215ECE5-93F0-4A8E-A2BB-3ECB6A3F357D}" name="Column12670"/>
    <tableColumn id="12690" xr3:uid="{04B64145-1ECB-45E7-915A-3F773ECD16FF}" name="Column12671"/>
    <tableColumn id="12691" xr3:uid="{F83CB738-BE63-4E60-9137-B945B134CCCA}" name="Column12672"/>
    <tableColumn id="12692" xr3:uid="{7A2850BA-CE68-447A-86A4-7A8B53697ABC}" name="Column12673"/>
    <tableColumn id="12693" xr3:uid="{ED917A62-77EB-4417-8219-404D5D719961}" name="Column12674"/>
    <tableColumn id="12694" xr3:uid="{2ADCFD44-0D52-42DA-80B7-B05BF4922241}" name="Column12675"/>
    <tableColumn id="12695" xr3:uid="{8C197C3A-83E2-4FCF-945F-20232F70391A}" name="Column12676"/>
    <tableColumn id="12696" xr3:uid="{AD0C289E-6499-4DEC-B768-BD7E1E02B970}" name="Column12677"/>
    <tableColumn id="12697" xr3:uid="{47A560C3-2866-45D4-B61D-AD918B636AE8}" name="Column12678"/>
    <tableColumn id="12698" xr3:uid="{C783E582-E64D-476C-AA83-7815C027020C}" name="Column12679"/>
    <tableColumn id="12699" xr3:uid="{5E9C9D66-9F37-4495-AD51-AE532360E68C}" name="Column12680"/>
    <tableColumn id="12700" xr3:uid="{721D10DB-0FB6-4002-9756-7EEFD5E36241}" name="Column12681"/>
    <tableColumn id="12701" xr3:uid="{EAE95B87-087A-4CA7-A4F6-8FD21E4E4DE7}" name="Column12682"/>
    <tableColumn id="12702" xr3:uid="{4F4BD8A4-AF44-43C2-B0D7-E970AEFF2A0F}" name="Column12683"/>
    <tableColumn id="12703" xr3:uid="{1802EB2A-82D2-4554-B3B8-2D90A827FCF2}" name="Column12684"/>
    <tableColumn id="12704" xr3:uid="{895B7381-D891-4DC7-B3DC-B21786CC458C}" name="Column12685"/>
    <tableColumn id="12705" xr3:uid="{EED39411-C73D-4A85-B832-B9DC82F0BD44}" name="Column12686"/>
    <tableColumn id="12706" xr3:uid="{58BD1B4F-67A2-4BD8-AE83-E9D2A2815664}" name="Column12687"/>
    <tableColumn id="12707" xr3:uid="{CEA69B55-993B-4193-8913-620DCB35140C}" name="Column12688"/>
    <tableColumn id="12708" xr3:uid="{DE12A81A-3E99-48CC-8FBA-2672A84EED63}" name="Column12689"/>
    <tableColumn id="12709" xr3:uid="{DB7C94F8-6A81-4A14-BC01-9D144A0AB95E}" name="Column12690"/>
    <tableColumn id="12710" xr3:uid="{FD6C3ADF-583D-4F33-A140-947523B4CDB6}" name="Column12691"/>
    <tableColumn id="12711" xr3:uid="{3822B691-5791-41DC-B1E8-ACB90FEE8307}" name="Column12692"/>
    <tableColumn id="12712" xr3:uid="{F47A43A2-F6D7-4B36-9FC9-57AE151F6F1B}" name="Column12693"/>
    <tableColumn id="12713" xr3:uid="{0FD3F480-EFA9-446D-B59C-8EF57108CDD1}" name="Column12694"/>
    <tableColumn id="12714" xr3:uid="{AAAB0D1C-0FA1-4D21-B087-C0D4430FD19C}" name="Column12695"/>
    <tableColumn id="12715" xr3:uid="{76D73BCE-A91A-4520-996D-672D4FE19ED8}" name="Column12696"/>
    <tableColumn id="12716" xr3:uid="{48F2967A-7018-4148-9353-5F984F904456}" name="Column12697"/>
    <tableColumn id="12717" xr3:uid="{F1DD6D7F-6AFA-48A9-8AA2-6D1C93CE1271}" name="Column12698"/>
    <tableColumn id="12718" xr3:uid="{5440A91E-BC77-4FBB-A264-82D7D56EF673}" name="Column12699"/>
    <tableColumn id="12719" xr3:uid="{8C89A0D7-CB31-4D7B-BDE0-418B7A89B94E}" name="Column12700"/>
    <tableColumn id="12720" xr3:uid="{F990BBA0-3E8F-4976-B25C-5B5BF649EE95}" name="Column12701"/>
    <tableColumn id="12721" xr3:uid="{AE2EE068-3CFB-4E88-87DC-12DEA6376D91}" name="Column12702"/>
    <tableColumn id="12722" xr3:uid="{8F0FAE4E-40EB-41A8-9AE7-0C7A8CD1EBFC}" name="Column12703"/>
    <tableColumn id="12723" xr3:uid="{5F0643FB-1BD8-4A1A-BBE1-EA9DFA316DA2}" name="Column12704"/>
    <tableColumn id="12724" xr3:uid="{8CF3AB10-7313-44CE-9E11-45B1FE30FC96}" name="Column12705"/>
    <tableColumn id="12725" xr3:uid="{37584FFE-5832-4187-81C8-DBDB9F4B72D1}" name="Column12706"/>
    <tableColumn id="12726" xr3:uid="{9CCC1B8C-A074-4E52-9936-F82E8E625040}" name="Column12707"/>
    <tableColumn id="12727" xr3:uid="{54FE1317-3883-4BB0-A20D-6EBD47889FCB}" name="Column12708"/>
    <tableColumn id="12728" xr3:uid="{117F684C-0A56-44B5-8C86-29EA513C8C42}" name="Column12709"/>
    <tableColumn id="12729" xr3:uid="{BBA11C2D-85E1-4818-BFC3-30765741EEEA}" name="Column12710"/>
    <tableColumn id="12730" xr3:uid="{164F829D-D618-479C-BCD5-9A82AAFFEEF5}" name="Column12711"/>
    <tableColumn id="12731" xr3:uid="{BE068467-A957-485E-87EB-E4805F54904A}" name="Column12712"/>
    <tableColumn id="12732" xr3:uid="{BD8782D2-0A54-4F79-961B-831DCB7E9EBF}" name="Column12713"/>
    <tableColumn id="12733" xr3:uid="{7CD7EEA8-E7E1-4202-82BD-F235C0ECD736}" name="Column12714"/>
    <tableColumn id="12734" xr3:uid="{56519E0A-B4D3-4D4C-97DF-FB4A4A393572}" name="Column12715"/>
    <tableColumn id="12735" xr3:uid="{710B803F-6921-48D5-9C9D-615BBCF18C9D}" name="Column12716"/>
    <tableColumn id="12736" xr3:uid="{3BB34269-967D-4FC7-8E71-4A6ACC27D1C2}" name="Column12717"/>
    <tableColumn id="12737" xr3:uid="{A911BEF7-0DE5-47BC-AC19-98CCCBD01BC9}" name="Column12718"/>
    <tableColumn id="12738" xr3:uid="{E039EA09-7383-4B30-9ED5-2CCBCDCBDDCF}" name="Column12719"/>
    <tableColumn id="12739" xr3:uid="{CE0520C2-9D18-4B31-A29E-7CB76A7FF526}" name="Column12720"/>
    <tableColumn id="12740" xr3:uid="{AF658B8F-470E-42E4-8086-4E1E6E0E732C}" name="Column12721"/>
    <tableColumn id="12741" xr3:uid="{0C6F56B9-D79F-4C1C-BC1E-F94E988DB8C1}" name="Column12722"/>
    <tableColumn id="12742" xr3:uid="{3A304230-C2F1-4613-8514-9DFEB3F895F6}" name="Column12723"/>
    <tableColumn id="12743" xr3:uid="{F9DBA35A-CB7C-4CE3-9A39-2C620D865C36}" name="Column12724"/>
    <tableColumn id="12744" xr3:uid="{2C0904FE-7F1C-46A1-9F63-A691612FDA67}" name="Column12725"/>
    <tableColumn id="12745" xr3:uid="{DE765AD9-80AA-4AC7-9A9C-E2F2A3FE1ADF}" name="Column12726"/>
    <tableColumn id="12746" xr3:uid="{6B172EC3-6457-41F1-8B43-1A6D4505471B}" name="Column12727"/>
    <tableColumn id="12747" xr3:uid="{756BC675-BBFA-4C5A-AD05-F1958254444C}" name="Column12728"/>
    <tableColumn id="12748" xr3:uid="{80C0F32C-93AC-40E3-A4C8-DA6076057979}" name="Column12729"/>
    <tableColumn id="12749" xr3:uid="{3CED3869-BE52-4274-B64B-7D0A906AEE1B}" name="Column12730"/>
    <tableColumn id="12750" xr3:uid="{3980D2B5-2B1C-400C-86C1-C38EDF2179A5}" name="Column12731"/>
    <tableColumn id="12751" xr3:uid="{6D118827-4AC6-4CF4-8AD1-D0B8367D9A72}" name="Column12732"/>
    <tableColumn id="12752" xr3:uid="{96D4430C-107B-4901-9240-F2C21577A08F}" name="Column12733"/>
    <tableColumn id="12753" xr3:uid="{F4076C90-4488-44DB-BCC4-A75573C42F69}" name="Column12734"/>
    <tableColumn id="12754" xr3:uid="{44232F49-0BA3-4B0E-B7F1-9F6BD081F20E}" name="Column12735"/>
    <tableColumn id="12755" xr3:uid="{21A433DA-8219-49B5-98B7-69D060734B2A}" name="Column12736"/>
    <tableColumn id="12756" xr3:uid="{DEA8D26E-195B-40B1-99FD-8143A4710994}" name="Column12737"/>
    <tableColumn id="12757" xr3:uid="{09B8A4B7-C839-4870-B6D8-45E7D6F6962E}" name="Column12738"/>
    <tableColumn id="12758" xr3:uid="{52F04E17-3E17-43A5-BDCF-AC2C89F62303}" name="Column12739"/>
    <tableColumn id="12759" xr3:uid="{5B497D79-3646-4550-B390-4EB0078FF684}" name="Column12740"/>
    <tableColumn id="12760" xr3:uid="{6E09CEBD-BA02-41D2-89D3-DD7C6D09001E}" name="Column12741"/>
    <tableColumn id="12761" xr3:uid="{22129C59-1A9D-4EAF-B3FD-99886F21EB4B}" name="Column12742"/>
    <tableColumn id="12762" xr3:uid="{C0B5D7DE-41C4-42E7-AB2D-A3335CDA0AB7}" name="Column12743"/>
    <tableColumn id="12763" xr3:uid="{0ADC6164-5C00-41A8-B8A4-08AAC73D2A06}" name="Column12744"/>
    <tableColumn id="12764" xr3:uid="{A6BFAD40-25E6-402A-BE71-EF470279ED4C}" name="Column12745"/>
    <tableColumn id="12765" xr3:uid="{5455CA5E-2385-4A39-98CB-845F79375FCB}" name="Column12746"/>
    <tableColumn id="12766" xr3:uid="{7F5C943D-0C15-4D00-823F-33BC0C3CAD7D}" name="Column12747"/>
    <tableColumn id="12767" xr3:uid="{141B36AB-E81D-474F-A3BB-D2D34B56C53A}" name="Column12748"/>
    <tableColumn id="12768" xr3:uid="{03129607-A148-40A0-A411-D34EC3DCD033}" name="Column12749"/>
    <tableColumn id="12769" xr3:uid="{33777065-E09D-44D8-BE73-77C083086B38}" name="Column12750"/>
    <tableColumn id="12770" xr3:uid="{2A521BFB-6A8A-45AC-8D71-A8B8EDD76347}" name="Column12751"/>
    <tableColumn id="12771" xr3:uid="{565CCDBA-6F85-4C61-971B-947C726D6C87}" name="Column12752"/>
    <tableColumn id="12772" xr3:uid="{7B2A3C7F-49DD-411A-9806-466206DA763C}" name="Column12753"/>
    <tableColumn id="12773" xr3:uid="{98240D86-3870-4F44-BDFE-609E826098D4}" name="Column12754"/>
    <tableColumn id="12774" xr3:uid="{961DB552-AFCC-4933-AE61-2EC97AB527D5}" name="Column12755"/>
    <tableColumn id="12775" xr3:uid="{4A378F26-2F4C-4E93-A8CE-1F0E732DC3F7}" name="Column12756"/>
    <tableColumn id="12776" xr3:uid="{665C16A1-37B4-437F-AD4A-1FA09B671CDA}" name="Column12757"/>
    <tableColumn id="12777" xr3:uid="{43914DDC-6C1A-4A24-96E2-34C8B30392AF}" name="Column12758"/>
    <tableColumn id="12778" xr3:uid="{E7C79521-529C-4586-9EC2-EA3B48DB1F4D}" name="Column12759"/>
    <tableColumn id="12779" xr3:uid="{01D2FDC0-367A-464A-8FC6-F28B4429C89C}" name="Column12760"/>
    <tableColumn id="12780" xr3:uid="{562B4F54-2775-403D-890B-6B00A5833954}" name="Column12761"/>
    <tableColumn id="12781" xr3:uid="{1EB044DC-5604-48CC-A07D-43994BCE4571}" name="Column12762"/>
    <tableColumn id="12782" xr3:uid="{25AAC442-6711-4713-B5E6-3ED4E7622BB9}" name="Column12763"/>
    <tableColumn id="12783" xr3:uid="{ACDB9444-B3D3-4050-993D-C525BDBF555F}" name="Column12764"/>
    <tableColumn id="12784" xr3:uid="{88E2A357-233D-4AF8-B305-BA209B9245FB}" name="Column12765"/>
    <tableColumn id="12785" xr3:uid="{CDA9454A-C565-41A6-AA3B-D2D33AE4CC9C}" name="Column12766"/>
    <tableColumn id="12786" xr3:uid="{3222EA52-47DA-4742-8F92-056C5905E070}" name="Column12767"/>
    <tableColumn id="12787" xr3:uid="{87282518-1527-46AB-B71D-7BE08B137B3D}" name="Column12768"/>
    <tableColumn id="12788" xr3:uid="{12CF6A85-E690-4FAE-A379-9C588D369C7F}" name="Column12769"/>
    <tableColumn id="12789" xr3:uid="{1FE96711-C770-46C1-A052-20A4B97C22B8}" name="Column12770"/>
    <tableColumn id="12790" xr3:uid="{504E9220-E5FB-4916-8507-1F02E8CBB50E}" name="Column12771"/>
    <tableColumn id="12791" xr3:uid="{F22BAB82-5B3C-4B07-BA5D-100DF8D93A99}" name="Column12772"/>
    <tableColumn id="12792" xr3:uid="{A1136D36-6EB1-4F18-AA2D-19A18615F118}" name="Column12773"/>
    <tableColumn id="12793" xr3:uid="{5FC7BF20-F4A1-4F1E-940E-83B150C8B17D}" name="Column12774"/>
    <tableColumn id="12794" xr3:uid="{A7F91B08-58C7-4490-A7C8-FC3BF69BF967}" name="Column12775"/>
    <tableColumn id="12795" xr3:uid="{0F236DEF-D47E-4E37-B18C-50BB8BCAEF9A}" name="Column12776"/>
    <tableColumn id="12796" xr3:uid="{10C37EDB-8A03-4EEC-A1A0-BE14EE9D8225}" name="Column12777"/>
    <tableColumn id="12797" xr3:uid="{6B8CD988-BCD9-4809-B932-F8F1AB57E255}" name="Column12778"/>
    <tableColumn id="12798" xr3:uid="{FD18E1CE-0931-47A6-9B26-12608CBB69A3}" name="Column12779"/>
    <tableColumn id="12799" xr3:uid="{0C765B19-55B4-4CD0-AFC6-4793CF949BCF}" name="Column12780"/>
    <tableColumn id="12800" xr3:uid="{423D97C0-24BA-46CC-923E-D3A351C9DD1E}" name="Column12781"/>
    <tableColumn id="12801" xr3:uid="{B6D4678C-35E6-4868-9B7C-9A6D0E5F5421}" name="Column12782"/>
    <tableColumn id="12802" xr3:uid="{819E8556-9C19-4223-95C8-D9EB0821A8BD}" name="Column12783"/>
    <tableColumn id="12803" xr3:uid="{7684707D-8F42-41C6-8E2C-DD7A9A746F00}" name="Column12784"/>
    <tableColumn id="12804" xr3:uid="{06DFFF75-6956-4C1D-BEF6-84E09C845A36}" name="Column12785"/>
    <tableColumn id="12805" xr3:uid="{4B30BEEB-22FC-4171-8F67-3C8649CD3691}" name="Column12786"/>
    <tableColumn id="12806" xr3:uid="{3703973E-B7F2-46F1-BEF1-A4091AE06D7F}" name="Column12787"/>
    <tableColumn id="12807" xr3:uid="{0B14CE5A-9ADB-4DDE-A86D-97F2B4ECC487}" name="Column12788"/>
    <tableColumn id="12808" xr3:uid="{E06B9082-C38E-4471-ADC9-3335DFF014F8}" name="Column12789"/>
    <tableColumn id="12809" xr3:uid="{98532665-B812-4602-A77B-865B891FCB71}" name="Column12790"/>
    <tableColumn id="12810" xr3:uid="{0FCCD948-A90B-46C2-BB40-1BB7A8E9071C}" name="Column12791"/>
    <tableColumn id="12811" xr3:uid="{868D6C77-B2CD-438A-81EA-EFA239560CD4}" name="Column12792"/>
    <tableColumn id="12812" xr3:uid="{C0351DED-9669-4DEF-AC70-DDA73DA653AD}" name="Column12793"/>
    <tableColumn id="12813" xr3:uid="{A514F9C2-0693-477F-857F-F5A71126515E}" name="Column12794"/>
    <tableColumn id="12814" xr3:uid="{C934F3B2-12EE-460F-8D5E-34C8837DE420}" name="Column12795"/>
    <tableColumn id="12815" xr3:uid="{77DDD8EF-3A3C-4680-B6CD-79A4F32DCDF4}" name="Column12796"/>
    <tableColumn id="12816" xr3:uid="{F4820826-C944-4C6D-A760-4CCBAF8364FC}" name="Column12797"/>
    <tableColumn id="12817" xr3:uid="{F1496318-7A14-4E4F-BAF8-176B67609E45}" name="Column12798"/>
    <tableColumn id="12818" xr3:uid="{C2AE4A36-3CDB-4E4B-BFB5-F61755945E0C}" name="Column12799"/>
    <tableColumn id="12819" xr3:uid="{05F7BD21-FD23-40DB-9329-5D059D216C93}" name="Column12800"/>
    <tableColumn id="12820" xr3:uid="{6DF48E53-F743-492A-9C0A-953C83481E0F}" name="Column12801"/>
    <tableColumn id="12821" xr3:uid="{FE1A2760-FF93-4648-AA88-90965D8DF852}" name="Column12802"/>
    <tableColumn id="12822" xr3:uid="{8B8C36C4-0966-4496-8DDA-BB262C23BD4E}" name="Column12803"/>
    <tableColumn id="12823" xr3:uid="{188897DC-EEF8-4C37-8BA1-87D84AC9AD23}" name="Column12804"/>
    <tableColumn id="12824" xr3:uid="{137730D7-CC22-4F64-BE9A-D148F0CB731B}" name="Column12805"/>
    <tableColumn id="12825" xr3:uid="{BBC5A75A-D4F0-4904-B2D8-47184D92F7DB}" name="Column12806"/>
    <tableColumn id="12826" xr3:uid="{FE340685-A3AF-4552-B288-1F383C259AB4}" name="Column12807"/>
    <tableColumn id="12827" xr3:uid="{B84702AA-8D95-4320-9867-22DA64B5DF01}" name="Column12808"/>
    <tableColumn id="12828" xr3:uid="{88EFE308-71A2-4267-A075-CDFED26B8E3D}" name="Column12809"/>
    <tableColumn id="12829" xr3:uid="{97D79C8C-37EB-4761-93EB-D0491741C2F5}" name="Column12810"/>
    <tableColumn id="12830" xr3:uid="{7CCDD419-B52B-4244-B6BA-F1796BB1C114}" name="Column12811"/>
    <tableColumn id="12831" xr3:uid="{9A50562A-D9E3-444B-A9BC-AC0AE5E58145}" name="Column12812"/>
    <tableColumn id="12832" xr3:uid="{2D1A4066-A9C1-4147-8B77-606739277835}" name="Column12813"/>
    <tableColumn id="12833" xr3:uid="{79B3E781-681D-4693-AB67-8313E9E8878C}" name="Column12814"/>
    <tableColumn id="12834" xr3:uid="{DED0BEB5-6577-44E3-90AF-2C26CB0E9B64}" name="Column12815"/>
    <tableColumn id="12835" xr3:uid="{56E4C358-460E-4AFE-8133-F7C4FF409B8D}" name="Column12816"/>
    <tableColumn id="12836" xr3:uid="{DA38483C-7551-4F67-A571-D2909CBADFED}" name="Column12817"/>
    <tableColumn id="12837" xr3:uid="{4226D271-DD49-461B-B013-27CFC73C8673}" name="Column12818"/>
    <tableColumn id="12838" xr3:uid="{34A8F7CF-13FC-4F62-B398-35F9F78A70D2}" name="Column12819"/>
    <tableColumn id="12839" xr3:uid="{9E7F9573-2899-4AED-A883-87B86FB9D5EC}" name="Column12820"/>
    <tableColumn id="12840" xr3:uid="{ECC4021E-AF97-422B-890B-192754707848}" name="Column12821"/>
    <tableColumn id="12841" xr3:uid="{E4FD3333-76D6-4347-B711-F4ED4630A079}" name="Column12822"/>
    <tableColumn id="12842" xr3:uid="{1758E719-5D32-4DA0-85C2-3665F8CC1E47}" name="Column12823"/>
    <tableColumn id="12843" xr3:uid="{33A039F2-A5B8-4F59-8D23-CC534C1D8259}" name="Column12824"/>
    <tableColumn id="12844" xr3:uid="{F3AD62CC-6A12-4EB9-8F1D-26FAE3080784}" name="Column12825"/>
    <tableColumn id="12845" xr3:uid="{37CBB8EA-6E2F-471B-A8B2-774AC039752E}" name="Column12826"/>
    <tableColumn id="12846" xr3:uid="{AE33CA29-F383-45ED-BD54-E5F024C0D153}" name="Column12827"/>
    <tableColumn id="12847" xr3:uid="{F885028F-73D0-4CF7-9EE8-C37619895C64}" name="Column12828"/>
    <tableColumn id="12848" xr3:uid="{5BC47209-1F2D-4D2B-B13F-A52D7440A2C9}" name="Column12829"/>
    <tableColumn id="12849" xr3:uid="{3AA5E04B-791E-4524-85CA-BBCBFC8AF6CC}" name="Column12830"/>
    <tableColumn id="12850" xr3:uid="{2256F1E8-C1CE-4F69-AC7A-97B6A8FCC7F2}" name="Column12831"/>
    <tableColumn id="12851" xr3:uid="{3436F21C-97DC-4C43-AD9A-A830AD051C3E}" name="Column12832"/>
    <tableColumn id="12852" xr3:uid="{77235213-1981-440E-B9A3-34D509021497}" name="Column12833"/>
    <tableColumn id="12853" xr3:uid="{89ED4D30-96EF-4B40-A94C-5891784A3458}" name="Column12834"/>
    <tableColumn id="12854" xr3:uid="{CAACF0DC-EA64-4DE8-85BC-3377A348FBEB}" name="Column12835"/>
    <tableColumn id="12855" xr3:uid="{9C22810C-3D3A-48C4-A9FA-0FDDF8698C53}" name="Column12836"/>
    <tableColumn id="12856" xr3:uid="{E8B30184-A16E-4B19-B1CF-D96686BD5D67}" name="Column12837"/>
    <tableColumn id="12857" xr3:uid="{5B51570B-F149-40A5-9CC4-E07B84674F51}" name="Column12838"/>
    <tableColumn id="12858" xr3:uid="{0D778D4E-C989-4A83-8006-4030084FE32B}" name="Column12839"/>
    <tableColumn id="12859" xr3:uid="{DE6D8246-FEBD-4297-B864-D46BDA4D86E2}" name="Column12840"/>
    <tableColumn id="12860" xr3:uid="{66527336-0D05-4534-A02F-C6DA629DD431}" name="Column12841"/>
    <tableColumn id="12861" xr3:uid="{1277A5FE-3AA0-43C9-9415-5762488B5FBE}" name="Column12842"/>
    <tableColumn id="12862" xr3:uid="{BDB00871-24AB-48E7-A243-569038B5A394}" name="Column12843"/>
    <tableColumn id="12863" xr3:uid="{8C66CDC2-A1D4-4F3C-B642-EDEE92A6348E}" name="Column12844"/>
    <tableColumn id="12864" xr3:uid="{3D187260-41F7-4896-A4B6-E891DFE55547}" name="Column12845"/>
    <tableColumn id="12865" xr3:uid="{E0BFF15C-D066-4DB9-BE55-5B0CCCE27841}" name="Column12846"/>
    <tableColumn id="12866" xr3:uid="{EBED59AF-6D8E-44D4-A49D-4D8CB96C0715}" name="Column12847"/>
    <tableColumn id="12867" xr3:uid="{00FD9B78-CF6E-4E53-A976-1685B423F1EF}" name="Column12848"/>
    <tableColumn id="12868" xr3:uid="{9F9FDCAE-5213-4D94-A0B7-8D40384B7E99}" name="Column12849"/>
    <tableColumn id="12869" xr3:uid="{19AC0632-C45E-40AF-AAFE-45197D08B2A4}" name="Column12850"/>
    <tableColumn id="12870" xr3:uid="{C6FEBA3F-D47C-49EA-B65B-4318E4B2405A}" name="Column12851"/>
    <tableColumn id="12871" xr3:uid="{DEA7A790-FBF9-44A1-861F-0FB05D30E258}" name="Column12852"/>
    <tableColumn id="12872" xr3:uid="{442B2368-9272-450A-94F5-35200A4192FF}" name="Column12853"/>
    <tableColumn id="12873" xr3:uid="{249E91A9-E7AC-4819-9D6A-53AFE6D51998}" name="Column12854"/>
    <tableColumn id="12874" xr3:uid="{797DDE00-9C8B-4221-9538-CAD44E7323F2}" name="Column12855"/>
    <tableColumn id="12875" xr3:uid="{C9FE9C11-AE03-45B9-AB37-0429F7D91189}" name="Column12856"/>
    <tableColumn id="12876" xr3:uid="{751E8144-3475-49E7-A0A3-F739B0F963F9}" name="Column12857"/>
    <tableColumn id="12877" xr3:uid="{93506A20-46AF-4FD6-878E-F687CEB2F556}" name="Column12858"/>
    <tableColumn id="12878" xr3:uid="{46BB5B0B-95F4-4DFF-AAE8-D795AD0468DB}" name="Column12859"/>
    <tableColumn id="12879" xr3:uid="{BD60C38A-E1F8-4603-BC2B-97AC57A01B1B}" name="Column12860"/>
    <tableColumn id="12880" xr3:uid="{A6A90F17-6DBD-4A46-AB87-C9A524476417}" name="Column12861"/>
    <tableColumn id="12881" xr3:uid="{FA8D0857-6F68-4B81-8593-E1C17DF66D10}" name="Column12862"/>
    <tableColumn id="12882" xr3:uid="{C5B555A6-A313-4ABC-B155-7C1B5BA411F2}" name="Column12863"/>
    <tableColumn id="12883" xr3:uid="{A2433CE2-8673-479F-9194-C9B8105A4FE4}" name="Column12864"/>
    <tableColumn id="12884" xr3:uid="{6BA2C9A0-5500-4CD7-9F19-19F4958CFF89}" name="Column12865"/>
    <tableColumn id="12885" xr3:uid="{C795CC33-C20E-40F5-821A-E96F94464DFF}" name="Column12866"/>
    <tableColumn id="12886" xr3:uid="{0173DF44-8E66-459E-9CD7-C5FB4E138020}" name="Column12867"/>
    <tableColumn id="12887" xr3:uid="{A8A97C13-BC6A-4C0D-8611-670F082A8123}" name="Column12868"/>
    <tableColumn id="12888" xr3:uid="{83B627ED-A94A-4500-9E9C-1FB2C6E79551}" name="Column12869"/>
    <tableColumn id="12889" xr3:uid="{84B36409-30E5-4A25-9797-FA64C63764BC}" name="Column12870"/>
    <tableColumn id="12890" xr3:uid="{9A7CEE0B-128B-4749-9FDE-01456802246C}" name="Column12871"/>
    <tableColumn id="12891" xr3:uid="{90FC2061-4EE4-4B67-A4F3-63DF3BB9D5C9}" name="Column12872"/>
    <tableColumn id="12892" xr3:uid="{1E2698CF-3AC0-4AB4-81AD-5F66742C72D5}" name="Column12873"/>
    <tableColumn id="12893" xr3:uid="{B01169C3-AFE7-41DC-B5B0-8A1332AC17A2}" name="Column12874"/>
    <tableColumn id="12894" xr3:uid="{3379A53B-D97E-4A91-B8D9-E964F4AA760D}" name="Column12875"/>
    <tableColumn id="12895" xr3:uid="{AD22745F-3783-4CCC-BB39-FAD7D6B12A88}" name="Column12876"/>
    <tableColumn id="12896" xr3:uid="{9FC9966C-1C15-4793-85BB-6A2876C7E6E0}" name="Column12877"/>
    <tableColumn id="12897" xr3:uid="{4ED48D46-F5DC-4F83-B6E1-83A0E7C57A1B}" name="Column12878"/>
    <tableColumn id="12898" xr3:uid="{69CCCE23-1A71-4967-B2F7-68B5197CA94A}" name="Column12879"/>
    <tableColumn id="12899" xr3:uid="{E6490BF3-BAE3-4B24-8A12-A4E0435EAFDE}" name="Column12880"/>
    <tableColumn id="12900" xr3:uid="{05E87097-851D-4A86-AEEA-746EEB0D9737}" name="Column12881"/>
    <tableColumn id="12901" xr3:uid="{14D40126-0DA7-4DA9-AA78-D9929BF7CFD6}" name="Column12882"/>
    <tableColumn id="12902" xr3:uid="{64A66195-6461-41F5-8609-C1E6B766E66F}" name="Column12883"/>
    <tableColumn id="12903" xr3:uid="{CEC3F76E-D9CD-4E36-99B5-FCD2348F4E78}" name="Column12884"/>
    <tableColumn id="12904" xr3:uid="{8956F3D7-E43A-4221-8BDD-539E9E196DA0}" name="Column12885"/>
    <tableColumn id="12905" xr3:uid="{1B7C48F8-8FEF-4AE3-9C27-4D70944E2BB9}" name="Column12886"/>
    <tableColumn id="12906" xr3:uid="{1696F019-B96D-42B0-A43E-206436586CBB}" name="Column12887"/>
    <tableColumn id="12907" xr3:uid="{1337C499-F7EC-4BA4-850B-7E6E47A5F7E3}" name="Column12888"/>
    <tableColumn id="12908" xr3:uid="{32C539F8-0DBA-453B-AC39-6634CA583A3E}" name="Column12889"/>
    <tableColumn id="12909" xr3:uid="{DDECE2FF-8D65-42B9-BC03-DAD114F950A7}" name="Column12890"/>
    <tableColumn id="12910" xr3:uid="{6A5AB783-6186-45D1-9012-EE30AE0B338D}" name="Column12891"/>
    <tableColumn id="12911" xr3:uid="{B3C02B5E-CDAF-4D4D-BBEE-2D565B0BCDFE}" name="Column12892"/>
    <tableColumn id="12912" xr3:uid="{02015634-ABC4-4330-A324-C3A720F7C904}" name="Column12893"/>
    <tableColumn id="12913" xr3:uid="{315D5EF8-F8BC-480C-97F5-9CB195785C52}" name="Column12894"/>
    <tableColumn id="12914" xr3:uid="{A6E8F548-9510-417E-8C1A-4F8327879B08}" name="Column12895"/>
    <tableColumn id="12915" xr3:uid="{74F22C5F-458F-40A0-9DC5-ACC23084D226}" name="Column12896"/>
    <tableColumn id="12916" xr3:uid="{5E5161B8-7759-4605-9468-6A1690AEEF1A}" name="Column12897"/>
    <tableColumn id="12917" xr3:uid="{AD09EB2B-6250-4349-98C2-435AE34B9650}" name="Column12898"/>
    <tableColumn id="12918" xr3:uid="{B7682F15-9E37-46E2-9C3C-7B34125C06DF}" name="Column12899"/>
    <tableColumn id="12919" xr3:uid="{AA1193DE-EA2A-4F03-8C6D-F52F1899D4F9}" name="Column12900"/>
    <tableColumn id="12920" xr3:uid="{7EAE04D8-F8C7-41EF-90D0-15DA86280BCB}" name="Column12901"/>
    <tableColumn id="12921" xr3:uid="{FD9A15E2-349D-4897-B8CD-B482E5C33CF9}" name="Column12902"/>
    <tableColumn id="12922" xr3:uid="{82CFD193-7A2C-4582-923B-F711F82447BA}" name="Column12903"/>
    <tableColumn id="12923" xr3:uid="{14D2BCE8-C125-4598-9B52-024C554FD09A}" name="Column12904"/>
    <tableColumn id="12924" xr3:uid="{B15B00A9-AF53-431D-A494-9C2AECD200C6}" name="Column12905"/>
    <tableColumn id="12925" xr3:uid="{BF6844BC-28A9-4E26-AB0A-D1FC56186775}" name="Column12906"/>
    <tableColumn id="12926" xr3:uid="{B009943C-CB78-4464-ADAA-CC86FF6BC308}" name="Column12907"/>
    <tableColumn id="12927" xr3:uid="{748ADCA9-A071-4682-BCAD-08E42BB1DAF9}" name="Column12908"/>
    <tableColumn id="12928" xr3:uid="{9D747C88-44C2-4B4E-85EB-9500B6537CC7}" name="Column12909"/>
    <tableColumn id="12929" xr3:uid="{78D819BB-0E41-434C-A2C2-821436E3D696}" name="Column12910"/>
    <tableColumn id="12930" xr3:uid="{510281C1-234F-4459-A3D0-ECC8C58EACCA}" name="Column12911"/>
    <tableColumn id="12931" xr3:uid="{76EAF5C7-A569-4E87-9244-2ADF491310AE}" name="Column12912"/>
    <tableColumn id="12932" xr3:uid="{CE739E8F-5FBE-40DD-BB12-141542F152EE}" name="Column12913"/>
    <tableColumn id="12933" xr3:uid="{3A0BB94E-911C-4F7A-B70F-D970D8B573B7}" name="Column12914"/>
    <tableColumn id="12934" xr3:uid="{F6E1D5BB-9B91-44AB-9D6D-0DEE6CA59A8F}" name="Column12915"/>
    <tableColumn id="12935" xr3:uid="{B998B8C2-8369-46A6-B241-2B71FDB2192F}" name="Column12916"/>
    <tableColumn id="12936" xr3:uid="{A3C662A5-5DCF-4B0F-AFBD-15EF04D52A5B}" name="Column12917"/>
    <tableColumn id="12937" xr3:uid="{6C72A4E9-5C25-4490-9075-F841DF6B0161}" name="Column12918"/>
    <tableColumn id="12938" xr3:uid="{8E5CF0EF-7993-4147-9F5C-46F2513352AD}" name="Column12919"/>
    <tableColumn id="12939" xr3:uid="{515E74EC-2504-43F5-9C38-235393C35C18}" name="Column12920"/>
    <tableColumn id="12940" xr3:uid="{65074BFF-31FF-4346-A3D5-5D4DF6F6A281}" name="Column12921"/>
    <tableColumn id="12941" xr3:uid="{64EC24CC-D3AF-46B9-B9B0-6D5846A3777E}" name="Column12922"/>
    <tableColumn id="12942" xr3:uid="{B66D795C-B700-410B-B11A-FF9DF6362662}" name="Column12923"/>
    <tableColumn id="12943" xr3:uid="{66F2124B-28DB-4FC6-BAAF-A7CF7E7E99AB}" name="Column12924"/>
    <tableColumn id="12944" xr3:uid="{A7918C59-98B2-4AA5-80FB-F58097DB2F0E}" name="Column12925"/>
    <tableColumn id="12945" xr3:uid="{2D88F49D-6057-457B-8571-5F3B0522462E}" name="Column12926"/>
    <tableColumn id="12946" xr3:uid="{885A637F-F1FA-4EB9-8D4D-A43E101D3020}" name="Column12927"/>
    <tableColumn id="12947" xr3:uid="{54902E47-8CA5-4036-ACE5-04D87246965C}" name="Column12928"/>
    <tableColumn id="12948" xr3:uid="{A2F11463-6B03-4BB7-A1CD-E9B17E812C36}" name="Column12929"/>
    <tableColumn id="12949" xr3:uid="{17CAECBD-644F-43FC-BD24-E0EA5ABE01A7}" name="Column12930"/>
    <tableColumn id="12950" xr3:uid="{842E9929-9C43-4AF8-87A3-01900D65FE11}" name="Column12931"/>
    <tableColumn id="12951" xr3:uid="{9CE84C31-A823-475E-94D7-ABA0BDC5F1B0}" name="Column12932"/>
    <tableColumn id="12952" xr3:uid="{1DA29FB1-3413-4F6B-82A0-F5F4E73CF05A}" name="Column12933"/>
    <tableColumn id="12953" xr3:uid="{9D9D4E92-631F-455A-BFC0-E1FEC988413D}" name="Column12934"/>
    <tableColumn id="12954" xr3:uid="{2B4BA428-7E79-4433-B7D6-E4CEEE3358A5}" name="Column12935"/>
    <tableColumn id="12955" xr3:uid="{A3AE5BD1-3C05-46EC-AD62-FB1B8898C1FA}" name="Column12936"/>
    <tableColumn id="12956" xr3:uid="{327C6BA1-7279-408C-93E7-AEB937387B2E}" name="Column12937"/>
    <tableColumn id="12957" xr3:uid="{D77DF89A-8469-48C4-9A38-8C49467C5796}" name="Column12938"/>
    <tableColumn id="12958" xr3:uid="{74C8D984-B3D0-4C49-90DB-61B70A284062}" name="Column12939"/>
    <tableColumn id="12959" xr3:uid="{3F38946A-65AF-40BD-8A9E-0C6FAD77CFAC}" name="Column12940"/>
    <tableColumn id="12960" xr3:uid="{DD3E0E9C-CE7F-4D57-892B-2398FA77BAF3}" name="Column12941"/>
    <tableColumn id="12961" xr3:uid="{1089547B-DEA8-4650-B2EF-60976D1C9E27}" name="Column12942"/>
    <tableColumn id="12962" xr3:uid="{D20CB2E9-07CF-4C2B-A4F8-916B12202467}" name="Column12943"/>
    <tableColumn id="12963" xr3:uid="{4D3F6B8C-12A7-4FBE-A036-F7F26E9347C9}" name="Column12944"/>
    <tableColumn id="12964" xr3:uid="{06C74F20-DD79-4C91-B5AF-C541EC9B1F4B}" name="Column12945"/>
    <tableColumn id="12965" xr3:uid="{6900B917-A949-47CB-9D8D-F4115368F695}" name="Column12946"/>
    <tableColumn id="12966" xr3:uid="{0367C506-14E1-4F16-8B64-7BF2BB03DD31}" name="Column12947"/>
    <tableColumn id="12967" xr3:uid="{F9874F87-11AF-4F36-B99A-FC7D375BA563}" name="Column12948"/>
    <tableColumn id="12968" xr3:uid="{B9DCBFDD-09FB-4FB7-9BF1-962D0C0CAF4B}" name="Column12949"/>
    <tableColumn id="12969" xr3:uid="{043D8509-0847-43AC-8A59-321D57A30A59}" name="Column12950"/>
    <tableColumn id="12970" xr3:uid="{FE1E3D3E-D5D8-408D-A873-1AE871C07612}" name="Column12951"/>
    <tableColumn id="12971" xr3:uid="{96BBD3B4-919C-47F9-BB4C-66B88D348368}" name="Column12952"/>
    <tableColumn id="12972" xr3:uid="{E41E77EF-80AE-4428-8213-0A7D469BBC01}" name="Column12953"/>
    <tableColumn id="12973" xr3:uid="{4A1D5300-E093-4F4B-968B-53A1FD8DB593}" name="Column12954"/>
    <tableColumn id="12974" xr3:uid="{72D2F941-F1D7-46D6-A691-5A31FD21C5D6}" name="Column12955"/>
    <tableColumn id="12975" xr3:uid="{1744BB16-C91D-4BD9-A97A-A4B603478040}" name="Column12956"/>
    <tableColumn id="12976" xr3:uid="{2A8F0CEE-49EE-48D6-AE83-B2C79BDBAAA8}" name="Column12957"/>
    <tableColumn id="12977" xr3:uid="{F8BD44C2-F255-4AF7-845B-459918B063F6}" name="Column12958"/>
    <tableColumn id="12978" xr3:uid="{F8F41BA0-830D-4C4D-B957-B882BFFCE551}" name="Column12959"/>
    <tableColumn id="12979" xr3:uid="{6005C342-722D-4CEC-B79E-A7919F5D14D5}" name="Column12960"/>
    <tableColumn id="12980" xr3:uid="{FF45C417-24EC-4136-9145-69513F53C01F}" name="Column12961"/>
    <tableColumn id="12981" xr3:uid="{04921649-12FE-41DA-82FF-A818ECD3A595}" name="Column12962"/>
    <tableColumn id="12982" xr3:uid="{343283B7-CEA4-4196-805E-7A1A884EE20D}" name="Column12963"/>
    <tableColumn id="12983" xr3:uid="{75E6BFC0-6810-40FA-95E6-74C53D9465C2}" name="Column12964"/>
    <tableColumn id="12984" xr3:uid="{C6F110C4-A69A-40A8-AC6B-30D0A0ED3CB0}" name="Column12965"/>
    <tableColumn id="12985" xr3:uid="{663B79F7-E0DA-47FC-B96C-8AD7DB13F7A0}" name="Column12966"/>
    <tableColumn id="12986" xr3:uid="{94BF7020-CA52-4D69-92A8-5E0EEDE99827}" name="Column12967"/>
    <tableColumn id="12987" xr3:uid="{2CFD4A3B-C072-420F-B1EB-091488E3E751}" name="Column12968"/>
    <tableColumn id="12988" xr3:uid="{A954F44E-428F-4CD8-B19A-9C94949F595E}" name="Column12969"/>
    <tableColumn id="12989" xr3:uid="{27462C83-D350-45DC-B554-FE70F8D76716}" name="Column12970"/>
    <tableColumn id="12990" xr3:uid="{77F8493B-353D-46CC-815E-F84254B74FF4}" name="Column12971"/>
    <tableColumn id="12991" xr3:uid="{2809003F-5DE7-4AF1-881C-B978D206A7C2}" name="Column12972"/>
    <tableColumn id="12992" xr3:uid="{DF7F2DB1-1A59-4421-93CE-D6C2AAA8C028}" name="Column12973"/>
    <tableColumn id="12993" xr3:uid="{1FC3C2F4-4169-4F17-9E2E-D8D8F5099777}" name="Column12974"/>
    <tableColumn id="12994" xr3:uid="{DDB0F443-7B62-4CC9-B9BE-E5599DA5A5DC}" name="Column12975"/>
    <tableColumn id="12995" xr3:uid="{ADA08842-EABF-4C38-A48D-C3C146F8C494}" name="Column12976"/>
    <tableColumn id="12996" xr3:uid="{50EFA04A-E3B8-4E07-9CA8-3780313A4D7F}" name="Column12977"/>
    <tableColumn id="12997" xr3:uid="{57FCE04D-9D2C-4781-AEF1-6A5D5DCA0A34}" name="Column12978"/>
    <tableColumn id="12998" xr3:uid="{EB6AB23E-9F36-4C9C-8881-42693541D0F6}" name="Column12979"/>
    <tableColumn id="12999" xr3:uid="{E9875C32-4D13-48B5-829B-9419E22D7441}" name="Column12980"/>
    <tableColumn id="13000" xr3:uid="{98E61650-2091-4E2F-A4A0-28A2F9E92301}" name="Column12981"/>
    <tableColumn id="13001" xr3:uid="{E69B8030-A883-4A6E-BDB2-B71D4964F7F8}" name="Column12982"/>
    <tableColumn id="13002" xr3:uid="{A2B96F90-1CF2-46D7-8F33-6E6B5F509686}" name="Column12983"/>
    <tableColumn id="13003" xr3:uid="{5D3BC119-A3B6-41E5-BD1E-71B449757508}" name="Column12984"/>
    <tableColumn id="13004" xr3:uid="{6EFD1F21-87F4-4F04-9759-2AD206E003FE}" name="Column12985"/>
    <tableColumn id="13005" xr3:uid="{9E71FEC8-D0A0-491C-903B-841E8BA5CFF5}" name="Column12986"/>
    <tableColumn id="13006" xr3:uid="{CE448460-48BA-4500-A01C-8D6E9C64CEBF}" name="Column12987"/>
    <tableColumn id="13007" xr3:uid="{02E9CC3C-62EF-4B84-B4FA-891A3BA2973A}" name="Column12988"/>
    <tableColumn id="13008" xr3:uid="{BCDF31EB-95A7-4F97-85A7-17A1CC0A049D}" name="Column12989"/>
    <tableColumn id="13009" xr3:uid="{14262A5D-B770-4EE3-B5FD-02DBB0D36711}" name="Column12990"/>
    <tableColumn id="13010" xr3:uid="{E9322383-45E8-4BBC-BA5E-50F8F4D5C594}" name="Column12991"/>
    <tableColumn id="13011" xr3:uid="{ED1F7549-F803-454B-9927-A811A8FA2E19}" name="Column12992"/>
    <tableColumn id="13012" xr3:uid="{D275FB55-3043-499C-BABD-609FCDF9BCC8}" name="Column12993"/>
    <tableColumn id="13013" xr3:uid="{E8D8ADA9-0D38-4765-805F-FD0CF76D835D}" name="Column12994"/>
    <tableColumn id="13014" xr3:uid="{BF429EA1-0E17-43EC-BFFA-B0F29B781F94}" name="Column12995"/>
    <tableColumn id="13015" xr3:uid="{D9F9AD4F-2E76-45E3-8A46-442DBB824687}" name="Column12996"/>
    <tableColumn id="13016" xr3:uid="{A0815EE4-C2E5-44EC-95F5-7A2BC8013553}" name="Column12997"/>
    <tableColumn id="13017" xr3:uid="{727F9173-4234-41FD-9895-135948835CBF}" name="Column12998"/>
    <tableColumn id="13018" xr3:uid="{3521D97A-2734-4A92-9B1A-4B0D02F3EE4D}" name="Column12999"/>
    <tableColumn id="13019" xr3:uid="{1CCD7158-2561-45AE-B932-BFE3338599FF}" name="Column13000"/>
    <tableColumn id="13020" xr3:uid="{DEC88F26-9F09-4B51-BACD-9CFFDF7C698F}" name="Column13001"/>
    <tableColumn id="13021" xr3:uid="{BAAC2BDE-5BD8-40D1-92C4-E21B47C6B501}" name="Column13002"/>
    <tableColumn id="13022" xr3:uid="{5B0574BF-F0E8-4038-84AB-81BE4737AFA5}" name="Column13003"/>
    <tableColumn id="13023" xr3:uid="{32E04339-68D6-4922-BE5C-8AEADF722969}" name="Column13004"/>
    <tableColumn id="13024" xr3:uid="{A96B3453-B9CB-4D12-8D75-D6D9259656EF}" name="Column13005"/>
    <tableColumn id="13025" xr3:uid="{C8784867-F77A-49C3-B6CA-938DA0EDB406}" name="Column13006"/>
    <tableColumn id="13026" xr3:uid="{8534DF5C-FF90-40AB-AB62-CCC35B320385}" name="Column13007"/>
    <tableColumn id="13027" xr3:uid="{49AFEB9D-5441-41A8-8B09-AEBA05808264}" name="Column13008"/>
    <tableColumn id="13028" xr3:uid="{2770782D-6267-4FD0-993B-B50CFC0CCE80}" name="Column13009"/>
    <tableColumn id="13029" xr3:uid="{EB626026-8F9F-4C7E-BB17-D21DE16F4A57}" name="Column13010"/>
    <tableColumn id="13030" xr3:uid="{0DB1D97B-2831-4A44-9960-5B9994977534}" name="Column13011"/>
    <tableColumn id="13031" xr3:uid="{F1DB1B06-0906-4ACC-ADEC-C64FE72290B7}" name="Column13012"/>
    <tableColumn id="13032" xr3:uid="{734139C8-9157-4757-92DC-F832299D04D3}" name="Column13013"/>
    <tableColumn id="13033" xr3:uid="{0CB8D3CF-2158-4EEE-BABC-DE4211E93880}" name="Column13014"/>
    <tableColumn id="13034" xr3:uid="{1232F7F3-7C98-4E6A-B123-E733496EE5C6}" name="Column13015"/>
    <tableColumn id="13035" xr3:uid="{3DCB6AB7-39BA-40EF-8CEB-AFE065CC4882}" name="Column13016"/>
    <tableColumn id="13036" xr3:uid="{B72851CA-93B0-4364-A0A6-FDCFCE708530}" name="Column13017"/>
    <tableColumn id="13037" xr3:uid="{90F4F84F-DB41-4D46-8DF9-94A885D3C9CB}" name="Column13018"/>
    <tableColumn id="13038" xr3:uid="{B0CB54D1-1B04-4A22-9A23-923C6FADB147}" name="Column13019"/>
    <tableColumn id="13039" xr3:uid="{13B32751-1931-4AF1-9A95-E1B87DF48C8F}" name="Column13020"/>
    <tableColumn id="13040" xr3:uid="{F740C0A0-CCA0-4FFC-9820-1F23C2970316}" name="Column13021"/>
    <tableColumn id="13041" xr3:uid="{8A5342DA-3FD9-4F4F-9341-6E268CC11DF1}" name="Column13022"/>
    <tableColumn id="13042" xr3:uid="{EEC2C004-739A-4760-9831-26F688DEE59F}" name="Column13023"/>
    <tableColumn id="13043" xr3:uid="{C51C3750-0397-470B-B5A8-5C08E9DD901D}" name="Column13024"/>
    <tableColumn id="13044" xr3:uid="{FCAC0BAF-6336-4DBC-A865-B0D73456CD15}" name="Column13025"/>
    <tableColumn id="13045" xr3:uid="{24915859-34FE-4853-AA89-54FBC5C9FA42}" name="Column13026"/>
    <tableColumn id="13046" xr3:uid="{AFE5FE3A-E36A-4600-A0CE-5C73A3BA2EF5}" name="Column13027"/>
    <tableColumn id="13047" xr3:uid="{A308FC95-C76C-478D-AC6E-69564B0D7F35}" name="Column13028"/>
    <tableColumn id="13048" xr3:uid="{FEA27229-27DF-49F5-97B5-C6FB32B0EDCF}" name="Column13029"/>
    <tableColumn id="13049" xr3:uid="{9267D5D5-FBE2-470B-AA22-745E1BC176CD}" name="Column13030"/>
    <tableColumn id="13050" xr3:uid="{A8A9C332-5C45-4AFE-9203-227E6C833865}" name="Column13031"/>
    <tableColumn id="13051" xr3:uid="{9426319E-DF90-4361-A5CB-DA3BD1B21480}" name="Column13032"/>
    <tableColumn id="13052" xr3:uid="{9987F235-10D0-4DEF-A47B-C8A3E1AA8884}" name="Column13033"/>
    <tableColumn id="13053" xr3:uid="{9873EE52-7A6B-4643-B450-9BBD6C7C5584}" name="Column13034"/>
    <tableColumn id="13054" xr3:uid="{9418A0B5-023A-4949-B561-CE074443DFF6}" name="Column13035"/>
    <tableColumn id="13055" xr3:uid="{B3BE1C41-A106-4114-8635-302D8290ED55}" name="Column13036"/>
    <tableColumn id="13056" xr3:uid="{EA9527FC-7427-4A57-9793-792402A95499}" name="Column13037"/>
    <tableColumn id="13057" xr3:uid="{1A5925AF-0DAC-4DD5-A00D-17AA9DC174D0}" name="Column13038"/>
    <tableColumn id="13058" xr3:uid="{E89E0C2B-B99D-4E56-AC91-1F34F39CF0B7}" name="Column13039"/>
    <tableColumn id="13059" xr3:uid="{81E82576-A58D-4261-9009-6BB88F9B0A01}" name="Column13040"/>
    <tableColumn id="13060" xr3:uid="{27544BF9-CA9E-40B9-BE44-F2A84B48F9F7}" name="Column13041"/>
    <tableColumn id="13061" xr3:uid="{9FB4F864-E1F4-455F-9946-C4BBB2FE1D38}" name="Column13042"/>
    <tableColumn id="13062" xr3:uid="{3C4263B6-03EC-4731-A2E5-D852D5BD8E54}" name="Column13043"/>
    <tableColumn id="13063" xr3:uid="{F1BA5C0D-20C4-488E-8DA1-E40CAF060DBB}" name="Column13044"/>
    <tableColumn id="13064" xr3:uid="{1B8D2DC7-7C3A-4E26-8BA0-50A3BFB12A51}" name="Column13045"/>
    <tableColumn id="13065" xr3:uid="{BD82DE50-494C-4A5C-BFBF-620C03827997}" name="Column13046"/>
    <tableColumn id="13066" xr3:uid="{1481B0F5-0515-4C8C-8728-C588120647BC}" name="Column13047"/>
    <tableColumn id="13067" xr3:uid="{6DB5EEC6-ABD0-4CA2-A941-32A915EFF0B1}" name="Column13048"/>
    <tableColumn id="13068" xr3:uid="{D7463804-9482-4285-BF55-B2C0B4973F33}" name="Column13049"/>
    <tableColumn id="13069" xr3:uid="{D23B11FD-E116-445E-9493-66C42A26B279}" name="Column13050"/>
    <tableColumn id="13070" xr3:uid="{47AAB965-A549-43C0-9112-34C70265314E}" name="Column13051"/>
    <tableColumn id="13071" xr3:uid="{2538E851-8B18-425A-AA10-634CEDCB939C}" name="Column13052"/>
    <tableColumn id="13072" xr3:uid="{5420EFEF-370A-48A2-9FAB-79EB899C6B48}" name="Column13053"/>
    <tableColumn id="13073" xr3:uid="{90D67018-FC99-4DC8-814A-D9E2D00F4ED7}" name="Column13054"/>
    <tableColumn id="13074" xr3:uid="{14B7CDE7-D443-49B0-BF37-888484D708C5}" name="Column13055"/>
    <tableColumn id="13075" xr3:uid="{D3E775E5-9E65-41C1-B81E-D790E2349665}" name="Column13056"/>
    <tableColumn id="13076" xr3:uid="{89A1D029-CA85-49D1-BD81-ECC16201CC40}" name="Column13057"/>
    <tableColumn id="13077" xr3:uid="{80ECB9DC-4471-4C37-8E53-28603A8CB1B5}" name="Column13058"/>
    <tableColumn id="13078" xr3:uid="{A025E3FD-504E-43A9-85F2-0E14EEDC817C}" name="Column13059"/>
    <tableColumn id="13079" xr3:uid="{6C262E64-EDB7-4B01-A8ED-7407B033DBAA}" name="Column13060"/>
    <tableColumn id="13080" xr3:uid="{0A83C5B3-B76F-4BAA-9408-5127753CF28D}" name="Column13061"/>
    <tableColumn id="13081" xr3:uid="{3681204E-1E83-4500-B038-A542CFC24E58}" name="Column13062"/>
    <tableColumn id="13082" xr3:uid="{11D2B9F3-6118-4D30-9447-65F4F3D6A6E9}" name="Column13063"/>
    <tableColumn id="13083" xr3:uid="{6735AABC-B5E6-44A6-8665-937D6F11B3F4}" name="Column13064"/>
    <tableColumn id="13084" xr3:uid="{9EF8D270-38C0-4689-9C94-2639A974019A}" name="Column13065"/>
    <tableColumn id="13085" xr3:uid="{B34633E5-D1F6-4F74-9A6F-6C2338380137}" name="Column13066"/>
    <tableColumn id="13086" xr3:uid="{B70E9342-72B8-4C83-BBDA-3C854532A162}" name="Column13067"/>
    <tableColumn id="13087" xr3:uid="{EB72226A-41E5-41E3-A384-B03F3AF775AB}" name="Column13068"/>
    <tableColumn id="13088" xr3:uid="{79310869-B4AE-4F5B-95CF-08E0458E50E5}" name="Column13069"/>
    <tableColumn id="13089" xr3:uid="{0085571E-97E9-4001-8F62-70B158ED5DB2}" name="Column13070"/>
    <tableColumn id="13090" xr3:uid="{DD1D73E9-C574-43CC-8C3D-5127313AA246}" name="Column13071"/>
    <tableColumn id="13091" xr3:uid="{0F9906F3-C544-4A45-823D-5BFD1350D7F1}" name="Column13072"/>
    <tableColumn id="13092" xr3:uid="{71D4D6F3-5329-405C-A4C1-BAAFB54B45EE}" name="Column13073"/>
    <tableColumn id="13093" xr3:uid="{38C24E05-62B8-46DD-A753-D7356E04218B}" name="Column13074"/>
    <tableColumn id="13094" xr3:uid="{63EE8017-98E3-43FC-B41F-2220F0FF23AF}" name="Column13075"/>
    <tableColumn id="13095" xr3:uid="{6625C8D8-2FAE-4D57-A820-B31EEAFE4FDE}" name="Column13076"/>
    <tableColumn id="13096" xr3:uid="{0F5592F8-BF23-4D46-84B4-93366188048F}" name="Column13077"/>
    <tableColumn id="13097" xr3:uid="{983005A2-456A-4417-AB17-0CDA09CB3F48}" name="Column13078"/>
    <tableColumn id="13098" xr3:uid="{6DC8ED63-069A-47A6-8620-BAF7AF6BED7B}" name="Column13079"/>
    <tableColumn id="13099" xr3:uid="{79999B0F-D8B3-4880-96A0-1891FC4E70A6}" name="Column13080"/>
    <tableColumn id="13100" xr3:uid="{8164651B-5565-428D-8FD4-65529C6559E5}" name="Column13081"/>
    <tableColumn id="13101" xr3:uid="{1864CB20-0A01-44C0-9184-35C1E2A0531B}" name="Column13082"/>
    <tableColumn id="13102" xr3:uid="{FEF6B6EB-E9D5-4C24-BD30-93C70F8368B6}" name="Column13083"/>
    <tableColumn id="13103" xr3:uid="{442F0EB8-D469-44C3-AA8E-DA9269EE2707}" name="Column13084"/>
    <tableColumn id="13104" xr3:uid="{089B6718-48F6-49AC-96C2-B40848DA2534}" name="Column13085"/>
    <tableColumn id="13105" xr3:uid="{0437BC68-8D41-4E69-A8A8-C113119C5B2A}" name="Column13086"/>
    <tableColumn id="13106" xr3:uid="{75018EB8-A227-4D0B-8FD9-16B364C37075}" name="Column13087"/>
    <tableColumn id="13107" xr3:uid="{A09AF524-8E76-4AB2-9CD3-BA0F4B957AE4}" name="Column13088"/>
    <tableColumn id="13108" xr3:uid="{CBDB4A55-8A20-4E7F-AF21-6458E836BE23}" name="Column13089"/>
    <tableColumn id="13109" xr3:uid="{6245DE14-18AC-4CA6-8B52-13C18345F688}" name="Column13090"/>
    <tableColumn id="13110" xr3:uid="{989847ED-B664-4DB5-BCBA-083F64175BC3}" name="Column13091"/>
    <tableColumn id="13111" xr3:uid="{D2B2EDA0-B295-4A52-A5A6-327048FBE8C9}" name="Column13092"/>
    <tableColumn id="13112" xr3:uid="{B89BB094-DB32-4A57-9778-D90C7AA7E623}" name="Column13093"/>
    <tableColumn id="13113" xr3:uid="{A8380BB1-EF3F-49E9-81A5-64862E9C0EC5}" name="Column13094"/>
    <tableColumn id="13114" xr3:uid="{1B751FCE-7ADD-4D3C-9FE3-C63DBA303445}" name="Column13095"/>
    <tableColumn id="13115" xr3:uid="{D6A9DB80-A1EA-4F56-A2B6-1E0C026EACCF}" name="Column13096"/>
    <tableColumn id="13116" xr3:uid="{CA9988CA-4CD9-4236-AB4E-B6A4C3B30407}" name="Column13097"/>
    <tableColumn id="13117" xr3:uid="{E8481B87-FAF4-4F98-AB3C-BB78EB7BEE95}" name="Column13098"/>
    <tableColumn id="13118" xr3:uid="{29DB1947-920E-4239-A76C-89F1B8A25162}" name="Column13099"/>
    <tableColumn id="13119" xr3:uid="{6D0BC48B-4BE4-4426-86CD-5A79BFDB1FB9}" name="Column13100"/>
    <tableColumn id="13120" xr3:uid="{5339B12F-67E7-4671-812F-B57521C548D0}" name="Column13101"/>
    <tableColumn id="13121" xr3:uid="{509F5794-63C0-4045-B57C-9F23EDDBD1F3}" name="Column13102"/>
    <tableColumn id="13122" xr3:uid="{A0F3EA5F-B644-4243-A6CD-11566ECFA036}" name="Column13103"/>
    <tableColumn id="13123" xr3:uid="{DB6F3C8A-04A2-45B2-9026-8BE8EF0CA238}" name="Column13104"/>
    <tableColumn id="13124" xr3:uid="{C9E2C3F2-D7D8-4ABF-B195-1C1D4F5FF3E5}" name="Column13105"/>
    <tableColumn id="13125" xr3:uid="{B447058E-6AFC-439E-AFF2-8CCB547BA55B}" name="Column13106"/>
    <tableColumn id="13126" xr3:uid="{1500A137-342F-47E6-84A9-4EEF52F1735F}" name="Column13107"/>
    <tableColumn id="13127" xr3:uid="{F9B03751-714F-47EB-B7DF-ECE2754A41E5}" name="Column13108"/>
    <tableColumn id="13128" xr3:uid="{E9EB1CC4-DF27-4DB6-9A8A-8219D796C421}" name="Column13109"/>
    <tableColumn id="13129" xr3:uid="{F271242A-541E-4823-8427-2D2B8454DFA7}" name="Column13110"/>
    <tableColumn id="13130" xr3:uid="{B3BD510D-2AD3-4B15-9C5F-09E41DDD3147}" name="Column13111"/>
    <tableColumn id="13131" xr3:uid="{91F6C1C0-8F1C-49DE-B5AF-ABCF58913537}" name="Column13112"/>
    <tableColumn id="13132" xr3:uid="{4B196129-B181-4759-B671-16076CC7DB9A}" name="Column13113"/>
    <tableColumn id="13133" xr3:uid="{4EA79138-A275-4701-90D2-0659F3DC9C7A}" name="Column13114"/>
    <tableColumn id="13134" xr3:uid="{05E058CA-B42B-42D5-BD9B-45E23EDEA8A8}" name="Column13115"/>
    <tableColumn id="13135" xr3:uid="{B9EF038F-F57E-4B15-9291-BB7DB4B29FEF}" name="Column13116"/>
    <tableColumn id="13136" xr3:uid="{B086052D-FCCE-4A6E-BD09-FF4B2A48751E}" name="Column13117"/>
    <tableColumn id="13137" xr3:uid="{3CB1BDAE-F0E4-42F1-B054-F6A3E768F585}" name="Column13118"/>
    <tableColumn id="13138" xr3:uid="{164EF127-0A21-44EE-B8E1-BDFBF46DC9F5}" name="Column13119"/>
    <tableColumn id="13139" xr3:uid="{0EAA682D-D08C-4710-ACCB-86FEC399B747}" name="Column13120"/>
    <tableColumn id="13140" xr3:uid="{A6C26E6C-26BC-4B83-8F6B-1B0E48A6CCF2}" name="Column13121"/>
    <tableColumn id="13141" xr3:uid="{6CE6D2C5-C551-4C55-9A53-CDECF5EADFCE}" name="Column13122"/>
    <tableColumn id="13142" xr3:uid="{3B42B898-CD48-40DC-B1A1-F6F3D1920144}" name="Column13123"/>
    <tableColumn id="13143" xr3:uid="{8D2DF764-8BB7-4776-9BAD-5511BBE5A618}" name="Column13124"/>
    <tableColumn id="13144" xr3:uid="{065AA19A-FC7F-4092-B75E-9870DB79BC1E}" name="Column13125"/>
    <tableColumn id="13145" xr3:uid="{5DD27A35-FB01-4197-81B8-2C7C464DE3EB}" name="Column13126"/>
    <tableColumn id="13146" xr3:uid="{2964903D-8A8C-4A9C-BF60-BBAC6B7390DE}" name="Column13127"/>
    <tableColumn id="13147" xr3:uid="{18407447-9C96-4B7F-BAC9-CC5241622CA5}" name="Column13128"/>
    <tableColumn id="13148" xr3:uid="{33D3E4C3-107F-4621-9A83-28AD104AD12E}" name="Column13129"/>
    <tableColumn id="13149" xr3:uid="{9EFB4977-52A4-4BCE-8D37-FA7BF8F91ECB}" name="Column13130"/>
    <tableColumn id="13150" xr3:uid="{45D69069-F41B-4807-A83D-77679D3BC5A2}" name="Column13131"/>
    <tableColumn id="13151" xr3:uid="{443234FC-9F5F-425C-9CD1-09ED0D406775}" name="Column13132"/>
    <tableColumn id="13152" xr3:uid="{BC172EBD-724E-4686-98E9-7E628BB5EF44}" name="Column13133"/>
    <tableColumn id="13153" xr3:uid="{EE4F7FF6-343D-4079-8277-F8F45B8BE620}" name="Column13134"/>
    <tableColumn id="13154" xr3:uid="{0EE7EE16-CB0C-4E4C-95FC-DBE3748B450E}" name="Column13135"/>
    <tableColumn id="13155" xr3:uid="{04EB48A4-E6DF-4059-88C8-E4984C8B5FC4}" name="Column13136"/>
    <tableColumn id="13156" xr3:uid="{863C952E-0B03-4016-94B7-5355D5E7EE00}" name="Column13137"/>
    <tableColumn id="13157" xr3:uid="{08BE6FE9-32F6-4252-96F3-ED7334606956}" name="Column13138"/>
    <tableColumn id="13158" xr3:uid="{D67B6E39-B5E0-4BC7-BECC-72E79701D81C}" name="Column13139"/>
    <tableColumn id="13159" xr3:uid="{C9FB936E-5D76-4B02-8385-7F9664D7F230}" name="Column13140"/>
    <tableColumn id="13160" xr3:uid="{2152A5F2-993E-4513-B298-ACE84A62AAD2}" name="Column13141"/>
    <tableColumn id="13161" xr3:uid="{6782E794-A967-435B-99EE-4AF133AAFDB5}" name="Column13142"/>
    <tableColumn id="13162" xr3:uid="{EFB0D0F2-8688-4CD8-A802-1E1EF2344827}" name="Column13143"/>
    <tableColumn id="13163" xr3:uid="{802A4E86-BA45-4FF1-BD62-7229533992E7}" name="Column13144"/>
    <tableColumn id="13164" xr3:uid="{8F4F40E4-5E3B-4EBE-82FF-B418FB8C11A3}" name="Column13145"/>
    <tableColumn id="13165" xr3:uid="{7CB375E3-3386-480C-8C84-89799E6AA784}" name="Column13146"/>
    <tableColumn id="13166" xr3:uid="{683B2F1D-C986-4762-B20F-6008B5FA5CA5}" name="Column13147"/>
    <tableColumn id="13167" xr3:uid="{C9FB9578-DEDF-45DB-A4F4-B4F1749D6459}" name="Column13148"/>
    <tableColumn id="13168" xr3:uid="{78819C26-AE18-4DFD-99E3-A3125B5A51D1}" name="Column13149"/>
    <tableColumn id="13169" xr3:uid="{0D7F8DB8-B4D9-4FFD-BD79-9F6816AE5B16}" name="Column13150"/>
    <tableColumn id="13170" xr3:uid="{E8BF650D-6BBF-4F26-AFF7-43CBB6B240C8}" name="Column13151"/>
    <tableColumn id="13171" xr3:uid="{9F861230-7BF2-4ABB-8977-65C4163EC3DB}" name="Column13152"/>
    <tableColumn id="13172" xr3:uid="{B28CF30B-B18B-43D7-AE43-5EE66617F5C9}" name="Column13153"/>
    <tableColumn id="13173" xr3:uid="{9ECD0116-932B-4ACD-B38B-D97C6EF339CA}" name="Column13154"/>
    <tableColumn id="13174" xr3:uid="{6320AC5F-8DC3-4FE2-A635-712CE90D7BE3}" name="Column13155"/>
    <tableColumn id="13175" xr3:uid="{C13505B0-6687-48DB-946B-E2EB0FA13846}" name="Column13156"/>
    <tableColumn id="13176" xr3:uid="{3BD0D8D6-81CC-4706-97B5-F34F89AB6406}" name="Column13157"/>
    <tableColumn id="13177" xr3:uid="{A65564D8-3D22-40AB-BCCA-EA6ECFB66E29}" name="Column13158"/>
    <tableColumn id="13178" xr3:uid="{CE88069F-3CF6-42DB-9E68-0D190ED47EB4}" name="Column13159"/>
    <tableColumn id="13179" xr3:uid="{08725352-FB18-4485-999B-EEF885FEBD6A}" name="Column13160"/>
    <tableColumn id="13180" xr3:uid="{7CA9A424-412F-4DCE-8FB0-6D25D5D0B2B5}" name="Column13161"/>
    <tableColumn id="13181" xr3:uid="{8444A96E-53ED-4037-B14A-E2BAC8E69B69}" name="Column13162"/>
    <tableColumn id="13182" xr3:uid="{EC6572C6-3568-4ED9-891D-2AEFEA5CF1E9}" name="Column13163"/>
    <tableColumn id="13183" xr3:uid="{C7A90887-137E-4B2E-B630-4EA717C4D908}" name="Column13164"/>
    <tableColumn id="13184" xr3:uid="{46FE9CA0-46ED-4096-A687-C7C6DC2C51C6}" name="Column13165"/>
    <tableColumn id="13185" xr3:uid="{A322FB94-9935-4222-B971-8ED5F6E05226}" name="Column13166"/>
    <tableColumn id="13186" xr3:uid="{2A50C356-16C6-4288-8BE6-FD26F85E388E}" name="Column13167"/>
    <tableColumn id="13187" xr3:uid="{7F433A7D-ACF6-4978-869B-C5FD180EBAD8}" name="Column13168"/>
    <tableColumn id="13188" xr3:uid="{149FA240-99FD-4473-8600-84B6CF8AA8B0}" name="Column13169"/>
    <tableColumn id="13189" xr3:uid="{B340B59B-4FA8-44D9-89FF-AF4AF67B99CD}" name="Column13170"/>
    <tableColumn id="13190" xr3:uid="{20ACD55A-843A-4714-8951-CA2E8A3B6279}" name="Column13171"/>
    <tableColumn id="13191" xr3:uid="{6CB3A9F8-7148-4BBA-B171-90AE3DF00D99}" name="Column13172"/>
    <tableColumn id="13192" xr3:uid="{59465867-5135-4E95-A237-280081321BD2}" name="Column13173"/>
    <tableColumn id="13193" xr3:uid="{41FECEB9-75F4-4DA1-9259-D6FC9BF686BD}" name="Column13174"/>
    <tableColumn id="13194" xr3:uid="{67ADB550-4B45-4BB1-9389-7208CC0B4E68}" name="Column13175"/>
    <tableColumn id="13195" xr3:uid="{0B1E891E-EEC0-47FB-ACA6-33BE07DF3882}" name="Column13176"/>
    <tableColumn id="13196" xr3:uid="{30766C82-4EFF-427D-9530-E171FA9F7B74}" name="Column13177"/>
    <tableColumn id="13197" xr3:uid="{AE9E7A34-BA32-4072-A009-CD4851F303E3}" name="Column13178"/>
    <tableColumn id="13198" xr3:uid="{0C14A798-E598-4BC1-A39F-2F32009ED38A}" name="Column13179"/>
    <tableColumn id="13199" xr3:uid="{E915DA3C-5288-4F63-94A0-C654CB30F457}" name="Column13180"/>
    <tableColumn id="13200" xr3:uid="{F7FD8CB2-4604-4258-B00E-E960AB955043}" name="Column13181"/>
    <tableColumn id="13201" xr3:uid="{10884023-7B8D-4CA0-8597-BFF6DC3844F2}" name="Column13182"/>
    <tableColumn id="13202" xr3:uid="{8FC94147-98F5-452C-92B8-33328ECFD521}" name="Column13183"/>
    <tableColumn id="13203" xr3:uid="{1582B34A-B77A-4F11-97E2-733502BDE208}" name="Column13184"/>
    <tableColumn id="13204" xr3:uid="{C06BDC14-D516-42A7-BDB3-52F19F417F3C}" name="Column13185"/>
    <tableColumn id="13205" xr3:uid="{BD6AB535-E279-436D-9611-4F42B64D92DF}" name="Column13186"/>
    <tableColumn id="13206" xr3:uid="{993955A4-1437-486F-927E-84EA3FC2ACEC}" name="Column13187"/>
    <tableColumn id="13207" xr3:uid="{D807DF7F-5197-4D07-A474-BBB96649EAE8}" name="Column13188"/>
    <tableColumn id="13208" xr3:uid="{6670C26F-E038-4E74-AB69-3516FAB0D8F9}" name="Column13189"/>
    <tableColumn id="13209" xr3:uid="{B01DEA78-23F1-40C2-B0CC-3C457FCFF57D}" name="Column13190"/>
    <tableColumn id="13210" xr3:uid="{7BEFBCA5-1882-4107-A513-2CEA972654A1}" name="Column13191"/>
    <tableColumn id="13211" xr3:uid="{B4D560C7-5D03-4547-BDCC-6AB3C3B5D0C9}" name="Column13192"/>
    <tableColumn id="13212" xr3:uid="{F5D93DC3-E378-43C7-9CF2-AD9F1BB2AD92}" name="Column13193"/>
    <tableColumn id="13213" xr3:uid="{CD223D2B-A659-44C4-A6DC-2B3DBB7F9BD6}" name="Column13194"/>
    <tableColumn id="13214" xr3:uid="{F874696D-A378-4726-BB79-7688F7E1751B}" name="Column13195"/>
    <tableColumn id="13215" xr3:uid="{7D621304-27B0-409E-B914-3884BD8E57E0}" name="Column13196"/>
    <tableColumn id="13216" xr3:uid="{CD3A80F0-8275-4471-A943-AFB58235F248}" name="Column13197"/>
    <tableColumn id="13217" xr3:uid="{24E3BE25-0C73-4B27-82F0-489ED11A3A0B}" name="Column13198"/>
    <tableColumn id="13218" xr3:uid="{77AA2C4F-06FE-468C-B458-A1173A623522}" name="Column13199"/>
    <tableColumn id="13219" xr3:uid="{A2CFC168-0865-486A-BFC5-BDC763704CC3}" name="Column13200"/>
    <tableColumn id="13220" xr3:uid="{837EB622-98E8-4300-A4C8-C3E5E63C4AC9}" name="Column13201"/>
    <tableColumn id="13221" xr3:uid="{713E5193-8FB6-4007-9BFB-51AAD42956DD}" name="Column13202"/>
    <tableColumn id="13222" xr3:uid="{0C93B1D6-BD7C-4B45-BF29-8F754B8A91D0}" name="Column13203"/>
    <tableColumn id="13223" xr3:uid="{67481A8E-55CB-4DB7-B733-9EEEB645380F}" name="Column13204"/>
    <tableColumn id="13224" xr3:uid="{E8EE5036-22C9-4803-AA79-029C2B93EC61}" name="Column13205"/>
    <tableColumn id="13225" xr3:uid="{C389F17E-355B-4D36-B6F3-631D6DEBDA40}" name="Column13206"/>
    <tableColumn id="13226" xr3:uid="{8A5F9F94-AA83-424C-9BB7-9480D9DD3AE6}" name="Column13207"/>
    <tableColumn id="13227" xr3:uid="{C86FA890-DD69-455D-8655-B2B8008CBC27}" name="Column13208"/>
    <tableColumn id="13228" xr3:uid="{A4AC1F58-1A8B-45F9-B67A-D949CA9D2DD9}" name="Column13209"/>
    <tableColumn id="13229" xr3:uid="{54D9BB88-223E-41FD-A5BC-400D0130DF0D}" name="Column13210"/>
    <tableColumn id="13230" xr3:uid="{0ADD8497-0CC2-4167-A00C-30BF0BC7DCFE}" name="Column13211"/>
    <tableColumn id="13231" xr3:uid="{D9132804-E2AA-41D2-9F69-1A1ACE6A94AF}" name="Column13212"/>
    <tableColumn id="13232" xr3:uid="{0F575816-3D82-4107-B917-B17F47FD7E1C}" name="Column13213"/>
    <tableColumn id="13233" xr3:uid="{C452FE80-A78C-416D-B67B-4836C149DD37}" name="Column13214"/>
    <tableColumn id="13234" xr3:uid="{418555A5-513B-4337-8789-66DACB1FA40D}" name="Column13215"/>
    <tableColumn id="13235" xr3:uid="{2728228B-305C-40CF-A6AB-A672EFB77C4A}" name="Column13216"/>
    <tableColumn id="13236" xr3:uid="{EBDD76E3-94DD-4CE7-BFC9-D3307B1BD742}" name="Column13217"/>
    <tableColumn id="13237" xr3:uid="{70234651-C36E-4BD6-BE21-D9032BDA855C}" name="Column13218"/>
    <tableColumn id="13238" xr3:uid="{83EA29CA-C9C4-4455-8D1C-3C2FD18BCC44}" name="Column13219"/>
    <tableColumn id="13239" xr3:uid="{A23E5EBB-6AF3-476B-9EB4-D1EA251AACEA}" name="Column13220"/>
    <tableColumn id="13240" xr3:uid="{3C4DA35F-1D08-4FBC-A02F-322451D2D713}" name="Column13221"/>
    <tableColumn id="13241" xr3:uid="{FE66F7A8-DE48-4FB8-99AB-A5F3F1045987}" name="Column13222"/>
    <tableColumn id="13242" xr3:uid="{AFD67419-3752-450A-85E1-0E0081EFD8F2}" name="Column13223"/>
    <tableColumn id="13243" xr3:uid="{129782D1-18CC-4272-AF58-5B00AC4EF8C5}" name="Column13224"/>
    <tableColumn id="13244" xr3:uid="{09CA779A-096E-4A28-B903-2AA98E591B1C}" name="Column13225"/>
    <tableColumn id="13245" xr3:uid="{64F2F110-E5DB-4688-9463-0547A1A3E22B}" name="Column13226"/>
    <tableColumn id="13246" xr3:uid="{98A5AB09-C532-49CA-B554-1FFE5A0CD899}" name="Column13227"/>
    <tableColumn id="13247" xr3:uid="{68C60386-6118-47A2-962D-2F3481F4DAA3}" name="Column13228"/>
    <tableColumn id="13248" xr3:uid="{09E0F781-8FD7-414A-BC0D-53B142FCAC53}" name="Column13229"/>
    <tableColumn id="13249" xr3:uid="{CEC1924B-7077-473C-9838-16012D9AE07F}" name="Column13230"/>
    <tableColumn id="13250" xr3:uid="{5F08396A-4BBB-4BEC-8C07-9A0392E4A00C}" name="Column13231"/>
    <tableColumn id="13251" xr3:uid="{8060BE3D-C1DE-4573-8E92-525FEFF2B08F}" name="Column13232"/>
    <tableColumn id="13252" xr3:uid="{B224F7BA-2485-4A1F-B1CF-D6E13CFFB303}" name="Column13233"/>
    <tableColumn id="13253" xr3:uid="{BE761FE2-1EED-4CFC-ABC8-E95A0F480824}" name="Column13234"/>
    <tableColumn id="13254" xr3:uid="{051DB02A-81C5-41E4-BE05-501C60C32BFC}" name="Column13235"/>
    <tableColumn id="13255" xr3:uid="{8BC34975-542F-41BE-8AE9-5A11545F9DED}" name="Column13236"/>
    <tableColumn id="13256" xr3:uid="{1E1A8478-14A2-49BB-B3A1-EC0080D74B87}" name="Column13237"/>
    <tableColumn id="13257" xr3:uid="{6A560B7D-0B67-4A96-8324-D9F9BC754054}" name="Column13238"/>
    <tableColumn id="13258" xr3:uid="{FC20E5B6-DC86-4FE8-96BD-F341C49EA1FB}" name="Column13239"/>
    <tableColumn id="13259" xr3:uid="{CAB57A97-CD48-4C88-A9F3-243BE2DEE384}" name="Column13240"/>
    <tableColumn id="13260" xr3:uid="{D8CE7477-EC83-47E9-8BD8-97E9943C71C5}" name="Column13241"/>
    <tableColumn id="13261" xr3:uid="{3066AF87-E444-416C-94B8-7E1E1923751C}" name="Column13242"/>
    <tableColumn id="13262" xr3:uid="{5DC36D11-A666-4E3F-903A-DD39D77416CF}" name="Column13243"/>
    <tableColumn id="13263" xr3:uid="{BDB5E193-8B08-4CA9-817D-E8CE262D2E08}" name="Column13244"/>
    <tableColumn id="13264" xr3:uid="{B3513D20-863D-4954-99FB-63C4E6382538}" name="Column13245"/>
    <tableColumn id="13265" xr3:uid="{3EB9A15B-4A32-49F8-A32D-CDB488689E3D}" name="Column13246"/>
    <tableColumn id="13266" xr3:uid="{71C332B0-BF28-4D4C-876A-127D95262290}" name="Column13247"/>
    <tableColumn id="13267" xr3:uid="{D59A5C6A-CA0B-42E4-8D5A-EEAB6BD6C035}" name="Column13248"/>
    <tableColumn id="13268" xr3:uid="{5981DF93-DB29-4E1C-943D-23EF2937FDFA}" name="Column13249"/>
    <tableColumn id="13269" xr3:uid="{2F049DB9-1AE2-45A2-81E9-29752D85ABF9}" name="Column13250"/>
    <tableColumn id="13270" xr3:uid="{496FE70A-4D27-44D9-8390-B508316A993E}" name="Column13251"/>
    <tableColumn id="13271" xr3:uid="{771A47E7-F447-453A-AED8-84DFD26EF480}" name="Column13252"/>
    <tableColumn id="13272" xr3:uid="{C65BA3FB-C92D-4499-880F-E7C04BE758C1}" name="Column13253"/>
    <tableColumn id="13273" xr3:uid="{65D4BAC9-FF00-4823-A06C-0B95DB60615E}" name="Column13254"/>
    <tableColumn id="13274" xr3:uid="{87AA9431-9FA7-4B1E-9C86-1749940347F4}" name="Column13255"/>
    <tableColumn id="13275" xr3:uid="{9A64970D-E080-40FD-B671-7C45D0E0786F}" name="Column13256"/>
    <tableColumn id="13276" xr3:uid="{FD0E6AB7-0BB5-4FE5-B1E0-EA73184843BA}" name="Column13257"/>
    <tableColumn id="13277" xr3:uid="{A3AA64DC-3898-4E55-B40A-413307D3D30C}" name="Column13258"/>
    <tableColumn id="13278" xr3:uid="{CDF3FF35-6B79-4C74-A3D9-39E1F30614B5}" name="Column13259"/>
    <tableColumn id="13279" xr3:uid="{339092C0-BADB-4CC9-BCFC-5FC63084EC16}" name="Column13260"/>
    <tableColumn id="13280" xr3:uid="{8604DC26-FDB2-4206-8B13-6A630DF12D67}" name="Column13261"/>
    <tableColumn id="13281" xr3:uid="{8B2E61AE-3031-4120-9B58-BAFE1816ABE7}" name="Column13262"/>
    <tableColumn id="13282" xr3:uid="{F11AA679-528E-4EE3-9495-CB8EF9C156B1}" name="Column13263"/>
    <tableColumn id="13283" xr3:uid="{09B78B64-E06D-4D86-B22F-AD497A680898}" name="Column13264"/>
    <tableColumn id="13284" xr3:uid="{4951FC4F-79D0-40C4-ADF5-C30E980C511B}" name="Column13265"/>
    <tableColumn id="13285" xr3:uid="{E1133B10-70FA-4BC5-B91C-D8EE29399ADC}" name="Column13266"/>
    <tableColumn id="13286" xr3:uid="{386DF2F0-FF2E-4EA2-BAFB-A8FD696CFFEE}" name="Column13267"/>
    <tableColumn id="13287" xr3:uid="{73566840-7E0E-434A-8F6A-90E920DDA682}" name="Column13268"/>
    <tableColumn id="13288" xr3:uid="{55ACDF49-73D5-46AD-A984-D5F0C229A72F}" name="Column13269"/>
    <tableColumn id="13289" xr3:uid="{8AD97A0C-8129-4529-9F45-6A83BA136639}" name="Column13270"/>
    <tableColumn id="13290" xr3:uid="{F6C36D3A-6C61-4A84-9913-1CC400F846F1}" name="Column13271"/>
    <tableColumn id="13291" xr3:uid="{AC770B95-111A-424C-8331-D35E01CE4F1C}" name="Column13272"/>
    <tableColumn id="13292" xr3:uid="{0A99082D-919D-45FC-92A3-5B0A1FF9F8E2}" name="Column13273"/>
    <tableColumn id="13293" xr3:uid="{7917D652-B2B4-4260-8F41-C4AED2A0248E}" name="Column13274"/>
    <tableColumn id="13294" xr3:uid="{A822FE00-8846-476A-A87E-B6D1D256C0E2}" name="Column13275"/>
    <tableColumn id="13295" xr3:uid="{865859E0-9285-49B4-B98F-1CF524126F74}" name="Column13276"/>
    <tableColumn id="13296" xr3:uid="{165480DA-3E7F-4634-979A-DF7FCF9C32D4}" name="Column13277"/>
    <tableColumn id="13297" xr3:uid="{17FE6E58-9031-4256-9587-C589B208247B}" name="Column13278"/>
    <tableColumn id="13298" xr3:uid="{8F4C94BC-2D1F-4935-9C8E-90C7A29CD4EE}" name="Column13279"/>
    <tableColumn id="13299" xr3:uid="{22AE7C0B-DE57-4BE0-AFA0-B68B9BCA0E64}" name="Column13280"/>
    <tableColumn id="13300" xr3:uid="{F799E67D-E36C-413C-925D-4C1B4F966555}" name="Column13281"/>
    <tableColumn id="13301" xr3:uid="{01DB3F29-D5A0-448E-80DD-1B6EE070F9A0}" name="Column13282"/>
    <tableColumn id="13302" xr3:uid="{894DB7F8-6F46-4163-9274-D1EC1A7ECD3B}" name="Column13283"/>
    <tableColumn id="13303" xr3:uid="{BD36E094-8D20-458D-8559-3DD3C67166E4}" name="Column13284"/>
    <tableColumn id="13304" xr3:uid="{94E9BCFF-7811-4546-9F71-C03AC3272249}" name="Column13285"/>
    <tableColumn id="13305" xr3:uid="{9B87AC21-AA12-4776-93DD-38A32072BE80}" name="Column13286"/>
    <tableColumn id="13306" xr3:uid="{557ACA9A-FD9F-428B-9E45-B15D0BD9292A}" name="Column13287"/>
    <tableColumn id="13307" xr3:uid="{B558E832-35B6-4D88-891C-15420F59D6DC}" name="Column13288"/>
    <tableColumn id="13308" xr3:uid="{5BB591AC-8055-4F37-9347-A71FBD27FB5D}" name="Column13289"/>
    <tableColumn id="13309" xr3:uid="{C43CD7FA-1C14-4A5A-8325-E7239A35B898}" name="Column13290"/>
    <tableColumn id="13310" xr3:uid="{1FCFB9DA-E9A1-412D-B781-644C550071F4}" name="Column13291"/>
    <tableColumn id="13311" xr3:uid="{D99E6D57-519A-4AE7-9210-34C856811002}" name="Column13292"/>
    <tableColumn id="13312" xr3:uid="{33C61E76-CAA7-4076-BC0C-C66A4BA0E657}" name="Column13293"/>
    <tableColumn id="13313" xr3:uid="{6F4DD7A9-2EFF-4A76-B0D9-06D76164116C}" name="Column13294"/>
    <tableColumn id="13314" xr3:uid="{9479543E-C6C7-4424-A594-BDFF9002E41A}" name="Column13295"/>
    <tableColumn id="13315" xr3:uid="{99F6ABC7-3084-45FD-BF0D-198C9B478081}" name="Column13296"/>
    <tableColumn id="13316" xr3:uid="{02B38CDD-05ED-4D24-9AD0-6B01AE5DF085}" name="Column13297"/>
    <tableColumn id="13317" xr3:uid="{22D7BA06-BB30-4AAC-A032-29D1851E453D}" name="Column13298"/>
    <tableColumn id="13318" xr3:uid="{15AAB576-216B-4E96-9A2F-3ED3EA051E78}" name="Column13299"/>
    <tableColumn id="13319" xr3:uid="{F3BEA971-0187-475A-8027-3CF5DD1C14A3}" name="Column13300"/>
    <tableColumn id="13320" xr3:uid="{4DDAC02A-F3CD-4645-897F-43E0CF16F9E8}" name="Column13301"/>
    <tableColumn id="13321" xr3:uid="{0BFB4374-9EB4-4952-911A-D9B0A49B87E5}" name="Column13302"/>
    <tableColumn id="13322" xr3:uid="{C2B9D75E-9734-438E-910E-44D4AB6133AA}" name="Column13303"/>
    <tableColumn id="13323" xr3:uid="{AA734E34-6078-471A-B57A-020B07094D1E}" name="Column13304"/>
    <tableColumn id="13324" xr3:uid="{16A0AAD2-B059-40C1-BC46-EA7A28EAEB39}" name="Column13305"/>
    <tableColumn id="13325" xr3:uid="{C83EBBD8-BC03-4203-A73D-C6ECAE0D6D5D}" name="Column13306"/>
    <tableColumn id="13326" xr3:uid="{F6DABBD8-74F6-40C3-B731-9C91C2E00E4A}" name="Column13307"/>
    <tableColumn id="13327" xr3:uid="{E4B91DA2-F90A-41BF-AEF5-F38BAF0CA9EF}" name="Column13308"/>
    <tableColumn id="13328" xr3:uid="{CFFFA427-175A-4372-B995-021FF49060E3}" name="Column13309"/>
    <tableColumn id="13329" xr3:uid="{29EEF5B4-911D-47CB-8877-4FCEC6FA7802}" name="Column13310"/>
    <tableColumn id="13330" xr3:uid="{C3227AB3-B5D0-46D8-8F4D-6BFDCCC4B1AE}" name="Column13311"/>
    <tableColumn id="13331" xr3:uid="{E235741A-9089-4820-8351-DFB10A98CEBD}" name="Column13312"/>
    <tableColumn id="13332" xr3:uid="{0B7F00D5-B42B-4911-9263-A3087F26AED9}" name="Column13313"/>
    <tableColumn id="13333" xr3:uid="{7D7DB397-23F5-44DD-A08D-7563A22098A3}" name="Column13314"/>
    <tableColumn id="13334" xr3:uid="{4C312AA2-5148-4CAC-BA5A-EE4A586E7B1E}" name="Column13315"/>
    <tableColumn id="13335" xr3:uid="{208530C2-C049-4825-9C1B-8273A9A32093}" name="Column13316"/>
    <tableColumn id="13336" xr3:uid="{AAC20D61-AE9B-46C7-ABDC-F49DD87A65DE}" name="Column13317"/>
    <tableColumn id="13337" xr3:uid="{0621FAE0-981D-4A70-A0FF-0F3A3F4A0B10}" name="Column13318"/>
    <tableColumn id="13338" xr3:uid="{9A896C61-8C12-431A-95E7-B1406D9FEF8E}" name="Column13319"/>
    <tableColumn id="13339" xr3:uid="{C3C1E8AE-6D9D-4733-8AAE-48B7B47C5543}" name="Column13320"/>
    <tableColumn id="13340" xr3:uid="{E0D0E4E4-87D4-4D6A-A186-670CF6CE6F44}" name="Column13321"/>
    <tableColumn id="13341" xr3:uid="{74A955A4-2626-488E-A8B5-D402F3F826C6}" name="Column13322"/>
    <tableColumn id="13342" xr3:uid="{A71FABB9-C21F-4FE2-9F5E-1A3F2B0FFBEE}" name="Column13323"/>
    <tableColumn id="13343" xr3:uid="{86687C0F-0527-4F01-9FC7-2A4714C594D6}" name="Column13324"/>
    <tableColumn id="13344" xr3:uid="{84CE5179-EA38-41EC-BB33-C8716AA4009D}" name="Column13325"/>
    <tableColumn id="13345" xr3:uid="{FBFDBB8A-345E-4193-8CA8-69687713975C}" name="Column13326"/>
    <tableColumn id="13346" xr3:uid="{A5AFE535-D3DC-4A68-9C3A-03BE8A7FEA56}" name="Column13327"/>
    <tableColumn id="13347" xr3:uid="{624D8875-C99E-4100-862E-8CBBE63CE094}" name="Column13328"/>
    <tableColumn id="13348" xr3:uid="{028D3754-10E1-4D77-AAE7-89889A5B3078}" name="Column13329"/>
    <tableColumn id="13349" xr3:uid="{A9556C29-E418-402D-B836-3E7A5C486218}" name="Column13330"/>
    <tableColumn id="13350" xr3:uid="{B050C10D-1589-47A0-B19F-4C0C18EDC256}" name="Column13331"/>
    <tableColumn id="13351" xr3:uid="{7A1A01B1-F749-4293-8B7D-F35FB7426F00}" name="Column13332"/>
    <tableColumn id="13352" xr3:uid="{752C9442-216E-420B-B2AF-E618A7AEC008}" name="Column13333"/>
    <tableColumn id="13353" xr3:uid="{64D321EF-174E-400C-A2BC-8771C4469865}" name="Column13334"/>
    <tableColumn id="13354" xr3:uid="{F450B939-8217-4284-87C4-1F2912808087}" name="Column13335"/>
    <tableColumn id="13355" xr3:uid="{25053101-FB37-4798-BF98-3932F05C7E78}" name="Column13336"/>
    <tableColumn id="13356" xr3:uid="{9F33926A-DEE5-4F00-8B1B-5F9728A8FC5C}" name="Column13337"/>
    <tableColumn id="13357" xr3:uid="{D6CAED9E-F9F5-4D5C-BF0B-AB1673BB51CC}" name="Column13338"/>
    <tableColumn id="13358" xr3:uid="{CCA98A09-1A25-4C59-A977-6834DED7AA4B}" name="Column13339"/>
    <tableColumn id="13359" xr3:uid="{5DB28CAD-011E-401F-81C2-D89B980E725B}" name="Column13340"/>
    <tableColumn id="13360" xr3:uid="{03FE029F-5DAB-4176-990F-8C14CCE3168E}" name="Column13341"/>
    <tableColumn id="13361" xr3:uid="{41629AA0-7A4A-4AB9-8ED5-3B63E4082E82}" name="Column13342"/>
    <tableColumn id="13362" xr3:uid="{CB051065-0659-4390-8567-D1D5C9C9B33F}" name="Column13343"/>
    <tableColumn id="13363" xr3:uid="{4B911F1A-1652-4027-9D88-0D8C47E21497}" name="Column13344"/>
    <tableColumn id="13364" xr3:uid="{D5FEA3AA-4003-471D-BB06-8426BE8FC639}" name="Column13345"/>
    <tableColumn id="13365" xr3:uid="{6A2D4D97-83A8-490C-8C68-CC402A965BA2}" name="Column13346"/>
    <tableColumn id="13366" xr3:uid="{D7AC3847-4341-4C2F-9251-C6B0A6F075DC}" name="Column13347"/>
    <tableColumn id="13367" xr3:uid="{710B0441-1ED0-4081-903D-67EE75AE9DAB}" name="Column13348"/>
    <tableColumn id="13368" xr3:uid="{29BDDAD1-A41A-480A-BE9F-FD9D9CB3ADD2}" name="Column13349"/>
    <tableColumn id="13369" xr3:uid="{24FB70C1-9BEE-478C-9999-12C6FAF46448}" name="Column13350"/>
    <tableColumn id="13370" xr3:uid="{2C34302C-64F7-4E31-8E46-334E805EEE91}" name="Column13351"/>
    <tableColumn id="13371" xr3:uid="{008B45B2-1F5C-4642-8978-100BEFFDADA1}" name="Column13352"/>
    <tableColumn id="13372" xr3:uid="{FFEC5297-A8D9-4D3F-85BF-525FCC1A60E6}" name="Column13353"/>
    <tableColumn id="13373" xr3:uid="{38DAFF12-1235-49AB-BFC8-5818C9940C76}" name="Column13354"/>
    <tableColumn id="13374" xr3:uid="{D56739B7-6FC2-4A38-BC97-3091DDC38E75}" name="Column13355"/>
    <tableColumn id="13375" xr3:uid="{48A7C353-E126-4FCA-9A4F-58B9D451B5A6}" name="Column13356"/>
    <tableColumn id="13376" xr3:uid="{574E2CEA-F6E2-464E-975F-3828C48BEC19}" name="Column13357"/>
    <tableColumn id="13377" xr3:uid="{AEBB8A11-15DE-4E7C-B9E6-B7F92D60E128}" name="Column13358"/>
    <tableColumn id="13378" xr3:uid="{4CE7C95D-BA89-433D-92FB-C26223E55EB1}" name="Column13359"/>
    <tableColumn id="13379" xr3:uid="{57CABDCE-EA97-407B-92C0-1AB8DDCCF604}" name="Column13360"/>
    <tableColumn id="13380" xr3:uid="{0C6C5433-503E-44D3-B979-3DF5F657A286}" name="Column13361"/>
    <tableColumn id="13381" xr3:uid="{865D280F-29DD-4B56-86DB-684E2C2B2BA4}" name="Column13362"/>
    <tableColumn id="13382" xr3:uid="{678AE457-1546-4FDC-81B9-34F3729A7FD3}" name="Column13363"/>
    <tableColumn id="13383" xr3:uid="{3EB4C40F-24F0-4EEC-B293-70D91AC83DB8}" name="Column13364"/>
    <tableColumn id="13384" xr3:uid="{1D25824D-F362-48A5-AACF-F9454CEE3266}" name="Column13365"/>
    <tableColumn id="13385" xr3:uid="{F8777B72-650C-4895-A7EF-DB1CF021B7C6}" name="Column13366"/>
    <tableColumn id="13386" xr3:uid="{3470D869-21B6-4AAD-9A20-89606FDFFCDF}" name="Column13367"/>
    <tableColumn id="13387" xr3:uid="{023A0B13-EE92-40FD-B3FF-C95DAA89FA05}" name="Column13368"/>
    <tableColumn id="13388" xr3:uid="{D45F33EE-CC90-4E37-A7AA-2A11E8EFC142}" name="Column13369"/>
    <tableColumn id="13389" xr3:uid="{0E6A6993-89C6-49B1-B007-45A7A9DE18B2}" name="Column13370"/>
    <tableColumn id="13390" xr3:uid="{4D12FA55-23B2-410E-A231-45646C247721}" name="Column13371"/>
    <tableColumn id="13391" xr3:uid="{A90063DA-962D-4EF4-907F-D4697503297D}" name="Column13372"/>
    <tableColumn id="13392" xr3:uid="{A609DDD8-25DD-4F08-8630-8BFA0EDFBAC8}" name="Column13373"/>
    <tableColumn id="13393" xr3:uid="{50E362E9-A4CC-48EC-B7B1-8848B85CDDC4}" name="Column13374"/>
    <tableColumn id="13394" xr3:uid="{A39B0FAC-3B08-4FD7-9198-FCC219CF285B}" name="Column13375"/>
    <tableColumn id="13395" xr3:uid="{D45A2F7D-4881-4DAF-AE75-6BABDFEFD5FB}" name="Column13376"/>
    <tableColumn id="13396" xr3:uid="{846E7A40-B038-4EDF-A7A2-736333498965}" name="Column13377"/>
    <tableColumn id="13397" xr3:uid="{533CD8F7-8324-4FEC-81B8-81763F3D10D5}" name="Column13378"/>
    <tableColumn id="13398" xr3:uid="{D6A84492-7F24-45EB-AEC3-681595E5B352}" name="Column13379"/>
    <tableColumn id="13399" xr3:uid="{6BA97A41-457B-4235-B92F-5F92A7F6E151}" name="Column13380"/>
    <tableColumn id="13400" xr3:uid="{98548624-D84F-44FB-B8D4-31F1FE6F41B1}" name="Column13381"/>
    <tableColumn id="13401" xr3:uid="{C231CC5C-0A9B-4D35-829B-47F06731A00B}" name="Column13382"/>
    <tableColumn id="13402" xr3:uid="{DF8C162E-ED12-4610-BE4E-6E1EEC33625A}" name="Column13383"/>
    <tableColumn id="13403" xr3:uid="{06766CF2-9642-40EA-AE1A-BA6AF72E97D6}" name="Column13384"/>
    <tableColumn id="13404" xr3:uid="{29175504-52C9-499F-8511-2635C7B7A3F7}" name="Column13385"/>
    <tableColumn id="13405" xr3:uid="{F0C86115-BDE4-4A89-BDF2-4B05ADE230B9}" name="Column13386"/>
    <tableColumn id="13406" xr3:uid="{8C463446-ECA1-4366-8DC0-5001A228C560}" name="Column13387"/>
    <tableColumn id="13407" xr3:uid="{8BA4F0CA-5758-4292-93BA-A620D547C131}" name="Column13388"/>
    <tableColumn id="13408" xr3:uid="{EFFCC223-C265-4858-A3D5-654AC406F151}" name="Column13389"/>
    <tableColumn id="13409" xr3:uid="{37D84FE2-EE72-43E4-862C-0712DE0F9D5D}" name="Column13390"/>
    <tableColumn id="13410" xr3:uid="{EFEB21AD-78BA-4B4A-8DA2-8CD309AA4716}" name="Column13391"/>
    <tableColumn id="13411" xr3:uid="{99AA0120-3F9F-4E38-B012-46D5E8844BE6}" name="Column13392"/>
    <tableColumn id="13412" xr3:uid="{C27C7A5B-A8C8-408C-B3E0-DB7B026D0E6E}" name="Column13393"/>
    <tableColumn id="13413" xr3:uid="{E3E0F455-B000-4038-B611-3586A3D8A575}" name="Column13394"/>
    <tableColumn id="13414" xr3:uid="{F7E7F66B-57C8-4DCE-858F-6B337DF728F6}" name="Column13395"/>
    <tableColumn id="13415" xr3:uid="{65D01237-64EC-45A2-945F-E2DA5AAECBC1}" name="Column13396"/>
    <tableColumn id="13416" xr3:uid="{E98E936D-A2C4-4782-9B45-5F6728839335}" name="Column13397"/>
    <tableColumn id="13417" xr3:uid="{81ECF072-8B6E-4E12-97E9-87768DFC9CB9}" name="Column13398"/>
    <tableColumn id="13418" xr3:uid="{E76D007C-048C-41F4-9AC6-9CFEB825EC28}" name="Column13399"/>
    <tableColumn id="13419" xr3:uid="{5CA5230B-8270-4995-B1A5-176D020DBD10}" name="Column13400"/>
    <tableColumn id="13420" xr3:uid="{8D2ECDA5-52B3-41AE-8D0D-3ED7BFE6C7A7}" name="Column13401"/>
    <tableColumn id="13421" xr3:uid="{BA619EED-974B-4B6D-B982-2EFB4E4042A6}" name="Column13402"/>
    <tableColumn id="13422" xr3:uid="{C6465FE4-5121-4D25-8C1A-E07538B520BA}" name="Column13403"/>
    <tableColumn id="13423" xr3:uid="{75E6B72B-82DF-490E-B7BB-E5E305918CE3}" name="Column13404"/>
    <tableColumn id="13424" xr3:uid="{ED30E48A-125B-42A3-93E6-CC3B91018DAA}" name="Column13405"/>
    <tableColumn id="13425" xr3:uid="{99A71016-075B-472E-93EB-1CACA266E34C}" name="Column13406"/>
    <tableColumn id="13426" xr3:uid="{5FF3174D-945E-47BF-AE41-423BEC8B4796}" name="Column13407"/>
    <tableColumn id="13427" xr3:uid="{8C04F7B3-DAE3-431C-AF12-F7C5EEE6B98A}" name="Column13408"/>
    <tableColumn id="13428" xr3:uid="{81C09D37-4C23-4F01-8A88-2D9694B9217B}" name="Column13409"/>
    <tableColumn id="13429" xr3:uid="{45483A5A-631D-4C38-9EBA-771807391BF3}" name="Column13410"/>
    <tableColumn id="13430" xr3:uid="{3808CC74-3C6D-4EE0-8B18-A7449906AA8B}" name="Column13411"/>
    <tableColumn id="13431" xr3:uid="{5E57B958-314F-41C2-87C3-E92F0B079DFA}" name="Column13412"/>
    <tableColumn id="13432" xr3:uid="{B3B48F00-4024-467D-9C36-4F909058EECC}" name="Column13413"/>
    <tableColumn id="13433" xr3:uid="{E3135E64-2A55-4C73-A279-410E0F74BC0B}" name="Column13414"/>
    <tableColumn id="13434" xr3:uid="{AA9304F3-C7D9-4F3C-BDB5-C7F5E9B88125}" name="Column13415"/>
    <tableColumn id="13435" xr3:uid="{6FCA4F9B-B633-4375-B8FA-D008567CDE19}" name="Column13416"/>
    <tableColumn id="13436" xr3:uid="{01EBF5EF-85A2-4C93-B5B6-B587A1D5E54B}" name="Column13417"/>
    <tableColumn id="13437" xr3:uid="{46D2BB5C-3D0C-4CA0-8C8C-2CC5F9393A78}" name="Column13418"/>
    <tableColumn id="13438" xr3:uid="{2CD642D5-6FB0-4347-96DE-E66EC2E95D11}" name="Column13419"/>
    <tableColumn id="13439" xr3:uid="{B4C528F3-55FE-47C3-86B6-F396E263809D}" name="Column13420"/>
    <tableColumn id="13440" xr3:uid="{2DB41A42-3BD6-4A9C-BFC1-48403EF8BF70}" name="Column13421"/>
    <tableColumn id="13441" xr3:uid="{D4771660-D682-4048-B08A-83B61BF200B8}" name="Column13422"/>
    <tableColumn id="13442" xr3:uid="{669AAC54-A0F7-438B-AA7A-72B94494C40F}" name="Column13423"/>
    <tableColumn id="13443" xr3:uid="{EDA1CBBC-402D-43AE-8976-5A2F49E27059}" name="Column13424"/>
    <tableColumn id="13444" xr3:uid="{411512B2-A172-4B3B-9700-143B0989F835}" name="Column13425"/>
    <tableColumn id="13445" xr3:uid="{6A0EF522-F399-46C8-97C2-E8932DC663C6}" name="Column13426"/>
    <tableColumn id="13446" xr3:uid="{F6758094-46D9-4082-8F83-97A132405B03}" name="Column13427"/>
    <tableColumn id="13447" xr3:uid="{06310FA9-6F6C-4FF4-A53A-D5AB7E3CAD60}" name="Column13428"/>
    <tableColumn id="13448" xr3:uid="{68B8D259-5026-4FD6-AB60-2DC078EA58D6}" name="Column13429"/>
    <tableColumn id="13449" xr3:uid="{5B4D4A8A-B7C8-4E58-9327-9B68A846B6EA}" name="Column13430"/>
    <tableColumn id="13450" xr3:uid="{5E9750FE-C612-45D9-8287-A970F5044212}" name="Column13431"/>
    <tableColumn id="13451" xr3:uid="{66F86F2D-110E-4CB1-946E-EE668E3A0481}" name="Column13432"/>
    <tableColumn id="13452" xr3:uid="{ACA823EA-9BE6-4935-BB48-C85021CC2427}" name="Column13433"/>
    <tableColumn id="13453" xr3:uid="{3C105548-7DDF-4315-8410-C89F25B4A7DB}" name="Column13434"/>
    <tableColumn id="13454" xr3:uid="{E393C64B-4A84-4496-A768-81805AF9382E}" name="Column13435"/>
    <tableColumn id="13455" xr3:uid="{77C3319F-84D4-4CB2-B307-86121FE17F1B}" name="Column13436"/>
    <tableColumn id="13456" xr3:uid="{37184AC6-1AB5-49CF-81C2-92B5CD373DB7}" name="Column13437"/>
    <tableColumn id="13457" xr3:uid="{63AA738A-8B43-4B9E-AB03-70FB86B8DB25}" name="Column13438"/>
    <tableColumn id="13458" xr3:uid="{DA1E23D5-E60F-43BF-82A2-DDDF8FFA9C4F}" name="Column13439"/>
    <tableColumn id="13459" xr3:uid="{7C61AFB5-1987-4C7F-8798-04C9C8D5F183}" name="Column13440"/>
    <tableColumn id="13460" xr3:uid="{31799C6F-B6EF-4D46-B44F-7EF05622E5DF}" name="Column13441"/>
    <tableColumn id="13461" xr3:uid="{A41DFF16-2C9E-48F7-A229-3E94CB0D67CC}" name="Column13442"/>
    <tableColumn id="13462" xr3:uid="{42A062AA-12DD-4D2D-AE5C-03D5FC65A36B}" name="Column13443"/>
    <tableColumn id="13463" xr3:uid="{EE9E33F6-F576-4679-9C04-94E15DAC01E9}" name="Column13444"/>
    <tableColumn id="13464" xr3:uid="{1CCC8B3E-89DB-49F4-B19F-61234D92B04C}" name="Column13445"/>
    <tableColumn id="13465" xr3:uid="{FB0E9E2D-2563-4B34-ABA1-631D48799BF0}" name="Column13446"/>
    <tableColumn id="13466" xr3:uid="{870F6CC9-38A8-40B2-A1C6-2681B0FA040C}" name="Column13447"/>
    <tableColumn id="13467" xr3:uid="{370D2A47-01DA-42C8-BEF8-EFC0B52000D9}" name="Column13448"/>
    <tableColumn id="13468" xr3:uid="{892407F9-8603-48F6-BFA1-68E0E3EA410E}" name="Column13449"/>
    <tableColumn id="13469" xr3:uid="{915859F1-87E8-495E-AC81-750E431B9E6B}" name="Column13450"/>
    <tableColumn id="13470" xr3:uid="{8B2FF9EC-4308-4B38-80F5-1A82E5152F88}" name="Column13451"/>
    <tableColumn id="13471" xr3:uid="{3A790D31-0E69-4F91-BA83-A2010780CC01}" name="Column13452"/>
    <tableColumn id="13472" xr3:uid="{ACCE759D-A792-4F6A-A96C-91327BD7FCB6}" name="Column13453"/>
    <tableColumn id="13473" xr3:uid="{A9E05F86-C587-4FA7-9A75-C2D4D36872CC}" name="Column13454"/>
    <tableColumn id="13474" xr3:uid="{FC1FCB52-7B7E-4319-B5C4-A1962871FE66}" name="Column13455"/>
    <tableColumn id="13475" xr3:uid="{7A401347-D862-42F0-95BA-628E589935B5}" name="Column13456"/>
    <tableColumn id="13476" xr3:uid="{9E51C15E-8FE6-4463-8F7E-43988C3301BE}" name="Column13457"/>
    <tableColumn id="13477" xr3:uid="{AE47FC90-F2CB-4118-A000-998348782590}" name="Column13458"/>
    <tableColumn id="13478" xr3:uid="{8DBFD463-2E89-42F5-82FF-8FFB0483C0F3}" name="Column13459"/>
    <tableColumn id="13479" xr3:uid="{F1FD8952-F682-4D89-92FE-482E7298E92B}" name="Column13460"/>
    <tableColumn id="13480" xr3:uid="{ACD86596-B658-40CE-B14B-CD60169C6990}" name="Column13461"/>
    <tableColumn id="13481" xr3:uid="{19ABCCFE-FA7C-48A2-A43C-D7998464A57A}" name="Column13462"/>
    <tableColumn id="13482" xr3:uid="{97AD3C0E-2BDB-4AB6-9B46-2B80C86818C3}" name="Column13463"/>
    <tableColumn id="13483" xr3:uid="{98A36711-9389-4F03-9EF7-F81F431B5B33}" name="Column13464"/>
    <tableColumn id="13484" xr3:uid="{36FCF9F1-CA4D-466D-94EE-9660356EB093}" name="Column13465"/>
    <tableColumn id="13485" xr3:uid="{B38E3CFC-C95B-4D89-B445-70BBDB236B22}" name="Column13466"/>
    <tableColumn id="13486" xr3:uid="{87271C37-9ABD-4695-B418-54A0E818C6EB}" name="Column13467"/>
    <tableColumn id="13487" xr3:uid="{E47A1075-A66C-4951-A589-7B38EF3DBB3E}" name="Column13468"/>
    <tableColumn id="13488" xr3:uid="{97BE3C55-E61D-4D61-B854-FA92ADAA6A6F}" name="Column13469"/>
    <tableColumn id="13489" xr3:uid="{3A1455E9-880A-4A85-A7B6-C10F3BB17192}" name="Column13470"/>
    <tableColumn id="13490" xr3:uid="{D6B8DADC-30B5-4D47-B6E8-8C968CBDA959}" name="Column13471"/>
    <tableColumn id="13491" xr3:uid="{8A291168-2A52-44F2-BBD2-69AF904D3084}" name="Column13472"/>
    <tableColumn id="13492" xr3:uid="{0782AF4D-3DA9-4B37-B1BD-F25FBEDF207B}" name="Column13473"/>
    <tableColumn id="13493" xr3:uid="{9FFD3E9C-D0EB-41DD-9C7D-7A4D1487E448}" name="Column13474"/>
    <tableColumn id="13494" xr3:uid="{76744B4D-4500-4AC4-88E3-69DBAA8A0F93}" name="Column13475"/>
    <tableColumn id="13495" xr3:uid="{7B2CBD59-480C-41EA-ACDB-996AFAD96E52}" name="Column13476"/>
    <tableColumn id="13496" xr3:uid="{43B2A53C-64C7-46D6-BAF4-40AD63192133}" name="Column13477"/>
    <tableColumn id="13497" xr3:uid="{D9CC187B-18AF-4816-BD80-4DFA517DA445}" name="Column13478"/>
    <tableColumn id="13498" xr3:uid="{882FBCC5-48C9-49FA-B09F-FEA839DF13B6}" name="Column13479"/>
    <tableColumn id="13499" xr3:uid="{D3150134-C921-4B93-9649-94A28D679853}" name="Column13480"/>
    <tableColumn id="13500" xr3:uid="{C5239E9C-8B06-4533-88AF-96ADD1829AC9}" name="Column13481"/>
    <tableColumn id="13501" xr3:uid="{CEBCA697-8381-4FAF-BF86-63DEE1CA6056}" name="Column13482"/>
    <tableColumn id="13502" xr3:uid="{889A5BFA-774E-4875-900D-4FC9CFE1BC8B}" name="Column13483"/>
    <tableColumn id="13503" xr3:uid="{2743E715-7195-402D-9D83-B8D3DAF8A170}" name="Column13484"/>
    <tableColumn id="13504" xr3:uid="{3E307501-68CB-42F0-B9E5-6E1803FF0725}" name="Column13485"/>
    <tableColumn id="13505" xr3:uid="{C357B355-1BC3-4593-BA84-5B333FC85AF4}" name="Column13486"/>
    <tableColumn id="13506" xr3:uid="{E9FDA0B3-3AEB-4011-B232-6746C0D14B49}" name="Column13487"/>
    <tableColumn id="13507" xr3:uid="{1AE3A223-A0DA-454B-87D9-09A883CA1F11}" name="Column13488"/>
    <tableColumn id="13508" xr3:uid="{AE8BE306-C9A4-4369-83FA-741BBCBEEA3B}" name="Column13489"/>
    <tableColumn id="13509" xr3:uid="{D0C7BCFF-ADCF-42E1-A12A-021F9B129C07}" name="Column13490"/>
    <tableColumn id="13510" xr3:uid="{5BFEFB9A-5708-4058-BCDD-DB41C43AEDCD}" name="Column13491"/>
    <tableColumn id="13511" xr3:uid="{5B25AAAB-BCFD-4D00-B210-1EED95A26F92}" name="Column13492"/>
    <tableColumn id="13512" xr3:uid="{1D63245B-92FE-493C-A255-57926F00E045}" name="Column13493"/>
    <tableColumn id="13513" xr3:uid="{D80737B0-87F7-46F5-BE04-F1943008A7D4}" name="Column13494"/>
    <tableColumn id="13514" xr3:uid="{7425EC17-C52B-4179-9F42-488DC8BE67E9}" name="Column13495"/>
    <tableColumn id="13515" xr3:uid="{F6A4CEF9-44BC-41ED-A2CE-63FD56AB9AC3}" name="Column13496"/>
    <tableColumn id="13516" xr3:uid="{784DAE1E-E299-44AD-8CEA-58D041A67363}" name="Column13497"/>
    <tableColumn id="13517" xr3:uid="{D919B267-0407-4EBB-AF50-9E3F9C5B4239}" name="Column13498"/>
    <tableColumn id="13518" xr3:uid="{0ABAE70C-595E-469A-A8D6-97E08838E3F0}" name="Column13499"/>
    <tableColumn id="13519" xr3:uid="{14E3EEEC-A4CD-446E-9288-8E9687A87486}" name="Column13500"/>
    <tableColumn id="13520" xr3:uid="{D8C8C68D-42D0-44C3-9382-AF62EA8ABCCD}" name="Column13501"/>
    <tableColumn id="13521" xr3:uid="{6BD48A7C-9CB3-43A2-8185-CE8A940BC9D4}" name="Column13502"/>
    <tableColumn id="13522" xr3:uid="{2593FF86-A072-4CF7-849F-AE884DB86B31}" name="Column13503"/>
    <tableColumn id="13523" xr3:uid="{F29793DA-13EB-439C-9F7D-1508EAEF562B}" name="Column13504"/>
    <tableColumn id="13524" xr3:uid="{7B389328-372B-4FAA-AAB7-653569D5DF05}" name="Column13505"/>
    <tableColumn id="13525" xr3:uid="{DA642604-A761-4171-B202-A73770AA6845}" name="Column13506"/>
    <tableColumn id="13526" xr3:uid="{D2D4935A-EACE-4446-9A60-F311825195BE}" name="Column13507"/>
    <tableColumn id="13527" xr3:uid="{3548E420-5CF8-4F6A-B961-17FF7047D8AB}" name="Column13508"/>
    <tableColumn id="13528" xr3:uid="{A1DAF55E-96C6-4A68-83C4-44E411739CB1}" name="Column13509"/>
    <tableColumn id="13529" xr3:uid="{8C0930B5-C3F6-4EDB-8639-C9E1F6A907D9}" name="Column13510"/>
    <tableColumn id="13530" xr3:uid="{41FAF9C4-0DEE-4594-B6CC-65A77CDC82AA}" name="Column13511"/>
    <tableColumn id="13531" xr3:uid="{44D6FFED-F593-46C1-A0EB-9186F1934C8B}" name="Column13512"/>
    <tableColumn id="13532" xr3:uid="{79F3726C-C933-44E8-B6A0-CC4E19A864F0}" name="Column13513"/>
    <tableColumn id="13533" xr3:uid="{CCF1A426-C6E0-4BA3-BCE6-63FC89200865}" name="Column13514"/>
    <tableColumn id="13534" xr3:uid="{9A293E3B-557A-4CE9-BDD4-C5418BA423A9}" name="Column13515"/>
    <tableColumn id="13535" xr3:uid="{5C2DD5BB-EA2B-414F-B6B5-57BBD819FAD1}" name="Column13516"/>
    <tableColumn id="13536" xr3:uid="{D9AF8FCF-0867-41A3-B7D9-59C84E2FD952}" name="Column13517"/>
    <tableColumn id="13537" xr3:uid="{250B87B9-1E54-48EA-BCAC-633F8E7FF72F}" name="Column13518"/>
    <tableColumn id="13538" xr3:uid="{4E346B80-9683-4D13-94B9-1FD4CC678577}" name="Column13519"/>
    <tableColumn id="13539" xr3:uid="{7EE91F00-EB3B-4948-AA37-D7DD552867B0}" name="Column13520"/>
    <tableColumn id="13540" xr3:uid="{4FBE88B5-D9A7-4354-B938-37CF9417207C}" name="Column13521"/>
    <tableColumn id="13541" xr3:uid="{8DAC7125-5BAB-4D02-88DF-0E31C595A9C9}" name="Column13522"/>
    <tableColumn id="13542" xr3:uid="{CA45DB5A-A3AF-4B93-B151-20D8D6DA3BD9}" name="Column13523"/>
    <tableColumn id="13543" xr3:uid="{A2B40135-A7DF-4946-976C-EF050F30E0F8}" name="Column13524"/>
    <tableColumn id="13544" xr3:uid="{86E253FB-6897-4773-B325-B35E3827BC4C}" name="Column13525"/>
    <tableColumn id="13545" xr3:uid="{0C0F0E11-A214-4473-9CC3-210B3B787470}" name="Column13526"/>
    <tableColumn id="13546" xr3:uid="{A30EEF7D-48CD-44FE-A1C4-519530AFAF50}" name="Column13527"/>
    <tableColumn id="13547" xr3:uid="{5D6DC3EF-A020-4B9F-9FCA-7F0206F6B132}" name="Column13528"/>
    <tableColumn id="13548" xr3:uid="{65A7C4E7-DD3D-4483-A903-0E1D274C29FD}" name="Column13529"/>
    <tableColumn id="13549" xr3:uid="{11423FE5-DA10-4034-8892-CC9C395BAA36}" name="Column13530"/>
    <tableColumn id="13550" xr3:uid="{DBFBC404-6322-48B2-B427-3D30B5BAA19F}" name="Column13531"/>
    <tableColumn id="13551" xr3:uid="{50760829-4376-4050-85FE-48572ED3C468}" name="Column13532"/>
    <tableColumn id="13552" xr3:uid="{4339A59C-275C-4F80-9DF5-338BD1B93648}" name="Column13533"/>
    <tableColumn id="13553" xr3:uid="{B4F13142-E116-4A4F-A84A-08470033E6BB}" name="Column13534"/>
    <tableColumn id="13554" xr3:uid="{B7B5F03D-1153-40CD-9B43-FB5F1D3937EA}" name="Column13535"/>
    <tableColumn id="13555" xr3:uid="{F65ABD22-0DC4-4EEA-89BE-09CE3F69957F}" name="Column13536"/>
    <tableColumn id="13556" xr3:uid="{248F2063-4EF6-4760-8A94-EEC4AE0F3957}" name="Column13537"/>
    <tableColumn id="13557" xr3:uid="{6F61BE36-245E-4774-A9DB-DC51E637DFC2}" name="Column13538"/>
    <tableColumn id="13558" xr3:uid="{CF49CFC0-E313-4DD9-B567-FF23750544EF}" name="Column13539"/>
    <tableColumn id="13559" xr3:uid="{EDB3A54A-5A09-4377-8541-EE68962CE404}" name="Column13540"/>
    <tableColumn id="13560" xr3:uid="{443040C8-88C6-42F0-8B58-4474D7A7211A}" name="Column13541"/>
    <tableColumn id="13561" xr3:uid="{AD5CF1C7-73CD-4DFD-8338-1FEEC0432F89}" name="Column13542"/>
    <tableColumn id="13562" xr3:uid="{38B1B71B-EF66-405D-B303-D248D9566A45}" name="Column13543"/>
    <tableColumn id="13563" xr3:uid="{3225D1F4-49B6-41B8-A215-EB7CD41B558F}" name="Column13544"/>
    <tableColumn id="13564" xr3:uid="{ACC476C9-899B-4A14-83E9-F332E759A76A}" name="Column13545"/>
    <tableColumn id="13565" xr3:uid="{8EDF2F49-E848-4B6B-BB37-D3A98AA51BD5}" name="Column13546"/>
    <tableColumn id="13566" xr3:uid="{33695700-FAF2-4BF6-AC66-CEC2420E91A9}" name="Column13547"/>
    <tableColumn id="13567" xr3:uid="{255066AA-F59A-48D1-9E93-D38D1D5B8744}" name="Column13548"/>
    <tableColumn id="13568" xr3:uid="{C8882396-C6EE-41BB-A6A9-936A0C33A50E}" name="Column13549"/>
    <tableColumn id="13569" xr3:uid="{20A9D138-506A-4414-8D6C-337DEBA525FA}" name="Column13550"/>
    <tableColumn id="13570" xr3:uid="{FC68BE3F-3245-4EA2-9CEB-8C6F32E2603A}" name="Column13551"/>
    <tableColumn id="13571" xr3:uid="{750192AE-A4CA-4228-8BD5-B108F6BE4836}" name="Column13552"/>
    <tableColumn id="13572" xr3:uid="{9F8EDA92-B4EF-42C5-859C-05F1E586127D}" name="Column13553"/>
    <tableColumn id="13573" xr3:uid="{99ED5EAC-D9AC-45E0-BDC9-98C313CA6276}" name="Column13554"/>
    <tableColumn id="13574" xr3:uid="{927ABD99-5AD1-482A-BCCA-B0F502032303}" name="Column13555"/>
    <tableColumn id="13575" xr3:uid="{4F040D5F-676C-4AA0-AF71-4DBD6A8087F1}" name="Column13556"/>
    <tableColumn id="13576" xr3:uid="{92E6F359-B9EB-4F74-B120-DAF3DCDED1A6}" name="Column13557"/>
    <tableColumn id="13577" xr3:uid="{B6A15D83-ABAE-48B9-9D23-3EB1E8F81DE9}" name="Column13558"/>
    <tableColumn id="13578" xr3:uid="{C4D12A3E-C74F-4B11-B426-207D3817ECAD}" name="Column13559"/>
    <tableColumn id="13579" xr3:uid="{39AB91F9-7047-48A8-8789-5A980959FAFB}" name="Column13560"/>
    <tableColumn id="13580" xr3:uid="{A66BEA74-B83B-4433-A266-912F7902214A}" name="Column13561"/>
    <tableColumn id="13581" xr3:uid="{C5EBF6E8-6522-47E3-B2EB-9398BBAF62E8}" name="Column13562"/>
    <tableColumn id="13582" xr3:uid="{9E87A34D-D1EB-4BB3-90AE-5578A5DD493A}" name="Column13563"/>
    <tableColumn id="13583" xr3:uid="{DC9C03AD-AEDE-4E2D-87B9-F6BB614A9B57}" name="Column13564"/>
    <tableColumn id="13584" xr3:uid="{AD1F9C52-25C3-4B21-A533-785B56C59E5D}" name="Column13565"/>
    <tableColumn id="13585" xr3:uid="{6EE80F23-6E84-45CD-A347-F972EF6C80E8}" name="Column13566"/>
    <tableColumn id="13586" xr3:uid="{CA05CF1B-E3DF-44B5-BC63-526BAEB53600}" name="Column13567"/>
    <tableColumn id="13587" xr3:uid="{10761E3B-4599-45A6-9560-12D4B046FB8C}" name="Column13568"/>
    <tableColumn id="13588" xr3:uid="{BD0164F8-2632-4493-B124-6375CDECA94F}" name="Column13569"/>
    <tableColumn id="13589" xr3:uid="{5DA63FC0-DF0C-40C9-9DFC-B2C7F2DEB429}" name="Column13570"/>
    <tableColumn id="13590" xr3:uid="{9B464754-A8B5-4999-B2F3-B7B56F401E17}" name="Column13571"/>
    <tableColumn id="13591" xr3:uid="{8A467C93-E9A5-4CC9-858A-E3A67E5A8CB9}" name="Column13572"/>
    <tableColumn id="13592" xr3:uid="{48552058-79F5-48F0-84B5-0494D381745A}" name="Column13573"/>
    <tableColumn id="13593" xr3:uid="{FDFA293C-EDA4-4C7D-A4F8-D848A55019BD}" name="Column13574"/>
    <tableColumn id="13594" xr3:uid="{D235BF08-D179-4252-BDBE-989CA78668FD}" name="Column13575"/>
    <tableColumn id="13595" xr3:uid="{10DC3F3D-AE27-4D4B-BCEE-AEE1BE0D636E}" name="Column13576"/>
    <tableColumn id="13596" xr3:uid="{D3E8243C-A221-427D-BC05-551732703048}" name="Column13577"/>
    <tableColumn id="13597" xr3:uid="{6E8BAADE-B1C1-4086-AAD0-A761208A62E6}" name="Column13578"/>
    <tableColumn id="13598" xr3:uid="{B6343494-FEBD-480E-9500-32C2D5F48B5D}" name="Column13579"/>
    <tableColumn id="13599" xr3:uid="{514425B7-DDF3-4061-9E33-5FFBAA0EF776}" name="Column13580"/>
    <tableColumn id="13600" xr3:uid="{C8EC6F89-DF86-46A9-9A8F-72C3300EBE19}" name="Column13581"/>
    <tableColumn id="13601" xr3:uid="{71919197-B397-4D1D-A9F3-231D6B3A1765}" name="Column13582"/>
    <tableColumn id="13602" xr3:uid="{7DE9F7A7-6D8E-442D-AB84-38D7B7996F84}" name="Column13583"/>
    <tableColumn id="13603" xr3:uid="{228EBD06-F5EF-45BE-A0E5-2ABBAFCA2FF2}" name="Column13584"/>
    <tableColumn id="13604" xr3:uid="{F710E73A-77A9-4075-A4A0-89B6D92242DA}" name="Column13585"/>
    <tableColumn id="13605" xr3:uid="{672AE997-0125-4941-8F13-76B1ED21BB04}" name="Column13586"/>
    <tableColumn id="13606" xr3:uid="{23077469-F6B5-478B-AE80-E6EE8F32355C}" name="Column13587"/>
    <tableColumn id="13607" xr3:uid="{3E0C7B7E-C3CF-4A06-BFF4-353CC0D531EB}" name="Column13588"/>
    <tableColumn id="13608" xr3:uid="{B56F7940-0DAD-4F59-9A40-B82832EFFE9D}" name="Column13589"/>
    <tableColumn id="13609" xr3:uid="{1835D726-44A1-46B7-8D16-273F6FD4C6D4}" name="Column13590"/>
    <tableColumn id="13610" xr3:uid="{61103A87-B19D-4F16-BC86-31F665108C1D}" name="Column13591"/>
    <tableColumn id="13611" xr3:uid="{7C4C19D6-0434-4F8E-860A-E2648825CBE4}" name="Column13592"/>
    <tableColumn id="13612" xr3:uid="{28DC1EB0-C00D-41D7-98E8-3C67A4C170E7}" name="Column13593"/>
    <tableColumn id="13613" xr3:uid="{BE2AAF71-3501-4CEF-9D22-2309F5AB37A4}" name="Column13594"/>
    <tableColumn id="13614" xr3:uid="{BE89FADB-7C87-4270-A805-11007F06EAA8}" name="Column13595"/>
    <tableColumn id="13615" xr3:uid="{5C83E3B4-A8CE-42EB-B5CF-87377ED149CA}" name="Column13596"/>
    <tableColumn id="13616" xr3:uid="{DFE18FEC-56C3-4519-8E91-978807A5271E}" name="Column13597"/>
    <tableColumn id="13617" xr3:uid="{CABACC62-C8CD-40D1-914B-15AF47996758}" name="Column13598"/>
    <tableColumn id="13618" xr3:uid="{4B3EBB27-C072-45F5-9771-B68C5F479523}" name="Column13599"/>
    <tableColumn id="13619" xr3:uid="{5FF1F1A2-5867-4AFE-A3CF-1FABA4E1AF75}" name="Column13600"/>
    <tableColumn id="13620" xr3:uid="{85A018B7-96CF-4470-AA55-0649CDF6D4E5}" name="Column13601"/>
    <tableColumn id="13621" xr3:uid="{CC7C2B83-B936-4F92-B1DD-CB357050FF0A}" name="Column13602"/>
    <tableColumn id="13622" xr3:uid="{CD2F9E06-FC7B-4C5F-9D8F-D04418C04BA2}" name="Column13603"/>
    <tableColumn id="13623" xr3:uid="{97537BD2-A93B-4FF4-AE04-EA9048C1074B}" name="Column13604"/>
    <tableColumn id="13624" xr3:uid="{FEC5BC56-F299-4513-A4C7-3D17F48C3A6A}" name="Column13605"/>
    <tableColumn id="13625" xr3:uid="{6FB1BC21-7172-48A0-906D-F3395686F181}" name="Column13606"/>
    <tableColumn id="13626" xr3:uid="{C851FAE2-653E-425D-9D9E-99A7CB7E4684}" name="Column13607"/>
    <tableColumn id="13627" xr3:uid="{71761747-C6A8-430D-9FAE-66C6B853343B}" name="Column13608"/>
    <tableColumn id="13628" xr3:uid="{A6976E95-A20A-4086-8A0A-96659BF0887C}" name="Column13609"/>
    <tableColumn id="13629" xr3:uid="{703F22B4-9A44-4667-8EF7-CF63E8663874}" name="Column13610"/>
    <tableColumn id="13630" xr3:uid="{31B239AE-E863-4475-9470-BE0C525084EC}" name="Column13611"/>
    <tableColumn id="13631" xr3:uid="{84620CFD-8E6C-4233-BCA8-324153BF9997}" name="Column13612"/>
    <tableColumn id="13632" xr3:uid="{3E7FBD91-25AA-495C-9080-DA93C7CE6EE5}" name="Column13613"/>
    <tableColumn id="13633" xr3:uid="{409B6336-BBAF-42D3-B8B5-1B511E67C929}" name="Column13614"/>
    <tableColumn id="13634" xr3:uid="{5C100A34-84E8-49A0-870B-E060BC4EE3E4}" name="Column13615"/>
    <tableColumn id="13635" xr3:uid="{FE8E4784-19E2-4553-9F3B-681580334CBF}" name="Column13616"/>
    <tableColumn id="13636" xr3:uid="{9E17B367-7BFF-4209-9A9F-E1FC1912F2A2}" name="Column13617"/>
    <tableColumn id="13637" xr3:uid="{D0C5FD23-1A20-4E02-838D-AFAED5CEC19F}" name="Column13618"/>
    <tableColumn id="13638" xr3:uid="{F5E8789E-430B-4904-9CAD-7069E8D846E9}" name="Column13619"/>
    <tableColumn id="13639" xr3:uid="{1A309B0F-4E81-430F-8AA8-B4364C9A47D4}" name="Column13620"/>
    <tableColumn id="13640" xr3:uid="{E5A29437-A5CB-43CA-93E9-C9F1C1E29510}" name="Column13621"/>
    <tableColumn id="13641" xr3:uid="{2B46DB22-307F-4FEC-AA73-94263EB20F46}" name="Column13622"/>
    <tableColumn id="13642" xr3:uid="{A756DC93-7869-49A2-99F7-E42F990F13CE}" name="Column13623"/>
    <tableColumn id="13643" xr3:uid="{9F3D9857-2A71-404B-8BB3-2FDDFEEF0157}" name="Column13624"/>
    <tableColumn id="13644" xr3:uid="{3186C290-6AEC-4CFD-B51A-E1E48AA2C7D0}" name="Column13625"/>
    <tableColumn id="13645" xr3:uid="{A7ED47B4-B7CB-4B89-9BE7-4F083FFA2F86}" name="Column13626"/>
    <tableColumn id="13646" xr3:uid="{F169BCB8-578A-47BF-8E05-32040DDCB6D6}" name="Column13627"/>
    <tableColumn id="13647" xr3:uid="{CAD158A8-8259-4C02-BCDE-73335127F709}" name="Column13628"/>
    <tableColumn id="13648" xr3:uid="{1D8A64FD-920C-4F3C-9B67-959426E5F5BA}" name="Column13629"/>
    <tableColumn id="13649" xr3:uid="{B87EEB0A-8C71-4D91-97B2-EB843401CE3F}" name="Column13630"/>
    <tableColumn id="13650" xr3:uid="{196A4F3C-D00C-44E8-9D7B-917B718D7290}" name="Column13631"/>
    <tableColumn id="13651" xr3:uid="{1A930F36-3D25-43D7-A4A4-B98104ACA73A}" name="Column13632"/>
    <tableColumn id="13652" xr3:uid="{E787A144-9844-42D7-879E-F17C0BDA4CF4}" name="Column13633"/>
    <tableColumn id="13653" xr3:uid="{9D94838B-6E61-4060-B85C-34E50B905A51}" name="Column13634"/>
    <tableColumn id="13654" xr3:uid="{3DDBE6EC-216F-48FA-BDD1-4DBF03310E1B}" name="Column13635"/>
    <tableColumn id="13655" xr3:uid="{F74CFD7D-9DAE-4F34-8928-6EC6A6D20909}" name="Column13636"/>
    <tableColumn id="13656" xr3:uid="{0CE48C0E-D07A-4472-91A4-FA77EEDC6B75}" name="Column13637"/>
    <tableColumn id="13657" xr3:uid="{15EB4EB1-9B1F-42DC-897D-1776B901282A}" name="Column13638"/>
    <tableColumn id="13658" xr3:uid="{FFF26297-3788-4F69-B89D-E9CA6256604E}" name="Column13639"/>
    <tableColumn id="13659" xr3:uid="{15F19738-0C4B-4E71-9D4D-57131D54FBD1}" name="Column13640"/>
    <tableColumn id="13660" xr3:uid="{32C84F8A-486A-4F61-B6AB-9F6A6232CD33}" name="Column13641"/>
    <tableColumn id="13661" xr3:uid="{14B30039-FEFD-4243-BA6B-E330D13B30A4}" name="Column13642"/>
    <tableColumn id="13662" xr3:uid="{8A8FBC4D-44BA-470A-A4C8-E385462F4638}" name="Column13643"/>
    <tableColumn id="13663" xr3:uid="{E800453D-A7A8-482C-A7E7-74806D3BF312}" name="Column13644"/>
    <tableColumn id="13664" xr3:uid="{6A38BA61-D96B-4951-877E-F7DD9B0315D5}" name="Column13645"/>
    <tableColumn id="13665" xr3:uid="{4DC5557D-D65B-4543-A4C7-1C950B7B2EB1}" name="Column13646"/>
    <tableColumn id="13666" xr3:uid="{FBBA3DBE-9275-4EA0-8078-6103E90D310F}" name="Column13647"/>
    <tableColumn id="13667" xr3:uid="{4624A494-8C0D-465A-91D5-5F31DBA13FCD}" name="Column13648"/>
    <tableColumn id="13668" xr3:uid="{D646FA68-0034-4546-A441-FA93CEFA5198}" name="Column13649"/>
    <tableColumn id="13669" xr3:uid="{70D1747C-5D24-4D8E-91C4-DF81A62FB56C}" name="Column13650"/>
    <tableColumn id="13670" xr3:uid="{A03D4EE5-486D-49D4-81F0-6DB11C96AC68}" name="Column13651"/>
    <tableColumn id="13671" xr3:uid="{964AF868-7F68-4202-9F55-D1B94BD0763F}" name="Column13652"/>
    <tableColumn id="13672" xr3:uid="{55B402E0-F423-4688-A869-EA8741AE711D}" name="Column13653"/>
    <tableColumn id="13673" xr3:uid="{14BA460B-A8C5-4DD4-B696-58164966C0BA}" name="Column13654"/>
    <tableColumn id="13674" xr3:uid="{5D80E879-2A45-4AF0-A4C1-03985DE7663E}" name="Column13655"/>
    <tableColumn id="13675" xr3:uid="{D0BE9D4C-C769-4F24-B79A-DFCD1573A649}" name="Column13656"/>
    <tableColumn id="13676" xr3:uid="{867FA53D-DE72-43E5-83BE-99625CF943A9}" name="Column13657"/>
    <tableColumn id="13677" xr3:uid="{E0019C43-BAC1-4EB0-AEED-9256BB3FF223}" name="Column13658"/>
    <tableColumn id="13678" xr3:uid="{23BD366F-1E2E-41FE-9839-B337A4DC10DB}" name="Column13659"/>
    <tableColumn id="13679" xr3:uid="{D6D83465-22A9-4D1F-BD42-5A67791D2792}" name="Column13660"/>
    <tableColumn id="13680" xr3:uid="{946D3DFE-43C1-4014-AD62-35D7051091FF}" name="Column13661"/>
    <tableColumn id="13681" xr3:uid="{F5EB5F83-7ABE-4697-8B07-8FC528A40AF4}" name="Column13662"/>
    <tableColumn id="13682" xr3:uid="{8BD2E267-6111-48FB-9C3B-B375F2C47805}" name="Column13663"/>
    <tableColumn id="13683" xr3:uid="{AF93DF9A-40CD-453E-BB7B-FA5A0D15CE51}" name="Column13664"/>
    <tableColumn id="13684" xr3:uid="{AE0580EF-90EB-46E7-9DC2-3C1B0FD09A09}" name="Column13665"/>
    <tableColumn id="13685" xr3:uid="{EE228F50-EBD0-40F3-9A9C-A70AF15DACA9}" name="Column13666"/>
    <tableColumn id="13686" xr3:uid="{1F4A9705-E95C-451B-9A7C-E10AB63E070E}" name="Column13667"/>
    <tableColumn id="13687" xr3:uid="{94083470-D8AE-4956-B03D-450E55909024}" name="Column13668"/>
    <tableColumn id="13688" xr3:uid="{FEE22CEC-9334-46D6-A8E3-A41C1EE7D340}" name="Column13669"/>
    <tableColumn id="13689" xr3:uid="{21ABAD70-7374-4CA8-9634-051D5E095BF8}" name="Column13670"/>
    <tableColumn id="13690" xr3:uid="{8230CD16-8CE9-456B-A7FB-D529A51006B3}" name="Column13671"/>
    <tableColumn id="13691" xr3:uid="{A0DDA484-FC98-4F1F-BF83-F6E1494EC398}" name="Column13672"/>
    <tableColumn id="13692" xr3:uid="{17661A98-D639-4EC9-ADBB-08D033FDF639}" name="Column13673"/>
    <tableColumn id="13693" xr3:uid="{171E5569-74EA-4696-9E6C-3083AD53E78A}" name="Column13674"/>
    <tableColumn id="13694" xr3:uid="{357E0C69-337B-4A4A-89CE-F55DD7E4FB43}" name="Column13675"/>
    <tableColumn id="13695" xr3:uid="{C5468689-71FE-4AB7-828E-9099F70861A1}" name="Column13676"/>
    <tableColumn id="13696" xr3:uid="{5E0A5BB2-7D1B-4E72-AD63-1AD1CDCB99D5}" name="Column13677"/>
    <tableColumn id="13697" xr3:uid="{E3216D1B-470A-4331-9553-02F87D6FDF44}" name="Column13678"/>
    <tableColumn id="13698" xr3:uid="{9969AF3A-352B-44FB-B00F-4ABB821442D8}" name="Column13679"/>
    <tableColumn id="13699" xr3:uid="{5D19B335-EB92-45E7-9287-0E3040F0AFDB}" name="Column13680"/>
    <tableColumn id="13700" xr3:uid="{A1E88DB1-3CB0-4E47-BBA1-792D49B0AFF8}" name="Column13681"/>
    <tableColumn id="13701" xr3:uid="{A92C42E9-3E05-4CE1-90BE-6231DEFD8D96}" name="Column13682"/>
    <tableColumn id="13702" xr3:uid="{C092E138-0D5D-4682-9C67-7D21B94B621B}" name="Column13683"/>
    <tableColumn id="13703" xr3:uid="{EB06AE11-C219-4E17-B6A9-505D67132964}" name="Column13684"/>
    <tableColumn id="13704" xr3:uid="{E18D74BC-C0BD-4AE5-9D35-AF4C33669BDF}" name="Column13685"/>
    <tableColumn id="13705" xr3:uid="{5C0DE15C-9D6D-46F4-8248-B89AB13DFBCC}" name="Column13686"/>
    <tableColumn id="13706" xr3:uid="{D9D540B6-5634-4360-BDE1-26CF7C0CAD6A}" name="Column13687"/>
    <tableColumn id="13707" xr3:uid="{8032CD53-FE86-4857-9E03-50DF2FFBA0DE}" name="Column13688"/>
    <tableColumn id="13708" xr3:uid="{2D7F3EBA-AA41-4958-A01F-C9300B40885E}" name="Column13689"/>
    <tableColumn id="13709" xr3:uid="{3F4B0044-82C6-4514-ADC8-B538B7D46D79}" name="Column13690"/>
    <tableColumn id="13710" xr3:uid="{D5E49099-826E-4CDB-B9C3-01B46195632A}" name="Column13691"/>
    <tableColumn id="13711" xr3:uid="{C775E69C-0B44-4F1B-9953-FEA2838C9555}" name="Column13692"/>
    <tableColumn id="13712" xr3:uid="{69573935-D9BF-4724-937E-8390485918E3}" name="Column13693"/>
    <tableColumn id="13713" xr3:uid="{AE42CDB5-8F46-45D5-9850-886A9A2A03D3}" name="Column13694"/>
    <tableColumn id="13714" xr3:uid="{F40494E6-6867-48BE-B945-8AFF1F3CF36B}" name="Column13695"/>
    <tableColumn id="13715" xr3:uid="{46D067EF-5756-4F44-889F-9417073ACBB0}" name="Column13696"/>
    <tableColumn id="13716" xr3:uid="{E8024DE2-B1BD-4FA3-89A7-22B708795F1B}" name="Column13697"/>
    <tableColumn id="13717" xr3:uid="{3F1D1AC0-F61B-44E6-87A4-BC076790A7AA}" name="Column13698"/>
    <tableColumn id="13718" xr3:uid="{472843F0-B4D2-46D1-B6FE-8E653BBF95EE}" name="Column13699"/>
    <tableColumn id="13719" xr3:uid="{37525E34-AF00-4EF3-878C-97259E7EECCC}" name="Column13700"/>
    <tableColumn id="13720" xr3:uid="{F45C58C7-33C0-417B-AE3C-B10A820E5EEE}" name="Column13701"/>
    <tableColumn id="13721" xr3:uid="{7E9B32BD-2E5E-4167-87F4-A468CC106CBD}" name="Column13702"/>
    <tableColumn id="13722" xr3:uid="{22A3B9F3-C1F0-408A-9B8E-A26A6856D106}" name="Column13703"/>
    <tableColumn id="13723" xr3:uid="{4159AB15-35D2-489D-ACA9-4BA524D99840}" name="Column13704"/>
    <tableColumn id="13724" xr3:uid="{8D4879D7-5256-4AFD-8997-AB3EB31E2955}" name="Column13705"/>
    <tableColumn id="13725" xr3:uid="{3F4D477F-4026-4759-B5A7-D05FBA71FF8C}" name="Column13706"/>
    <tableColumn id="13726" xr3:uid="{F2B66D50-A192-4E62-8A68-47EDE2FB1E9F}" name="Column13707"/>
    <tableColumn id="13727" xr3:uid="{0867D4B3-BD63-4A09-B6A9-A1EC6E32487F}" name="Column13708"/>
    <tableColumn id="13728" xr3:uid="{B38ACED6-161B-4C2B-BF96-5E005DDE47CD}" name="Column13709"/>
    <tableColumn id="13729" xr3:uid="{43E7EB85-4FF6-4B1A-9914-46822A383AFF}" name="Column13710"/>
    <tableColumn id="13730" xr3:uid="{D84CE282-128D-446D-AA58-540284AF01A2}" name="Column13711"/>
    <tableColumn id="13731" xr3:uid="{1561988B-C07B-474D-97BF-1ADD903D1CAC}" name="Column13712"/>
    <tableColumn id="13732" xr3:uid="{BA395F60-FF83-46CD-87EA-751AA2047749}" name="Column13713"/>
    <tableColumn id="13733" xr3:uid="{B4771EFE-6EA0-40A1-97D9-FC61F0B03FDE}" name="Column13714"/>
    <tableColumn id="13734" xr3:uid="{81EB3503-EE5C-4246-A3A2-3CA18A32EB71}" name="Column13715"/>
    <tableColumn id="13735" xr3:uid="{B51750C0-1317-4A71-8336-526F6258915F}" name="Column13716"/>
    <tableColumn id="13736" xr3:uid="{28674287-0C30-4A54-8A56-911E9CBCDC45}" name="Column13717"/>
    <tableColumn id="13737" xr3:uid="{D7A55C40-C9E8-4BA0-88C2-BEEF849881ED}" name="Column13718"/>
    <tableColumn id="13738" xr3:uid="{91608BB8-6A17-49DD-ACC8-FC9140A42357}" name="Column13719"/>
    <tableColumn id="13739" xr3:uid="{2EA4CFF0-0855-4DCB-8C06-9B600B3F345E}" name="Column13720"/>
    <tableColumn id="13740" xr3:uid="{EF277518-C73C-41BE-9303-109DB19DBEAE}" name="Column13721"/>
    <tableColumn id="13741" xr3:uid="{8BD929B3-A049-4555-9607-574E5A548D9A}" name="Column13722"/>
    <tableColumn id="13742" xr3:uid="{FE3E6A8A-202D-44CA-AB23-6E31DDCA79FB}" name="Column13723"/>
    <tableColumn id="13743" xr3:uid="{A0094DD4-17CF-42D3-9320-C2ACD2D022A8}" name="Column13724"/>
    <tableColumn id="13744" xr3:uid="{6EC2AA03-A55A-426D-B38D-3C615B13DFB1}" name="Column13725"/>
    <tableColumn id="13745" xr3:uid="{AC9EE6BF-536B-4A58-B65C-7D39F81C77AA}" name="Column13726"/>
    <tableColumn id="13746" xr3:uid="{E1BCA84C-6E0E-49A7-87D7-06C10B03B6BD}" name="Column13727"/>
    <tableColumn id="13747" xr3:uid="{B38A5A7A-468A-43BA-8605-79052237F529}" name="Column13728"/>
    <tableColumn id="13748" xr3:uid="{F4C31795-6D2A-4FDD-B3F0-E4C3342EBBFF}" name="Column13729"/>
    <tableColumn id="13749" xr3:uid="{6A433631-FBCC-40E6-B83D-691B5BC39D7F}" name="Column13730"/>
    <tableColumn id="13750" xr3:uid="{507D27CE-615F-4CD7-AD59-F27DB86690FB}" name="Column13731"/>
    <tableColumn id="13751" xr3:uid="{32687467-A339-4AB1-BD63-FAB76A64196A}" name="Column13732"/>
    <tableColumn id="13752" xr3:uid="{1603F52F-1691-4A9D-9C9D-0096EF7EED2F}" name="Column13733"/>
    <tableColumn id="13753" xr3:uid="{B0E99315-0AC8-451D-94B7-9F7D63B2A98B}" name="Column13734"/>
    <tableColumn id="13754" xr3:uid="{D931A8F8-C1F5-449F-A6FF-518A418A5013}" name="Column13735"/>
    <tableColumn id="13755" xr3:uid="{16C660D2-8EF5-4984-BFD2-293E806942AF}" name="Column13736"/>
    <tableColumn id="13756" xr3:uid="{514442C9-3BDA-4696-BF93-BC5CDC846B8A}" name="Column13737"/>
    <tableColumn id="13757" xr3:uid="{2E80565D-6B49-429D-AF1B-FFC5D21DDCF7}" name="Column13738"/>
    <tableColumn id="13758" xr3:uid="{4AB666BE-E96E-41B9-8EC8-ADF80EF118DA}" name="Column13739"/>
    <tableColumn id="13759" xr3:uid="{1D029DE5-1FD2-4ACD-AD3C-EDC38EDC71CF}" name="Column13740"/>
    <tableColumn id="13760" xr3:uid="{5F7AC127-3388-4F40-AC2D-44DFF3C5BEA6}" name="Column13741"/>
    <tableColumn id="13761" xr3:uid="{0497CCE6-B101-48E6-8961-3350BB415B5A}" name="Column13742"/>
    <tableColumn id="13762" xr3:uid="{32E8F1EE-6463-4EB6-9C3F-A63028DA1F0B}" name="Column13743"/>
    <tableColumn id="13763" xr3:uid="{038C3D0C-B767-478C-8434-B07DA90640B4}" name="Column13744"/>
    <tableColumn id="13764" xr3:uid="{17E7C99B-E626-49BF-92BA-234ACE135DDE}" name="Column13745"/>
    <tableColumn id="13765" xr3:uid="{6C9F4DB3-D2D7-42A3-969E-A6D81D14F5B9}" name="Column13746"/>
    <tableColumn id="13766" xr3:uid="{89F72BB4-626F-426C-87D2-FA226E26AE22}" name="Column13747"/>
    <tableColumn id="13767" xr3:uid="{CC1BE259-3907-4F8E-91F8-E6AC46887C37}" name="Column13748"/>
    <tableColumn id="13768" xr3:uid="{6BE361A9-DCDA-42DE-9D5C-4E62371FC024}" name="Column13749"/>
    <tableColumn id="13769" xr3:uid="{03F28024-8577-4C5E-862A-FDC6EF1D4B3F}" name="Column13750"/>
    <tableColumn id="13770" xr3:uid="{67D07386-F5AD-43D8-A030-FE8FA01201A4}" name="Column13751"/>
    <tableColumn id="13771" xr3:uid="{99BD2D0E-10C6-4ED5-A046-0DCFD3027E36}" name="Column13752"/>
    <tableColumn id="13772" xr3:uid="{74CF137F-7DCD-4334-84F1-6BEAD357FAE1}" name="Column13753"/>
    <tableColumn id="13773" xr3:uid="{731A054C-5C81-44AA-8C36-AA0E43D8C828}" name="Column13754"/>
    <tableColumn id="13774" xr3:uid="{686F66D0-E12C-477D-87C8-958CF91EB974}" name="Column13755"/>
    <tableColumn id="13775" xr3:uid="{3CA058A3-204E-4C72-A5F2-ABEFCC4C8F55}" name="Column13756"/>
    <tableColumn id="13776" xr3:uid="{92F215F8-7BE9-4978-842D-7B9ACFAF2B1B}" name="Column13757"/>
    <tableColumn id="13777" xr3:uid="{65619E2C-FC77-491C-8987-4D4FCFAD7832}" name="Column13758"/>
    <tableColumn id="13778" xr3:uid="{4539DA13-28CB-4DEE-8687-150DDC9BF8D2}" name="Column13759"/>
    <tableColumn id="13779" xr3:uid="{33830328-7371-4376-A144-2F30D17D6FA7}" name="Column13760"/>
    <tableColumn id="13780" xr3:uid="{E9006DCF-3DD9-4FF6-AF2A-5D044DDC7C55}" name="Column13761"/>
    <tableColumn id="13781" xr3:uid="{64ABF5AF-81FF-4487-A6B8-2490BFB78D11}" name="Column13762"/>
    <tableColumn id="13782" xr3:uid="{969510F6-80E3-4975-8E7F-C0CE4D9208DD}" name="Column13763"/>
    <tableColumn id="13783" xr3:uid="{31F6D9CA-5CF2-42B4-839D-E574FBCDC7FB}" name="Column13764"/>
    <tableColumn id="13784" xr3:uid="{F2E9FACF-2F20-4564-867B-8D13CF313623}" name="Column13765"/>
    <tableColumn id="13785" xr3:uid="{C877E400-9A20-4FFE-9C58-7746C7D289E1}" name="Column13766"/>
    <tableColumn id="13786" xr3:uid="{3E616E42-36F5-4C4E-8D21-2BD24F365CAA}" name="Column13767"/>
    <tableColumn id="13787" xr3:uid="{92450F17-E71D-419A-A251-23B6539B89CF}" name="Column13768"/>
    <tableColumn id="13788" xr3:uid="{3AD13BBC-A95D-498F-9E21-F137EEE11910}" name="Column13769"/>
    <tableColumn id="13789" xr3:uid="{B48031BB-5599-4826-B0C7-907883FFE0F8}" name="Column13770"/>
    <tableColumn id="13790" xr3:uid="{1F479CB7-DD92-4E91-A24F-76137C67672C}" name="Column13771"/>
    <tableColumn id="13791" xr3:uid="{CF555847-18E5-4923-98A8-E43EDDA3C847}" name="Column13772"/>
    <tableColumn id="13792" xr3:uid="{1C186DBB-659F-42F0-8526-22648A6406B1}" name="Column13773"/>
    <tableColumn id="13793" xr3:uid="{BF3418A1-21DE-4AFB-BDBD-B70558C2EB47}" name="Column13774"/>
    <tableColumn id="13794" xr3:uid="{0F22147E-20ED-4002-90D9-9971FA072886}" name="Column13775"/>
    <tableColumn id="13795" xr3:uid="{5AB87BE7-8529-420E-9E6E-F5E7F0B09E8C}" name="Column13776"/>
    <tableColumn id="13796" xr3:uid="{F3C0F54C-5181-465E-9BEC-88109E90352D}" name="Column13777"/>
    <tableColumn id="13797" xr3:uid="{4F96BD8B-4131-41CD-B7E6-626BE7A770AC}" name="Column13778"/>
    <tableColumn id="13798" xr3:uid="{BE882A36-D969-40E6-B693-AA2CA1BB09B5}" name="Column13779"/>
    <tableColumn id="13799" xr3:uid="{45221819-9E95-4C6B-92D3-8BD8B4FE82FC}" name="Column13780"/>
    <tableColumn id="13800" xr3:uid="{9CAA195B-F2FC-4EF8-9005-7CAF301543DC}" name="Column13781"/>
    <tableColumn id="13801" xr3:uid="{6AC0E6FC-765A-4D5C-AA19-DDCC80E53C0F}" name="Column13782"/>
    <tableColumn id="13802" xr3:uid="{53DF4299-EB03-431D-94B5-CA68C41F5726}" name="Column13783"/>
    <tableColumn id="13803" xr3:uid="{C4F8062A-55FF-4FED-92E2-A511769FCF5E}" name="Column13784"/>
    <tableColumn id="13804" xr3:uid="{820932B5-BE2D-47A2-ACDF-E0DA8344EB7C}" name="Column13785"/>
    <tableColumn id="13805" xr3:uid="{91A03DFD-9114-483C-9A39-EE7E0F7C6342}" name="Column13786"/>
    <tableColumn id="13806" xr3:uid="{C84DC40B-30B5-4D65-B898-47D39EC10DFC}" name="Column13787"/>
    <tableColumn id="13807" xr3:uid="{8F3F1FE9-58F1-40DB-AC1D-0141CD486ACF}" name="Column13788"/>
    <tableColumn id="13808" xr3:uid="{E79D4FC4-029C-41DD-A893-F9446E038E0D}" name="Column13789"/>
    <tableColumn id="13809" xr3:uid="{7182D9D3-51D0-4854-9458-E9F700DC5378}" name="Column13790"/>
    <tableColumn id="13810" xr3:uid="{B7B878EF-9E54-46CC-9331-8AFD6E55B84F}" name="Column13791"/>
    <tableColumn id="13811" xr3:uid="{E7DEA641-1AE3-4DA4-8517-CD82DCDF3E08}" name="Column13792"/>
    <tableColumn id="13812" xr3:uid="{49625DBD-687C-42C0-BD99-C43491BECD63}" name="Column13793"/>
    <tableColumn id="13813" xr3:uid="{FD0870E4-852E-4C4F-9DF1-F1E993518CE3}" name="Column13794"/>
    <tableColumn id="13814" xr3:uid="{5A371042-105B-4661-85AA-23C98FB036ED}" name="Column13795"/>
    <tableColumn id="13815" xr3:uid="{0F72C61B-FBEC-42F0-9304-504890352A80}" name="Column13796"/>
    <tableColumn id="13816" xr3:uid="{745A4EAD-4841-4E22-9AB7-BB179597FFE9}" name="Column13797"/>
    <tableColumn id="13817" xr3:uid="{B4AFAEF4-273F-46BC-84AC-D03CAC3DBFC6}" name="Column13798"/>
    <tableColumn id="13818" xr3:uid="{3B7A1DB3-E9C8-4338-92A1-5F9A20F4F69F}" name="Column13799"/>
    <tableColumn id="13819" xr3:uid="{053901D8-EE32-42B8-AAB2-04DCC060B5FD}" name="Column13800"/>
    <tableColumn id="13820" xr3:uid="{A9FDE846-E613-4D9A-94C1-40D54122BF60}" name="Column13801"/>
    <tableColumn id="13821" xr3:uid="{40CEE118-8E25-4901-96EE-896FBC02685C}" name="Column13802"/>
    <tableColumn id="13822" xr3:uid="{E3C05507-F606-4B82-AD9E-73EC958FEF63}" name="Column13803"/>
    <tableColumn id="13823" xr3:uid="{9A34A104-FBFD-48AD-AEA4-704D651A6CFB}" name="Column13804"/>
    <tableColumn id="13824" xr3:uid="{83021DEB-72C4-4AFB-99FE-E9CBA5749BA5}" name="Column13805"/>
    <tableColumn id="13825" xr3:uid="{0DB5E7EC-4EF9-4F9D-B497-79D7362590EE}" name="Column13806"/>
    <tableColumn id="13826" xr3:uid="{E091A7EC-244B-41C2-97F3-EF74C2A8749D}" name="Column13807"/>
    <tableColumn id="13827" xr3:uid="{6FC06772-C2BE-4E38-A76C-C441C77E652D}" name="Column13808"/>
    <tableColumn id="13828" xr3:uid="{D67FEBE1-CA6C-4906-8049-B60BD2702D87}" name="Column13809"/>
    <tableColumn id="13829" xr3:uid="{B0F41D18-FD14-4BF1-B0F5-5061BB51083B}" name="Column13810"/>
    <tableColumn id="13830" xr3:uid="{81ED8118-D228-40C9-A40A-613C43C17DA5}" name="Column13811"/>
    <tableColumn id="13831" xr3:uid="{D0BFA07A-2660-405F-8875-C7AEB06CCA36}" name="Column13812"/>
    <tableColumn id="13832" xr3:uid="{23176711-0DB7-45C0-98CB-ADB2CCAEBD0E}" name="Column13813"/>
    <tableColumn id="13833" xr3:uid="{59C15F74-DA21-40F2-9CB4-8A5F6FAD9468}" name="Column13814"/>
    <tableColumn id="13834" xr3:uid="{D1080E38-407C-4F98-B893-0FCB738BF56B}" name="Column13815"/>
    <tableColumn id="13835" xr3:uid="{79E5DB67-BD5A-4820-BF27-3B19FB92C8AA}" name="Column13816"/>
    <tableColumn id="13836" xr3:uid="{16C4D454-9EB7-46D2-A78B-2AA72B8FFDD5}" name="Column13817"/>
    <tableColumn id="13837" xr3:uid="{38ED617F-7DF4-4E7F-82B6-26FCD1377F2D}" name="Column13818"/>
    <tableColumn id="13838" xr3:uid="{0D4B1FEE-767D-4CB1-A79D-8A6F78E22FB9}" name="Column13819"/>
    <tableColumn id="13839" xr3:uid="{80FD5B81-96A0-4E3F-94F6-65DE386429E4}" name="Column13820"/>
    <tableColumn id="13840" xr3:uid="{FC4C4D25-83FF-4A90-A518-4D73300F9916}" name="Column13821"/>
    <tableColumn id="13841" xr3:uid="{8AECB798-B8C2-4209-A5B2-8655C1DD30FF}" name="Column13822"/>
    <tableColumn id="13842" xr3:uid="{06D484A9-9413-4088-B629-9C52D8801A07}" name="Column13823"/>
    <tableColumn id="13843" xr3:uid="{90DB6586-F1C8-4A94-8F4E-6BF773BC9B9C}" name="Column13824"/>
    <tableColumn id="13844" xr3:uid="{D1ED3FB7-CB39-43ED-9E3E-EFD820E09916}" name="Column13825"/>
    <tableColumn id="13845" xr3:uid="{8F89E60E-D9D3-4DB5-BBA1-B157FF510EEC}" name="Column13826"/>
    <tableColumn id="13846" xr3:uid="{839E87D1-7FED-4686-8CD6-1C02C50E669A}" name="Column13827"/>
    <tableColumn id="13847" xr3:uid="{B767EA3E-1E5C-4526-ACF1-F1090067826E}" name="Column13828"/>
    <tableColumn id="13848" xr3:uid="{D20B6DEB-B748-40CE-AB3B-37B84A343454}" name="Column13829"/>
    <tableColumn id="13849" xr3:uid="{DE5327B0-7CF2-42F1-8FFC-A2FFDA3FC593}" name="Column13830"/>
    <tableColumn id="13850" xr3:uid="{ABBBCBAC-B035-4CBC-9A02-CC90D9C7E69E}" name="Column13831"/>
    <tableColumn id="13851" xr3:uid="{96F17090-9077-44B3-BAA9-3B13C5C5F5AC}" name="Column13832"/>
    <tableColumn id="13852" xr3:uid="{32CFABA7-F8D6-4F83-92DD-BB1BCD734578}" name="Column13833"/>
    <tableColumn id="13853" xr3:uid="{44DCDB38-5B4A-44BB-A746-303FEF063EB4}" name="Column13834"/>
    <tableColumn id="13854" xr3:uid="{50D399F8-BD9E-4781-B92B-DF676F898F79}" name="Column13835"/>
    <tableColumn id="13855" xr3:uid="{E6B5032F-FD73-4A7C-9AFB-878F6FA21E49}" name="Column13836"/>
    <tableColumn id="13856" xr3:uid="{9DDA1449-150F-4787-8810-BF05B52A29F5}" name="Column13837"/>
    <tableColumn id="13857" xr3:uid="{41CA5480-229A-4412-88C5-AF4A435E4493}" name="Column13838"/>
    <tableColumn id="13858" xr3:uid="{6A903301-EE53-4E2E-8079-BBE1611BD097}" name="Column13839"/>
    <tableColumn id="13859" xr3:uid="{78843C9B-CB39-446E-808F-D74E3BB69D85}" name="Column13840"/>
    <tableColumn id="13860" xr3:uid="{BB18BAF9-BA61-42F6-A8DB-B24C667ADAE7}" name="Column13841"/>
    <tableColumn id="13861" xr3:uid="{449D13F8-869C-4C65-9B1E-7BBAB5190AE2}" name="Column13842"/>
    <tableColumn id="13862" xr3:uid="{FD008398-70B4-46FC-B72F-54117FCC806B}" name="Column13843"/>
    <tableColumn id="13863" xr3:uid="{00ACDB33-2FBC-462C-9CEE-ADBEFA6C7952}" name="Column13844"/>
    <tableColumn id="13864" xr3:uid="{DB4216D6-8F6C-4238-8AFD-71EBF160D82C}" name="Column13845"/>
    <tableColumn id="13865" xr3:uid="{2ECFDFFA-39A2-4B34-8DEA-859E2FF03988}" name="Column13846"/>
    <tableColumn id="13866" xr3:uid="{6205CE77-F310-4EE0-9481-D4F525E17DE3}" name="Column13847"/>
    <tableColumn id="13867" xr3:uid="{5D254249-7BB7-4DCE-B358-CBA651E361AC}" name="Column13848"/>
    <tableColumn id="13868" xr3:uid="{16020127-DFAF-4241-8C57-794C884E8936}" name="Column13849"/>
    <tableColumn id="13869" xr3:uid="{024F72E7-91F6-4FE6-8F5C-F067824F953C}" name="Column13850"/>
    <tableColumn id="13870" xr3:uid="{F1F98597-AF1A-452B-B7BA-03A6DBB0EA4D}" name="Column13851"/>
    <tableColumn id="13871" xr3:uid="{AE51A670-497E-42A0-A853-B266B5EDA733}" name="Column13852"/>
    <tableColumn id="13872" xr3:uid="{9016B060-78B7-4A1C-B952-B6B8CCEBD33B}" name="Column13853"/>
    <tableColumn id="13873" xr3:uid="{EA132B2C-388A-4FDD-B421-E0ADC80A28CE}" name="Column13854"/>
    <tableColumn id="13874" xr3:uid="{9C84E29A-0907-4AA1-A526-395BAED00D44}" name="Column13855"/>
    <tableColumn id="13875" xr3:uid="{BF2556A3-EAE2-4A4D-A3E4-CD1235C9D4D4}" name="Column13856"/>
    <tableColumn id="13876" xr3:uid="{DFD18CE1-7ABE-45F1-BF3C-A991C973124E}" name="Column13857"/>
    <tableColumn id="13877" xr3:uid="{5AE03DB8-85BA-44C7-A7A4-3147F588F4B8}" name="Column13858"/>
    <tableColumn id="13878" xr3:uid="{8DF56943-F392-455F-9272-A3C666A55189}" name="Column13859"/>
    <tableColumn id="13879" xr3:uid="{EF626520-A011-45A1-B9DA-D0096840C05C}" name="Column13860"/>
    <tableColumn id="13880" xr3:uid="{D0638FAE-779B-4967-BFC4-39F9D414114C}" name="Column13861"/>
    <tableColumn id="13881" xr3:uid="{C4E0412B-2BBE-4649-8B9B-2B57A395DE91}" name="Column13862"/>
    <tableColumn id="13882" xr3:uid="{6D7A7511-D4A5-4AB9-A551-4375045F221B}" name="Column13863"/>
    <tableColumn id="13883" xr3:uid="{07BEDBD8-8458-4D6C-829E-E6CA96EB89B4}" name="Column13864"/>
    <tableColumn id="13884" xr3:uid="{C62E51B2-8E40-4B46-8735-282E91F8F0DA}" name="Column13865"/>
    <tableColumn id="13885" xr3:uid="{7A3F85A8-2EE8-47FB-850D-5B917B4D25EB}" name="Column13866"/>
    <tableColumn id="13886" xr3:uid="{F2A1DCEE-FD1D-4669-A26A-B5F56D7EC30C}" name="Column13867"/>
    <tableColumn id="13887" xr3:uid="{652FD6CF-20AD-482A-B4E5-A07572FC9CBF}" name="Column13868"/>
    <tableColumn id="13888" xr3:uid="{6C5BFD8C-75AE-4134-B733-72B26B2355CE}" name="Column13869"/>
    <tableColumn id="13889" xr3:uid="{A159046D-F345-498F-B10E-55B67AC0F5F6}" name="Column13870"/>
    <tableColumn id="13890" xr3:uid="{C4C93D13-CB7D-4564-9713-80A101155B31}" name="Column13871"/>
    <tableColumn id="13891" xr3:uid="{DD0E7D36-15F5-4364-850E-20AF49290E93}" name="Column13872"/>
    <tableColumn id="13892" xr3:uid="{B019BF86-839E-4043-BD2E-2E1049D88722}" name="Column13873"/>
    <tableColumn id="13893" xr3:uid="{BE44BA91-277F-4206-8FE7-40919E6E49DE}" name="Column13874"/>
    <tableColumn id="13894" xr3:uid="{1389E5C4-155C-43CA-A794-24E28E6EB899}" name="Column13875"/>
    <tableColumn id="13895" xr3:uid="{550AF0FC-3D8D-4E1A-85B8-1DDEC0360880}" name="Column13876"/>
    <tableColumn id="13896" xr3:uid="{A0989327-CB9A-4F83-B862-920F8FD0A089}" name="Column13877"/>
    <tableColumn id="13897" xr3:uid="{4CCB01E8-90E8-4D24-AB02-00CA4733260E}" name="Column13878"/>
    <tableColumn id="13898" xr3:uid="{23B2401F-FD59-48F0-A229-A3341C3FACC1}" name="Column13879"/>
    <tableColumn id="13899" xr3:uid="{D3A2799A-6A53-48FA-8EB3-E4116736AE63}" name="Column13880"/>
    <tableColumn id="13900" xr3:uid="{B60055BE-FC38-4180-9721-B81416329B54}" name="Column13881"/>
    <tableColumn id="13901" xr3:uid="{A1C512A0-38B4-451F-95DB-54CB78DA951C}" name="Column13882"/>
    <tableColumn id="13902" xr3:uid="{B4DB1375-72DE-4415-9069-E58170BD25B6}" name="Column13883"/>
    <tableColumn id="13903" xr3:uid="{37C43BE7-6FE8-43F7-AE53-35465B985018}" name="Column13884"/>
    <tableColumn id="13904" xr3:uid="{B81D9C93-01D8-4A83-8367-DB32425AAD16}" name="Column13885"/>
    <tableColumn id="13905" xr3:uid="{CC78BF57-BC2B-4BDC-B31F-AF25D691321F}" name="Column13886"/>
    <tableColumn id="13906" xr3:uid="{DF148B67-DC7F-4F73-986C-6A8D78DDD55E}" name="Column13887"/>
    <tableColumn id="13907" xr3:uid="{C83AC2A0-763C-43B2-BD66-5A5A21267726}" name="Column13888"/>
    <tableColumn id="13908" xr3:uid="{6138DF7A-363B-464A-BEB8-CF5F080F0B44}" name="Column13889"/>
    <tableColumn id="13909" xr3:uid="{7CE49694-0EC9-48BA-BB87-DBD723D03659}" name="Column13890"/>
    <tableColumn id="13910" xr3:uid="{110A2721-4217-4713-9063-FD3C5B731B4A}" name="Column13891"/>
    <tableColumn id="13911" xr3:uid="{606E63AA-D745-4DF0-873D-F0BB56506174}" name="Column13892"/>
    <tableColumn id="13912" xr3:uid="{9AD36514-9B13-45BF-A75F-A4AF00644EDA}" name="Column13893"/>
    <tableColumn id="13913" xr3:uid="{EAADC298-CD0D-47C0-901D-775295F2F2C5}" name="Column13894"/>
    <tableColumn id="13914" xr3:uid="{9C5CEAD1-FFA9-4F5F-B913-C9F0D7900AB6}" name="Column13895"/>
    <tableColumn id="13915" xr3:uid="{5CB4843A-EB65-40E0-85BD-52FBDE8695D1}" name="Column13896"/>
    <tableColumn id="13916" xr3:uid="{3B77CE57-8D0D-4519-8718-820436A12BDB}" name="Column13897"/>
    <tableColumn id="13917" xr3:uid="{3632A789-24AA-455F-B9F1-DAED632EB202}" name="Column13898"/>
    <tableColumn id="13918" xr3:uid="{4FA3960F-A33B-4F80-BBC5-59757ADAEF6E}" name="Column13899"/>
    <tableColumn id="13919" xr3:uid="{5B97CE82-5D48-44E2-8DDF-61BAE0D5B72C}" name="Column13900"/>
    <tableColumn id="13920" xr3:uid="{CAD8753A-9182-4835-B325-2C02AB88BD96}" name="Column13901"/>
    <tableColumn id="13921" xr3:uid="{2ACBC341-C254-4471-A5DA-97AEDD80FA51}" name="Column13902"/>
    <tableColumn id="13922" xr3:uid="{9DA5B938-259A-4540-BFCC-6C98431C4B9E}" name="Column13903"/>
    <tableColumn id="13923" xr3:uid="{5BE02E01-0C8C-4334-9DCA-B7EB8944B4B3}" name="Column13904"/>
    <tableColumn id="13924" xr3:uid="{8E295F01-08E4-43B5-8925-C3B7729AD3C3}" name="Column13905"/>
    <tableColumn id="13925" xr3:uid="{5CA6E5BC-3297-4AC8-B77B-93232172010B}" name="Column13906"/>
    <tableColumn id="13926" xr3:uid="{26759FEF-CBA9-44C3-994C-F8B8E63E77CF}" name="Column13907"/>
    <tableColumn id="13927" xr3:uid="{E6E949A0-53B6-4B2D-BE22-78272C03EE35}" name="Column13908"/>
    <tableColumn id="13928" xr3:uid="{F277E5CC-7E53-4482-91BE-7EC45E7E0B27}" name="Column13909"/>
    <tableColumn id="13929" xr3:uid="{4778A188-9217-4C35-9136-E46B2C6647A0}" name="Column13910"/>
    <tableColumn id="13930" xr3:uid="{F33C771B-C178-4572-979F-4A9A41F42B84}" name="Column13911"/>
    <tableColumn id="13931" xr3:uid="{6864ACFF-0788-41C8-832C-91B98B015CFE}" name="Column13912"/>
    <tableColumn id="13932" xr3:uid="{51346680-DA20-4F98-A343-31416FCBBEDB}" name="Column13913"/>
    <tableColumn id="13933" xr3:uid="{9695125C-666C-4946-A8F1-EEECF46B85D1}" name="Column13914"/>
    <tableColumn id="13934" xr3:uid="{004F089D-7A43-4C6B-AA4C-6A5866FA4C90}" name="Column13915"/>
    <tableColumn id="13935" xr3:uid="{811D04F0-DB62-4E4E-A5CC-3D9EFF4E847B}" name="Column13916"/>
    <tableColumn id="13936" xr3:uid="{3B92AED6-EC6A-4C88-B603-1B7CF5392475}" name="Column13917"/>
    <tableColumn id="13937" xr3:uid="{9E63675E-2BB2-45FC-91C5-A97C8784AACE}" name="Column13918"/>
    <tableColumn id="13938" xr3:uid="{41193002-F71F-463E-A8F0-DC3730FAC2BF}" name="Column13919"/>
    <tableColumn id="13939" xr3:uid="{BE4678BC-1487-447D-B703-3F516BD480E9}" name="Column13920"/>
    <tableColumn id="13940" xr3:uid="{CE10D401-C676-4900-BFC6-A7832EAA4FF8}" name="Column13921"/>
    <tableColumn id="13941" xr3:uid="{19CAAE79-2852-45BB-9513-A4678ADD97EC}" name="Column13922"/>
    <tableColumn id="13942" xr3:uid="{C1288A33-9171-407F-8C0B-9459DB3E5A50}" name="Column13923"/>
    <tableColumn id="13943" xr3:uid="{33C338A8-8FAA-48BE-AEC9-7D7BC74449E7}" name="Column13924"/>
    <tableColumn id="13944" xr3:uid="{D74491B7-8F8B-4DA8-A26A-51D6A7977534}" name="Column13925"/>
    <tableColumn id="13945" xr3:uid="{8AE59B09-25BE-4F99-B655-25ACAA509DC4}" name="Column13926"/>
    <tableColumn id="13946" xr3:uid="{C844420C-8B5E-404E-9C59-F4AAA761575F}" name="Column13927"/>
    <tableColumn id="13947" xr3:uid="{AAB191B1-C0A7-4912-B08E-FB7F78A07CB8}" name="Column13928"/>
    <tableColumn id="13948" xr3:uid="{20FD8179-A949-495C-B400-16C197301C95}" name="Column13929"/>
    <tableColumn id="13949" xr3:uid="{C544887C-A8F2-44F7-8163-798E7BDDDBF7}" name="Column13930"/>
    <tableColumn id="13950" xr3:uid="{93C8307B-EA6F-44E4-94C2-C8A5B73FEB03}" name="Column13931"/>
    <tableColumn id="13951" xr3:uid="{43D0A45D-885A-45A8-9F72-FC32E6B18821}" name="Column13932"/>
    <tableColumn id="13952" xr3:uid="{3B16C63C-3884-43EF-82FC-13DDAD0F3C18}" name="Column13933"/>
    <tableColumn id="13953" xr3:uid="{CE2EB556-6D9C-433E-99C0-879E2F79EE52}" name="Column13934"/>
    <tableColumn id="13954" xr3:uid="{C5513F85-C4FE-4F2B-B976-B6E977B8469E}" name="Column13935"/>
    <tableColumn id="13955" xr3:uid="{44E331B8-467A-4FDD-8A29-5592DB483E4A}" name="Column13936"/>
    <tableColumn id="13956" xr3:uid="{1404D097-2F91-42AB-AC2A-9649424CF36E}" name="Column13937"/>
    <tableColumn id="13957" xr3:uid="{33D59367-1FFE-4ACD-BC55-F5693C1CFDDF}" name="Column13938"/>
    <tableColumn id="13958" xr3:uid="{67FB2B66-14F3-41D9-8971-EB9BCBEF3056}" name="Column13939"/>
    <tableColumn id="13959" xr3:uid="{B2911556-7044-4142-9B43-617E1D8481E5}" name="Column13940"/>
    <tableColumn id="13960" xr3:uid="{92B14736-53B1-4373-BF5E-B90A6754ACF1}" name="Column13941"/>
    <tableColumn id="13961" xr3:uid="{DF92E4EC-F98C-4057-BA2C-953B57F59F92}" name="Column13942"/>
    <tableColumn id="13962" xr3:uid="{0A2D7D27-E6D6-41ED-B5B4-A02C55B48701}" name="Column13943"/>
    <tableColumn id="13963" xr3:uid="{AF51A479-4494-444C-970A-F440B0E53158}" name="Column13944"/>
    <tableColumn id="13964" xr3:uid="{58E1422E-9FE8-4829-874A-E48CD39F7ADA}" name="Column13945"/>
    <tableColumn id="13965" xr3:uid="{290708B9-CA16-403A-8E88-965B0374A1EB}" name="Column13946"/>
    <tableColumn id="13966" xr3:uid="{C7722163-64C7-4B46-9FD9-1FC2EDF5E636}" name="Column13947"/>
    <tableColumn id="13967" xr3:uid="{B98D9C8A-F77F-4F97-9DF6-EB246F645907}" name="Column13948"/>
    <tableColumn id="13968" xr3:uid="{214E61F1-471D-4F09-9CE0-52C0E259DB46}" name="Column13949"/>
    <tableColumn id="13969" xr3:uid="{BA8AE052-E647-49B5-BEE7-BA5362756C2E}" name="Column13950"/>
    <tableColumn id="13970" xr3:uid="{E18ECD26-9E5B-4FEF-A611-FE5E3EF77294}" name="Column13951"/>
    <tableColumn id="13971" xr3:uid="{44334976-9045-4F72-9C6B-E3EA0E2344C9}" name="Column13952"/>
    <tableColumn id="13972" xr3:uid="{5480C568-071B-43AC-A71F-F5226AAFA0AE}" name="Column13953"/>
    <tableColumn id="13973" xr3:uid="{CC3F2A60-292B-4920-9111-36CA0D095D6F}" name="Column13954"/>
    <tableColumn id="13974" xr3:uid="{BB7DB491-2787-4500-99CB-2201E37C703A}" name="Column13955"/>
    <tableColumn id="13975" xr3:uid="{44715D30-48C1-4F2B-A5A5-450556C3ADF0}" name="Column13956"/>
    <tableColumn id="13976" xr3:uid="{DD727D0F-7444-4FB5-9D2B-3F844A9EA7D6}" name="Column13957"/>
    <tableColumn id="13977" xr3:uid="{F3E88A6A-5593-4C7A-A746-64FC3194EAD6}" name="Column13958"/>
    <tableColumn id="13978" xr3:uid="{769D45D6-C7FB-474B-89BF-1454E76722E9}" name="Column13959"/>
    <tableColumn id="13979" xr3:uid="{CE52BAB0-E4BC-4CD4-AC5D-1B20A10198DC}" name="Column13960"/>
    <tableColumn id="13980" xr3:uid="{F6F59FDB-C39B-44BC-BFB2-67EDA6ABF677}" name="Column13961"/>
    <tableColumn id="13981" xr3:uid="{94235EC7-9618-4E86-837A-9BA31A169CA2}" name="Column13962"/>
    <tableColumn id="13982" xr3:uid="{FD3785C1-9F9F-458D-BDD9-5DCD0A13648F}" name="Column13963"/>
    <tableColumn id="13983" xr3:uid="{EC74ADAF-FB66-4EE6-AE99-07A647D43D55}" name="Column13964"/>
    <tableColumn id="13984" xr3:uid="{F55A68CC-299A-49C0-BDD4-401F8AA39FAC}" name="Column13965"/>
    <tableColumn id="13985" xr3:uid="{F6CE004C-E077-4C6A-8BA9-A82DE99E4CC6}" name="Column13966"/>
    <tableColumn id="13986" xr3:uid="{B2E00EFB-DDBA-434E-8023-3B8DD8D6BB14}" name="Column13967"/>
    <tableColumn id="13987" xr3:uid="{2A327463-5086-4681-822E-F9D414033356}" name="Column13968"/>
    <tableColumn id="13988" xr3:uid="{FB5719A8-0CE4-4A17-89DA-E8DE59DDE9FD}" name="Column13969"/>
    <tableColumn id="13989" xr3:uid="{82C149CB-FE21-4A92-87BC-3F814D2BA50A}" name="Column13970"/>
    <tableColumn id="13990" xr3:uid="{C23E6870-9830-4DC4-8C4C-3E1889804C0A}" name="Column13971"/>
    <tableColumn id="13991" xr3:uid="{917AC312-6F35-46A4-97E8-FECA378F5EFD}" name="Column13972"/>
    <tableColumn id="13992" xr3:uid="{DC59E1D5-46E7-46DC-8947-6622CE7E0E11}" name="Column13973"/>
    <tableColumn id="13993" xr3:uid="{30B14652-15B9-456E-B13A-B53CA405B565}" name="Column13974"/>
    <tableColumn id="13994" xr3:uid="{4D10FBF8-8D9E-4AAA-9B34-86B58B03226C}" name="Column13975"/>
    <tableColumn id="13995" xr3:uid="{8C98EBE7-7C31-4FA3-B3EF-4B927E96BA8A}" name="Column13976"/>
    <tableColumn id="13996" xr3:uid="{F72C3909-1953-45A9-832D-E8B06A907603}" name="Column13977"/>
    <tableColumn id="13997" xr3:uid="{13C24F5E-1A54-4CA1-9755-82C8639E82F9}" name="Column13978"/>
    <tableColumn id="13998" xr3:uid="{4777BA14-8FC2-436B-BD8A-3E129AE4512F}" name="Column13979"/>
    <tableColumn id="13999" xr3:uid="{A174CCFB-8F43-4F91-8CA9-05742CF2969B}" name="Column13980"/>
    <tableColumn id="14000" xr3:uid="{549A0D63-7464-414F-9D79-8FA0C59AC29C}" name="Column13981"/>
    <tableColumn id="14001" xr3:uid="{AE1DDCFD-D2CA-4FCC-98AE-55C3C680A3EB}" name="Column13982"/>
    <tableColumn id="14002" xr3:uid="{4DB20174-B03A-4482-B91C-17C67920A6B5}" name="Column13983"/>
    <tableColumn id="14003" xr3:uid="{ACCB2368-7FC8-49C1-BB98-6EF9DDFBB66F}" name="Column13984"/>
    <tableColumn id="14004" xr3:uid="{D5A3A66B-7732-4DAD-8A5B-77C4351EBA41}" name="Column13985"/>
    <tableColumn id="14005" xr3:uid="{43B4185A-6886-48AA-9F07-4B27E6BB7D68}" name="Column13986"/>
    <tableColumn id="14006" xr3:uid="{A343396E-F24C-46BA-8A49-36367C21156A}" name="Column13987"/>
    <tableColumn id="14007" xr3:uid="{68FE50A5-2FF0-45F4-9E87-D1A805BB3ABC}" name="Column13988"/>
    <tableColumn id="14008" xr3:uid="{CC80FE86-B6A1-48FF-B756-A3055748AACE}" name="Column13989"/>
    <tableColumn id="14009" xr3:uid="{2715B2DC-6A79-42C9-9394-4D2B07A1460D}" name="Column13990"/>
    <tableColumn id="14010" xr3:uid="{516A07D4-29A3-4875-9B68-5D0D8C1210E7}" name="Column13991"/>
    <tableColumn id="14011" xr3:uid="{0994A4DE-F915-4951-9644-1AE5AD9C6FE2}" name="Column13992"/>
    <tableColumn id="14012" xr3:uid="{0DD7BE4E-0A4C-4BDD-A237-CF31E9058AD8}" name="Column13993"/>
    <tableColumn id="14013" xr3:uid="{51D0180B-9B17-4E09-A054-33FDFE03EBED}" name="Column13994"/>
    <tableColumn id="14014" xr3:uid="{AD9AF479-CDA3-4D1F-BD91-93EF05FDCF67}" name="Column13995"/>
    <tableColumn id="14015" xr3:uid="{22A742CA-8DFA-4661-BC06-2C5539931124}" name="Column13996"/>
    <tableColumn id="14016" xr3:uid="{8BC30FD8-57BD-4B9F-9FEA-EED73CD86B8D}" name="Column13997"/>
    <tableColumn id="14017" xr3:uid="{B173846D-ABC5-4E9C-94AE-3D70013E2BD1}" name="Column13998"/>
    <tableColumn id="14018" xr3:uid="{1970FB73-FC6E-4699-A1E6-7A9E72F0804E}" name="Column13999"/>
    <tableColumn id="14019" xr3:uid="{938285B0-3996-48D4-89DB-DE49C4E4145D}" name="Column14000"/>
    <tableColumn id="14020" xr3:uid="{82009A8B-0EB9-4CE8-80B1-914F641CB132}" name="Column14001"/>
    <tableColumn id="14021" xr3:uid="{679F17AC-FCF0-4BE3-B3E5-CFDF0534ADFA}" name="Column14002"/>
    <tableColumn id="14022" xr3:uid="{6EA1BE74-08D4-4A37-A7DE-C71B13A12E03}" name="Column14003"/>
    <tableColumn id="14023" xr3:uid="{D418FE43-050A-429D-99E7-9DF30C972437}" name="Column14004"/>
    <tableColumn id="14024" xr3:uid="{612FC5CD-3602-4BF6-9D84-6FE78518BD11}" name="Column14005"/>
    <tableColumn id="14025" xr3:uid="{C97B9964-981C-4C86-B76A-1C6998C7B4BE}" name="Column14006"/>
    <tableColumn id="14026" xr3:uid="{A0424457-AA67-4101-9354-02A57214128A}" name="Column14007"/>
    <tableColumn id="14027" xr3:uid="{E4AE8159-45BB-4FFA-8183-FE9A17FD0085}" name="Column14008"/>
    <tableColumn id="14028" xr3:uid="{074F4BB1-90A5-4DAF-88B1-371B6E5D498D}" name="Column14009"/>
    <tableColumn id="14029" xr3:uid="{185F1CBC-B37F-49D0-B326-A1B263017CCE}" name="Column14010"/>
    <tableColumn id="14030" xr3:uid="{73B14E9B-3C13-43E7-9608-62E554B0E909}" name="Column14011"/>
    <tableColumn id="14031" xr3:uid="{82CA802F-4B14-49FC-86AD-AC15D4A2D739}" name="Column14012"/>
    <tableColumn id="14032" xr3:uid="{56BC9B25-90D2-48EC-AD63-4511B1264DAB}" name="Column14013"/>
    <tableColumn id="14033" xr3:uid="{B969E477-2BE5-4C25-A073-242AFA3F4DC7}" name="Column14014"/>
    <tableColumn id="14034" xr3:uid="{1C834137-887B-47A6-8399-E42640657EFB}" name="Column14015"/>
    <tableColumn id="14035" xr3:uid="{DD6A004F-C8A1-402A-B442-6AD4F4485B4E}" name="Column14016"/>
    <tableColumn id="14036" xr3:uid="{EACAF6EE-E3E9-45D2-BC41-2DEB690B6A7A}" name="Column14017"/>
    <tableColumn id="14037" xr3:uid="{1BEBF651-C4E1-4A05-87C0-A9E74D081EA3}" name="Column14018"/>
    <tableColumn id="14038" xr3:uid="{1A2ACD3C-DFA2-4B7A-B79D-A56DBCFDB8AE}" name="Column14019"/>
    <tableColumn id="14039" xr3:uid="{E4FD4B21-F164-4F0E-B877-4348A7C81884}" name="Column14020"/>
    <tableColumn id="14040" xr3:uid="{2185BB01-3640-4D1D-8E26-53B11F378C41}" name="Column14021"/>
    <tableColumn id="14041" xr3:uid="{A7DB4F5F-8362-4C06-BAED-BC9F3A2B9AB4}" name="Column14022"/>
    <tableColumn id="14042" xr3:uid="{0E427D72-D3C6-4D2A-91D4-45E56DA4A112}" name="Column14023"/>
    <tableColumn id="14043" xr3:uid="{542B3D4F-D178-4B26-9CD5-F0676AFD26AB}" name="Column14024"/>
    <tableColumn id="14044" xr3:uid="{942F8B78-92F9-473E-A3F8-74B2A31FDE4F}" name="Column14025"/>
    <tableColumn id="14045" xr3:uid="{089EDE59-E2DF-4676-B12E-EC4569BE242C}" name="Column14026"/>
    <tableColumn id="14046" xr3:uid="{534B2666-D3F6-4E89-B461-388D06B2C5D5}" name="Column14027"/>
    <tableColumn id="14047" xr3:uid="{ECF19957-3B11-4F1A-B4CB-FBC087F36C39}" name="Column14028"/>
    <tableColumn id="14048" xr3:uid="{CE628D9C-30BC-42A5-ACD0-81B584CF8F71}" name="Column14029"/>
    <tableColumn id="14049" xr3:uid="{D2E59781-B794-441E-A632-172DB44F8570}" name="Column14030"/>
    <tableColumn id="14050" xr3:uid="{A73E2C97-53F5-4812-8907-7AFFF0291210}" name="Column14031"/>
    <tableColumn id="14051" xr3:uid="{204B64DE-C8FB-4570-86E4-2905A50A25C7}" name="Column14032"/>
    <tableColumn id="14052" xr3:uid="{D00B00B4-8A1C-46B7-9C2D-A2F39E1300E4}" name="Column14033"/>
    <tableColumn id="14053" xr3:uid="{4D7A406E-D767-4C33-824E-9EAA6B582BCF}" name="Column14034"/>
    <tableColumn id="14054" xr3:uid="{76CBD220-A19E-4262-A0A5-FDCB50CA3625}" name="Column14035"/>
    <tableColumn id="14055" xr3:uid="{7936C3D7-35F9-4B8D-A076-8FCD4250A3EE}" name="Column14036"/>
    <tableColumn id="14056" xr3:uid="{C697E440-AD9E-4B44-8782-44E18B6133B9}" name="Column14037"/>
    <tableColumn id="14057" xr3:uid="{32303D86-2FB1-4EB1-9F83-70831C7C3F92}" name="Column14038"/>
    <tableColumn id="14058" xr3:uid="{29D6C9B8-01AA-41BF-8D64-B475A2A7D03B}" name="Column14039"/>
    <tableColumn id="14059" xr3:uid="{A206774D-69BB-426B-BFF1-81EA69970178}" name="Column14040"/>
    <tableColumn id="14060" xr3:uid="{EA8AE825-91F3-44AD-92A1-E2899F78F15F}" name="Column14041"/>
    <tableColumn id="14061" xr3:uid="{A197894E-C6C8-42F7-BAA1-38B0166DB40F}" name="Column14042"/>
    <tableColumn id="14062" xr3:uid="{A9403B94-595F-48DF-A1CC-E2F34EA19B3D}" name="Column14043"/>
    <tableColumn id="14063" xr3:uid="{59B5931E-E336-4873-8075-812BFB7820DD}" name="Column14044"/>
    <tableColumn id="14064" xr3:uid="{787FE75C-3940-48F6-B676-232664DFCB19}" name="Column14045"/>
    <tableColumn id="14065" xr3:uid="{5C319E68-891D-4B23-80A0-B7503AC3DFE7}" name="Column14046"/>
    <tableColumn id="14066" xr3:uid="{4CE82C26-5044-410A-BB32-9859720D7B0E}" name="Column14047"/>
    <tableColumn id="14067" xr3:uid="{B0864D94-5D23-4991-AFAF-71B1A7D80B81}" name="Column14048"/>
    <tableColumn id="14068" xr3:uid="{53183585-D4AC-4327-8462-E9A8C31E7541}" name="Column14049"/>
    <tableColumn id="14069" xr3:uid="{C86804EE-1487-40A0-8796-580FDD7F9CB2}" name="Column14050"/>
    <tableColumn id="14070" xr3:uid="{9943205F-B683-4B2A-9662-5FB2299A930F}" name="Column14051"/>
    <tableColumn id="14071" xr3:uid="{67E648BB-DB30-45BE-B89D-F9C8C5877D65}" name="Column14052"/>
    <tableColumn id="14072" xr3:uid="{8D348442-5CB4-4514-90CC-049DF36AF187}" name="Column14053"/>
    <tableColumn id="14073" xr3:uid="{F08D1178-2C12-4271-BC97-F4B6E4793976}" name="Column14054"/>
    <tableColumn id="14074" xr3:uid="{F93D2E1C-CF74-4F15-86DA-FD92FC36E17F}" name="Column14055"/>
    <tableColumn id="14075" xr3:uid="{6A55FFB4-B379-47EC-AC46-C0BF98571830}" name="Column14056"/>
    <tableColumn id="14076" xr3:uid="{13FEF16A-7BCA-46F9-BB25-09C8D5D4F578}" name="Column14057"/>
    <tableColumn id="14077" xr3:uid="{3AFD1B55-2D64-494E-AA50-6CFC38D966EF}" name="Column14058"/>
    <tableColumn id="14078" xr3:uid="{D99FB120-8B8F-4F9D-B1F4-CCE385EBBD70}" name="Column14059"/>
    <tableColumn id="14079" xr3:uid="{662C0C21-C0A5-4A69-82DF-ED0A4B4C4E51}" name="Column14060"/>
    <tableColumn id="14080" xr3:uid="{ADA194E2-D5D9-40AC-919F-EAD390189EA7}" name="Column14061"/>
    <tableColumn id="14081" xr3:uid="{D54727A8-1F40-4C61-92DB-7362F187B0BB}" name="Column14062"/>
    <tableColumn id="14082" xr3:uid="{65CD92E8-1C24-4065-BD4C-D3764F03B207}" name="Column14063"/>
    <tableColumn id="14083" xr3:uid="{F109AA7F-45A3-404E-A212-7F7CA15953A5}" name="Column14064"/>
    <tableColumn id="14084" xr3:uid="{11047098-F2A7-4E9B-8D06-522D7BF3FDB1}" name="Column14065"/>
    <tableColumn id="14085" xr3:uid="{D092EBF1-0366-4CF1-BE29-BD4814B91EC3}" name="Column14066"/>
    <tableColumn id="14086" xr3:uid="{11D10E64-95CD-4DCD-8B9C-5067DD20D1C6}" name="Column14067"/>
    <tableColumn id="14087" xr3:uid="{0F01268D-B4C6-4477-AA23-D4BB35698ED0}" name="Column14068"/>
    <tableColumn id="14088" xr3:uid="{D44727CC-21BB-401F-A589-1206772E4FCA}" name="Column14069"/>
    <tableColumn id="14089" xr3:uid="{49346CED-647D-49F7-91DB-CD4331B6E4F7}" name="Column14070"/>
    <tableColumn id="14090" xr3:uid="{B6C7F83F-2D14-4C77-B0CC-C9A9C3447858}" name="Column14071"/>
    <tableColumn id="14091" xr3:uid="{2FE12914-D86C-48CE-AE23-ABC6FBE1682D}" name="Column14072"/>
    <tableColumn id="14092" xr3:uid="{EE445AED-249B-4F9B-A703-D1B47A8F472E}" name="Column14073"/>
    <tableColumn id="14093" xr3:uid="{2A52AE1A-F2F2-4329-A01C-9746F92C455E}" name="Column14074"/>
    <tableColumn id="14094" xr3:uid="{F62C232B-C292-474F-8812-7092BDA3BD4D}" name="Column14075"/>
    <tableColumn id="14095" xr3:uid="{26281066-B66C-418C-83C5-9D5B6EFC3392}" name="Column14076"/>
    <tableColumn id="14096" xr3:uid="{22EA48C4-7386-4B9E-B4E1-25E0594A0D1A}" name="Column14077"/>
    <tableColumn id="14097" xr3:uid="{B4B41200-B6B0-42D2-96A6-2C51272B7E44}" name="Column14078"/>
    <tableColumn id="14098" xr3:uid="{4209F304-A459-4A0C-9C88-AA40DBAA17B5}" name="Column14079"/>
    <tableColumn id="14099" xr3:uid="{C6103141-2501-48A0-BC76-412CA2E3BE70}" name="Column14080"/>
    <tableColumn id="14100" xr3:uid="{DE03C1B4-7F14-4654-AA8A-78001F96C482}" name="Column14081"/>
    <tableColumn id="14101" xr3:uid="{4E3CECBB-E93F-4B2B-A065-E919E7921CAD}" name="Column14082"/>
    <tableColumn id="14102" xr3:uid="{136D865F-BEDF-4060-973F-07D50ED4A1FB}" name="Column14083"/>
    <tableColumn id="14103" xr3:uid="{9D451C16-44AF-464E-9E9E-D1EC98426DB1}" name="Column14084"/>
    <tableColumn id="14104" xr3:uid="{22622A60-AC1D-42ED-B306-DFFC726D598E}" name="Column14085"/>
    <tableColumn id="14105" xr3:uid="{5DAD7B9B-7045-4103-AB12-E2B277EABA44}" name="Column14086"/>
    <tableColumn id="14106" xr3:uid="{D7418A3A-9BFB-4C0A-96EE-36EDE71D1A9C}" name="Column14087"/>
    <tableColumn id="14107" xr3:uid="{16296B2B-6E82-4305-93AE-E0A3D5781066}" name="Column14088"/>
    <tableColumn id="14108" xr3:uid="{6CDB7F9F-188A-4A74-90CC-5D8777B41677}" name="Column14089"/>
    <tableColumn id="14109" xr3:uid="{11E59288-A5F3-4BD9-94C7-D219A676F6FF}" name="Column14090"/>
    <tableColumn id="14110" xr3:uid="{EFC10D75-0E34-4175-9879-CCCE9D430D94}" name="Column14091"/>
    <tableColumn id="14111" xr3:uid="{36E60D62-BC58-4EFD-96AB-8022ED00BD1F}" name="Column14092"/>
    <tableColumn id="14112" xr3:uid="{AA57E075-0B7C-4A53-9984-F7770E56E446}" name="Column14093"/>
    <tableColumn id="14113" xr3:uid="{424480D7-7B1F-43AE-B500-11E6F06BE6B4}" name="Column14094"/>
    <tableColumn id="14114" xr3:uid="{532197A6-4F43-4B1D-9CC0-658649CB82DE}" name="Column14095"/>
    <tableColumn id="14115" xr3:uid="{18446F4F-4411-4998-A221-8505AFC3D2E4}" name="Column14096"/>
    <tableColumn id="14116" xr3:uid="{370799B7-AD29-4276-87A9-E20143B58862}" name="Column14097"/>
    <tableColumn id="14117" xr3:uid="{7C0F10F0-7A38-446F-B66F-DFBC7E7354C3}" name="Column14098"/>
    <tableColumn id="14118" xr3:uid="{94E311FF-74C5-4C38-813E-66DDE2E6F0A5}" name="Column14099"/>
    <tableColumn id="14119" xr3:uid="{BD11054D-53A4-4E06-8136-3E100B8BD9C7}" name="Column14100"/>
    <tableColumn id="14120" xr3:uid="{AF02B494-3526-4DBC-AEA0-6E69FCC6AF3E}" name="Column14101"/>
    <tableColumn id="14121" xr3:uid="{938A3819-F892-48E2-8E6B-71A9EF3FCC9E}" name="Column14102"/>
    <tableColumn id="14122" xr3:uid="{0F7A0977-8F52-4CC7-894B-7808947C4BA3}" name="Column14103"/>
    <tableColumn id="14123" xr3:uid="{354F01CF-F23E-49F6-B103-2B6185D174E1}" name="Column14104"/>
    <tableColumn id="14124" xr3:uid="{356F4A05-AE05-4E2D-8114-BC723B7841C2}" name="Column14105"/>
    <tableColumn id="14125" xr3:uid="{FC64A99A-6A6F-4B9E-9D9F-C25D40EA3A1B}" name="Column14106"/>
    <tableColumn id="14126" xr3:uid="{694F09BF-093E-40B2-BCBF-073BD4F0C133}" name="Column14107"/>
    <tableColumn id="14127" xr3:uid="{914A0111-D1E0-4738-9A70-2D3808094B7E}" name="Column14108"/>
    <tableColumn id="14128" xr3:uid="{F017582E-52FF-498C-A36A-6FF9C1D75928}" name="Column14109"/>
    <tableColumn id="14129" xr3:uid="{5CE6E9C3-D752-4FB6-B0AE-7B2A62DA9781}" name="Column14110"/>
    <tableColumn id="14130" xr3:uid="{6A8F540F-61F7-4980-8B6A-FF86A7FFB78E}" name="Column14111"/>
    <tableColumn id="14131" xr3:uid="{F17E0E57-599E-4E43-A2CF-A65BD764A5B9}" name="Column14112"/>
    <tableColumn id="14132" xr3:uid="{1817B596-DBBF-4F9D-A484-B45E3D57B3A8}" name="Column14113"/>
    <tableColumn id="14133" xr3:uid="{B6D56271-BB1A-45B7-A8B5-FA57C272836D}" name="Column14114"/>
    <tableColumn id="14134" xr3:uid="{310A1521-F30F-4DCC-BA36-7C3172FEA738}" name="Column14115"/>
    <tableColumn id="14135" xr3:uid="{2796DC26-2DE7-4A19-96E0-3EA2B59F396B}" name="Column14116"/>
    <tableColumn id="14136" xr3:uid="{4EEB32F6-979D-471B-B5E4-F0EE0FF35651}" name="Column14117"/>
    <tableColumn id="14137" xr3:uid="{C477FDB7-6068-448E-B3E5-BC1F9547D25F}" name="Column14118"/>
    <tableColumn id="14138" xr3:uid="{4CBFBE57-8FE0-4AC7-B35F-F33610CC1FC5}" name="Column14119"/>
    <tableColumn id="14139" xr3:uid="{53BDEF9B-CDB9-4143-B017-E520834C3A7B}" name="Column14120"/>
    <tableColumn id="14140" xr3:uid="{827EA0FA-9078-4019-A085-373D4814A2F7}" name="Column14121"/>
    <tableColumn id="14141" xr3:uid="{6133E541-A5AB-4B9C-90AF-7C81A3FB2464}" name="Column14122"/>
    <tableColumn id="14142" xr3:uid="{E3A8779F-BA73-4CF7-A978-54D10672B733}" name="Column14123"/>
    <tableColumn id="14143" xr3:uid="{110447A0-AE76-4875-ACC0-CEC7F68E07EC}" name="Column14124"/>
    <tableColumn id="14144" xr3:uid="{B3A0DC5E-1459-4A2B-91B3-7D1775E0F132}" name="Column14125"/>
    <tableColumn id="14145" xr3:uid="{678CD693-9477-43C8-85BE-229442B38F02}" name="Column14126"/>
    <tableColumn id="14146" xr3:uid="{651FEA2B-A5EC-4889-A53E-108FB7CD29A0}" name="Column14127"/>
    <tableColumn id="14147" xr3:uid="{25963CCE-4BEB-474D-9057-DA4C56502AAA}" name="Column14128"/>
    <tableColumn id="14148" xr3:uid="{ED500C52-B849-4558-879D-495249ABD9BC}" name="Column14129"/>
    <tableColumn id="14149" xr3:uid="{954FCC00-DD3A-4E46-A193-6A8DD464D7D2}" name="Column14130"/>
    <tableColumn id="14150" xr3:uid="{FF254CC0-3DA2-45EE-86B5-5F98692239B3}" name="Column14131"/>
    <tableColumn id="14151" xr3:uid="{6C69E0BE-02FB-427A-BE3D-6006CFFB3CC7}" name="Column14132"/>
    <tableColumn id="14152" xr3:uid="{E72F35F5-DA34-48DA-B335-56B5A92DFB44}" name="Column14133"/>
    <tableColumn id="14153" xr3:uid="{68C1EF4D-F3BB-4C9E-A94F-6B841AE8D9A3}" name="Column14134"/>
    <tableColumn id="14154" xr3:uid="{BDAD497A-052A-4B49-8DDB-5103A7FAD7B6}" name="Column14135"/>
    <tableColumn id="14155" xr3:uid="{9940B13E-C58C-4056-89A3-7DE61DC79A96}" name="Column14136"/>
    <tableColumn id="14156" xr3:uid="{C965494B-6AC8-41A5-8436-3612CE648160}" name="Column14137"/>
    <tableColumn id="14157" xr3:uid="{F078CFBA-94B0-421E-9370-C9191FDCD2BA}" name="Column14138"/>
    <tableColumn id="14158" xr3:uid="{7ABCB776-2AE3-4F6B-90A1-B9EDA9E8C3C4}" name="Column14139"/>
    <tableColumn id="14159" xr3:uid="{D5E8BE5A-9021-4731-807D-75F480E8C701}" name="Column14140"/>
    <tableColumn id="14160" xr3:uid="{8187D7FD-FC13-4E09-AD6F-CAD9049558C2}" name="Column14141"/>
    <tableColumn id="14161" xr3:uid="{678AADFE-A19F-4737-A14E-2E418F9B9983}" name="Column14142"/>
    <tableColumn id="14162" xr3:uid="{DBD043A8-FB02-477E-97F3-6912AB1A4F5D}" name="Column14143"/>
    <tableColumn id="14163" xr3:uid="{26BA6D56-120E-4390-9E72-28DC3A8A830B}" name="Column14144"/>
    <tableColumn id="14164" xr3:uid="{CFE99AB1-B77E-457F-89CD-E833BF5DEB9A}" name="Column14145"/>
    <tableColumn id="14165" xr3:uid="{7E765C98-A712-44AE-9E68-D18E360349CB}" name="Column14146"/>
    <tableColumn id="14166" xr3:uid="{02331642-1A87-49D6-8999-C229117824C0}" name="Column14147"/>
    <tableColumn id="14167" xr3:uid="{732EED80-F04E-4A70-A9ED-EC111255DEFF}" name="Column14148"/>
    <tableColumn id="14168" xr3:uid="{945EEF1C-0665-4205-8A44-1696049CBD12}" name="Column14149"/>
    <tableColumn id="14169" xr3:uid="{AB2B0C42-F843-4C87-A5E8-31E9D1C76DDE}" name="Column14150"/>
    <tableColumn id="14170" xr3:uid="{09D433A1-C97E-47AB-BD58-8F581B73ECD6}" name="Column14151"/>
    <tableColumn id="14171" xr3:uid="{026E273D-1BDC-4AA7-940C-A4D0A44FF822}" name="Column14152"/>
    <tableColumn id="14172" xr3:uid="{50E4ED0D-0A1C-427C-825A-469D40FD4AC4}" name="Column14153"/>
    <tableColumn id="14173" xr3:uid="{C58A2855-572D-43DC-82B1-3342074FC038}" name="Column14154"/>
    <tableColumn id="14174" xr3:uid="{B68A1756-CC31-4252-8DE2-63E1230AAE08}" name="Column14155"/>
    <tableColumn id="14175" xr3:uid="{9218D79C-77DF-481E-A43B-43455A8712E8}" name="Column14156"/>
    <tableColumn id="14176" xr3:uid="{2F470EE6-BD4A-4A95-82F8-5C43C7D27269}" name="Column14157"/>
    <tableColumn id="14177" xr3:uid="{BCA8118F-84DA-49A2-B02D-B344588C02D2}" name="Column14158"/>
    <tableColumn id="14178" xr3:uid="{EFC08DF5-537F-4562-B1F6-22B8EE90158C}" name="Column14159"/>
    <tableColumn id="14179" xr3:uid="{DBFB5662-A82B-493E-98B0-002FAC7B0CB1}" name="Column14160"/>
    <tableColumn id="14180" xr3:uid="{7DF2C9D6-AE02-4FB7-83ED-BEA0C67887E5}" name="Column14161"/>
    <tableColumn id="14181" xr3:uid="{E3B4C6D2-21B8-4F23-A7EE-6EEAEAD9B904}" name="Column14162"/>
    <tableColumn id="14182" xr3:uid="{85C4DBB5-CC6E-491A-97D4-6B663F3C6F41}" name="Column14163"/>
    <tableColumn id="14183" xr3:uid="{EDF1A8F3-FD48-4F1B-B58B-FCBF05C2EC27}" name="Column14164"/>
    <tableColumn id="14184" xr3:uid="{B6B184C0-170D-49EF-906D-0BF7BD29BB42}" name="Column14165"/>
    <tableColumn id="14185" xr3:uid="{7C441716-1785-4A26-B008-15E9D7DBEA85}" name="Column14166"/>
    <tableColumn id="14186" xr3:uid="{EBB7EA9F-23FB-4848-A429-E64DDD3656AC}" name="Column14167"/>
    <tableColumn id="14187" xr3:uid="{61286EA0-E733-4B01-A146-D2BAA3D41CC8}" name="Column14168"/>
    <tableColumn id="14188" xr3:uid="{9A1388A2-C561-4062-8387-2B484EFD0801}" name="Column14169"/>
    <tableColumn id="14189" xr3:uid="{21256F39-7409-441C-B81D-C4145B8FA120}" name="Column14170"/>
    <tableColumn id="14190" xr3:uid="{26A23F80-894C-4A82-8428-9DFF339CA66A}" name="Column14171"/>
    <tableColumn id="14191" xr3:uid="{BF9FF101-9F16-4033-9213-9C0C464D7D83}" name="Column14172"/>
    <tableColumn id="14192" xr3:uid="{D3A8541D-884D-4C1A-91E0-F0682833DDB7}" name="Column14173"/>
    <tableColumn id="14193" xr3:uid="{D0D27B75-EB8A-4363-AE3D-4B78C3EE0A8D}" name="Column14174"/>
    <tableColumn id="14194" xr3:uid="{77F18A1F-B1C2-42EC-9E53-76D6874624B8}" name="Column14175"/>
    <tableColumn id="14195" xr3:uid="{47DD6625-559A-49E2-9F52-31F966D64F5E}" name="Column14176"/>
    <tableColumn id="14196" xr3:uid="{9D21A30F-8650-421B-B201-C8086663106E}" name="Column14177"/>
    <tableColumn id="14197" xr3:uid="{9A94AF11-D59E-4C42-8FD9-83C5A0441345}" name="Column14178"/>
    <tableColumn id="14198" xr3:uid="{6086138C-165E-4631-A959-5F51DE68D619}" name="Column14179"/>
    <tableColumn id="14199" xr3:uid="{ABA20AFA-2A01-4C0B-AB93-3A7E41425A48}" name="Column14180"/>
    <tableColumn id="14200" xr3:uid="{B6A97AF7-2135-411B-9C5A-CCD7D0C7B276}" name="Column14181"/>
    <tableColumn id="14201" xr3:uid="{47D716AB-1523-4CB3-B15F-1543E3A93C53}" name="Column14182"/>
    <tableColumn id="14202" xr3:uid="{A61D0B7F-F7AD-47E8-B8F2-4F9EECC52E7B}" name="Column14183"/>
    <tableColumn id="14203" xr3:uid="{50500A8A-8813-4A57-847E-706CDEAB6E4A}" name="Column14184"/>
    <tableColumn id="14204" xr3:uid="{C8DD5F9E-8255-47C6-B7A1-61C1A2BCF51B}" name="Column14185"/>
    <tableColumn id="14205" xr3:uid="{137BA85C-A26F-448D-8D5E-7C25909C3574}" name="Column14186"/>
    <tableColumn id="14206" xr3:uid="{61B204BB-275C-459A-8DAC-324432C6827E}" name="Column14187"/>
    <tableColumn id="14207" xr3:uid="{94A51547-31C4-4208-9D06-D78A57907637}" name="Column14188"/>
    <tableColumn id="14208" xr3:uid="{16051BC3-8D44-4A14-B41B-2296826C344A}" name="Column14189"/>
    <tableColumn id="14209" xr3:uid="{9689BE24-38DB-48A0-97DA-B828FBBDD635}" name="Column14190"/>
    <tableColumn id="14210" xr3:uid="{309DBAC5-7810-4EC0-9270-DBBD07CCDD65}" name="Column14191"/>
    <tableColumn id="14211" xr3:uid="{10A576B5-F78A-4975-A045-BE2360EA0E2D}" name="Column14192"/>
    <tableColumn id="14212" xr3:uid="{3F6B6C52-2A07-47CA-A9FF-84084DFB928C}" name="Column14193"/>
    <tableColumn id="14213" xr3:uid="{83525C50-DBDD-41D9-A98B-7C5396C49DCD}" name="Column14194"/>
    <tableColumn id="14214" xr3:uid="{443EB0B8-FF3E-4020-A8AA-8B89A20C791E}" name="Column14195"/>
    <tableColumn id="14215" xr3:uid="{D55D271D-3B9D-4FED-9BD8-7C66423004FC}" name="Column14196"/>
    <tableColumn id="14216" xr3:uid="{03E3E0D5-66D0-4500-9A29-73EEB7E55C56}" name="Column14197"/>
    <tableColumn id="14217" xr3:uid="{6CC7041C-C739-44DA-8989-7B1007A9A3D2}" name="Column14198"/>
    <tableColumn id="14218" xr3:uid="{18DDF315-AA34-435A-BD61-9BD3C093575B}" name="Column14199"/>
    <tableColumn id="14219" xr3:uid="{A1F60FB9-52CF-48F3-AD47-6DBAA82AF759}" name="Column14200"/>
    <tableColumn id="14220" xr3:uid="{B5F86005-6FB3-4BA9-936A-5BC060C354AC}" name="Column14201"/>
    <tableColumn id="14221" xr3:uid="{03C8D0CD-873A-4544-AC99-6B41DFD591EF}" name="Column14202"/>
    <tableColumn id="14222" xr3:uid="{615821A6-0D1E-4446-9ECE-02D43AF727AD}" name="Column14203"/>
    <tableColumn id="14223" xr3:uid="{22936246-1E1A-4E35-8ECD-41A28C4775A4}" name="Column14204"/>
    <tableColumn id="14224" xr3:uid="{D88CA9F5-F642-4F3B-8155-823E5144A106}" name="Column14205"/>
    <tableColumn id="14225" xr3:uid="{F564512C-582D-445B-8AC2-820A49683CF0}" name="Column14206"/>
    <tableColumn id="14226" xr3:uid="{5E470877-0E0B-43C7-9425-F8D0893F489A}" name="Column14207"/>
    <tableColumn id="14227" xr3:uid="{058651BD-C490-40E5-AA42-790A4C77C94E}" name="Column14208"/>
    <tableColumn id="14228" xr3:uid="{7FC24729-56B8-4972-A7CC-7BBD6F99DEE6}" name="Column14209"/>
    <tableColumn id="14229" xr3:uid="{DEC5DB62-987A-433B-B9C1-260E84C468E2}" name="Column14210"/>
    <tableColumn id="14230" xr3:uid="{C2BAC91B-7951-478D-AB89-E7DCDBFAA366}" name="Column14211"/>
    <tableColumn id="14231" xr3:uid="{11E7BEAB-0A78-4F1A-A812-7377207B632D}" name="Column14212"/>
    <tableColumn id="14232" xr3:uid="{87DDFAF0-40CE-4E1A-9918-8470E3C9233D}" name="Column14213"/>
    <tableColumn id="14233" xr3:uid="{32D4CABF-2A1D-4CC9-BC8D-C92D182A397F}" name="Column14214"/>
    <tableColumn id="14234" xr3:uid="{D2097B44-C9B6-4DD7-8873-76D75960F571}" name="Column14215"/>
    <tableColumn id="14235" xr3:uid="{A2D3BE50-7774-4585-90D2-DFA08883064B}" name="Column14216"/>
    <tableColumn id="14236" xr3:uid="{95D62361-A277-4EC7-8B0D-0EE808FB41D6}" name="Column14217"/>
    <tableColumn id="14237" xr3:uid="{AF3BA30D-35B5-4F14-9610-343753510D4B}" name="Column14218"/>
    <tableColumn id="14238" xr3:uid="{238BB4E8-F094-4461-ACB4-7DD43E648EF3}" name="Column14219"/>
    <tableColumn id="14239" xr3:uid="{87B9165F-0F0E-4136-A1E9-C2C17DF594C1}" name="Column14220"/>
    <tableColumn id="14240" xr3:uid="{4EA6D663-DC7D-4DA1-ADB0-D71D022F4458}" name="Column14221"/>
    <tableColumn id="14241" xr3:uid="{E816A93E-2473-456A-BD30-9651C5C0D0CA}" name="Column14222"/>
    <tableColumn id="14242" xr3:uid="{CDD8F725-8D85-4267-AE70-71632B5E70A0}" name="Column14223"/>
    <tableColumn id="14243" xr3:uid="{33417A77-A39E-4C95-B3CC-4AB474A14DB2}" name="Column14224"/>
    <tableColumn id="14244" xr3:uid="{D2819408-C01C-4694-AF44-EF2FF8D1C3CF}" name="Column14225"/>
    <tableColumn id="14245" xr3:uid="{B12FCE57-35AC-4F2F-80D3-1272089F7923}" name="Column14226"/>
    <tableColumn id="14246" xr3:uid="{E5A712B6-429B-4737-B719-04C82503A3FF}" name="Column14227"/>
    <tableColumn id="14247" xr3:uid="{E1F129D8-B74C-419A-BB85-8E6266B25CBF}" name="Column14228"/>
    <tableColumn id="14248" xr3:uid="{850419E4-1478-476A-BA85-516777097F69}" name="Column14229"/>
    <tableColumn id="14249" xr3:uid="{966908B1-47EF-4BC5-8200-86E60A3CA9D8}" name="Column14230"/>
    <tableColumn id="14250" xr3:uid="{BC7D79E1-331A-4408-AA3B-645F8CC20969}" name="Column14231"/>
    <tableColumn id="14251" xr3:uid="{BF039E69-25EF-46BC-880D-00D67E8BA08A}" name="Column14232"/>
    <tableColumn id="14252" xr3:uid="{7A31327A-ABE5-4791-B534-1381E771F5D4}" name="Column14233"/>
    <tableColumn id="14253" xr3:uid="{C88E9A87-0FC2-4FE8-B178-D0A0DDF8DD9D}" name="Column14234"/>
    <tableColumn id="14254" xr3:uid="{265E74B9-AD05-4D91-8040-1E2D01E2CB3D}" name="Column14235"/>
    <tableColumn id="14255" xr3:uid="{DA64F4DB-EF41-4AAD-844E-FFF7EB5CCD35}" name="Column14236"/>
    <tableColumn id="14256" xr3:uid="{90EDA2D0-AFC6-41BB-A5A7-D82470F09E52}" name="Column14237"/>
    <tableColumn id="14257" xr3:uid="{59808D52-8EB6-4B58-98A8-D73F9E6CE72F}" name="Column14238"/>
    <tableColumn id="14258" xr3:uid="{03293064-6B29-4BFA-99A5-1EF0FB5FFBF1}" name="Column14239"/>
    <tableColumn id="14259" xr3:uid="{A2CEBEBF-9AEE-468C-884C-738017FC66AF}" name="Column14240"/>
    <tableColumn id="14260" xr3:uid="{496F9248-4C24-4EC7-A897-421CC84D65C9}" name="Column14241"/>
    <tableColumn id="14261" xr3:uid="{F04C6096-C856-4A0D-B510-B34F651CB494}" name="Column14242"/>
    <tableColumn id="14262" xr3:uid="{CC97322D-4D56-47D8-A006-73B8FD471295}" name="Column14243"/>
    <tableColumn id="14263" xr3:uid="{BEED8CDE-15B7-475F-BCEB-126D74FF43A7}" name="Column14244"/>
    <tableColumn id="14264" xr3:uid="{95B254C1-F918-4029-A6C6-07225911EB2D}" name="Column14245"/>
    <tableColumn id="14265" xr3:uid="{4E2A1B12-D570-4885-BAE9-7BF3FD753F8E}" name="Column14246"/>
    <tableColumn id="14266" xr3:uid="{DF89D094-D511-4F21-AE94-9CA3DB92F52D}" name="Column14247"/>
    <tableColumn id="14267" xr3:uid="{D9E5B52E-BD22-4776-B456-9D47F3190562}" name="Column14248"/>
    <tableColumn id="14268" xr3:uid="{A8784B55-2E0D-45F1-A217-7AF919CB41FE}" name="Column14249"/>
    <tableColumn id="14269" xr3:uid="{8FD38122-B254-4D91-ADD3-A1F37006A44E}" name="Column14250"/>
    <tableColumn id="14270" xr3:uid="{7B2F3A12-C5E1-4290-91D1-3FF311195DAA}" name="Column14251"/>
    <tableColumn id="14271" xr3:uid="{9462DBAB-C150-4461-898F-12124C61E5A5}" name="Column14252"/>
    <tableColumn id="14272" xr3:uid="{342A19CD-3090-47B3-A965-0B69691E70A9}" name="Column14253"/>
    <tableColumn id="14273" xr3:uid="{7BFD4F9D-689F-4F22-80CD-221A40AFF30D}" name="Column14254"/>
    <tableColumn id="14274" xr3:uid="{13F29346-4101-415B-9E41-3EA38E28C98E}" name="Column14255"/>
    <tableColumn id="14275" xr3:uid="{11C8569F-543D-4DF5-8FC4-7A8A9158BADB}" name="Column14256"/>
    <tableColumn id="14276" xr3:uid="{EB791108-FBAB-46D8-ADDE-7ED20874AB67}" name="Column14257"/>
    <tableColumn id="14277" xr3:uid="{1216E5EB-7FC9-43E4-84BF-4C3E7098581D}" name="Column14258"/>
    <tableColumn id="14278" xr3:uid="{DDCCF0E1-A78A-4337-849C-E46A3D61E801}" name="Column14259"/>
    <tableColumn id="14279" xr3:uid="{3D89533E-1261-4FF0-8B76-D6224C2CE37D}" name="Column14260"/>
    <tableColumn id="14280" xr3:uid="{649F3BFD-2068-4932-BFBD-0E20DBA212F4}" name="Column14261"/>
    <tableColumn id="14281" xr3:uid="{CD7F629A-CC31-441B-84EE-E753C5E5A2A5}" name="Column14262"/>
    <tableColumn id="14282" xr3:uid="{4D53126D-C6AF-479B-9E45-842D17D21F9C}" name="Column14263"/>
    <tableColumn id="14283" xr3:uid="{A4C6F562-7669-4475-B837-715D6FC3693E}" name="Column14264"/>
    <tableColumn id="14284" xr3:uid="{3B781491-F4E8-4DC1-849A-D4AB2B070329}" name="Column14265"/>
    <tableColumn id="14285" xr3:uid="{8E929AE2-63AF-49F8-8EF1-1D8D36E23A37}" name="Column14266"/>
    <tableColumn id="14286" xr3:uid="{8CB3DF8C-4DDE-4539-B4CF-37CD2D1BF774}" name="Column14267"/>
    <tableColumn id="14287" xr3:uid="{A03CC122-07FC-4746-B155-C0AFD4CD9707}" name="Column14268"/>
    <tableColumn id="14288" xr3:uid="{7E32BDAF-805B-459F-AEE8-7470461B6369}" name="Column14269"/>
    <tableColumn id="14289" xr3:uid="{15E4EBD2-4E1D-4596-8153-11B64D002865}" name="Column14270"/>
    <tableColumn id="14290" xr3:uid="{4F775297-53C6-48F1-99CA-6272DA22C228}" name="Column14271"/>
    <tableColumn id="14291" xr3:uid="{4C26B953-2E34-4DEE-8C0A-91FF935BA894}" name="Column14272"/>
    <tableColumn id="14292" xr3:uid="{0A758DC5-9C97-4A9B-9E50-292B12BC0E4C}" name="Column14273"/>
    <tableColumn id="14293" xr3:uid="{402488E6-5C97-4F15-9DEC-351BEC97236E}" name="Column14274"/>
    <tableColumn id="14294" xr3:uid="{F558629C-CFB5-4675-BF91-B3EB02A45F64}" name="Column14275"/>
    <tableColumn id="14295" xr3:uid="{C529A559-93F2-4878-8876-0AED64839D34}" name="Column14276"/>
    <tableColumn id="14296" xr3:uid="{70666983-F37E-4F2D-ACDD-67FC158AFFF7}" name="Column14277"/>
    <tableColumn id="14297" xr3:uid="{6888BC93-D647-4D30-A12C-C06574DB5916}" name="Column14278"/>
    <tableColumn id="14298" xr3:uid="{116E112F-62BA-46DC-B51A-47844D3EA828}" name="Column14279"/>
    <tableColumn id="14299" xr3:uid="{9950FBEE-AD7C-4017-8109-36EFFFF3FD1F}" name="Column14280"/>
    <tableColumn id="14300" xr3:uid="{12CDFDF9-7AD2-422B-8D62-917BF056AD25}" name="Column14281"/>
    <tableColumn id="14301" xr3:uid="{31F6A5E0-BEDF-4720-A4C0-6876FEFC3A87}" name="Column14282"/>
    <tableColumn id="14302" xr3:uid="{ABA67106-FE06-4A4C-8D7A-472FE678EA03}" name="Column14283"/>
    <tableColumn id="14303" xr3:uid="{35AED7A8-17D3-4410-A99B-B30DECF42D16}" name="Column14284"/>
    <tableColumn id="14304" xr3:uid="{B730E4C8-F4A2-45E8-BD91-0EB749557CFA}" name="Column14285"/>
    <tableColumn id="14305" xr3:uid="{038548AB-2D95-48DC-8BFA-61321BDB73F5}" name="Column14286"/>
    <tableColumn id="14306" xr3:uid="{1DEBB1C6-BA71-44FE-9480-E10D6B3BE188}" name="Column14287"/>
    <tableColumn id="14307" xr3:uid="{256A79DF-790B-4DA2-B2FF-629A29212111}" name="Column14288"/>
    <tableColumn id="14308" xr3:uid="{73B391EF-C55A-48BE-8290-688A4791979F}" name="Column14289"/>
    <tableColumn id="14309" xr3:uid="{4755098C-7FD7-4D5F-A0E6-379B385B3107}" name="Column14290"/>
    <tableColumn id="14310" xr3:uid="{B8F93292-C980-49A6-8D6C-CBFEC986C71A}" name="Column14291"/>
    <tableColumn id="14311" xr3:uid="{F2AE47E8-A537-45BF-89BC-87D31032105E}" name="Column14292"/>
    <tableColumn id="14312" xr3:uid="{D565AC5E-5645-4F53-A2A7-6A39084E6A21}" name="Column14293"/>
    <tableColumn id="14313" xr3:uid="{281D3234-8C27-4EB1-B272-B4D831A4B200}" name="Column14294"/>
    <tableColumn id="14314" xr3:uid="{B96F612F-215A-48CD-A2FF-B7D9E57E7015}" name="Column14295"/>
    <tableColumn id="14315" xr3:uid="{8E1315EE-EE40-4F86-B2C7-BF96E1AA505C}" name="Column14296"/>
    <tableColumn id="14316" xr3:uid="{AB489BD0-BD6E-494C-B4A2-7B4B25FA917F}" name="Column14297"/>
    <tableColumn id="14317" xr3:uid="{62613719-FC49-4ACC-9829-8B38ED2F53C7}" name="Column14298"/>
    <tableColumn id="14318" xr3:uid="{28E17029-85F1-4560-85A9-90502228936D}" name="Column14299"/>
    <tableColumn id="14319" xr3:uid="{3F18F8FC-AC92-4ACA-837F-8AED7B140354}" name="Column14300"/>
    <tableColumn id="14320" xr3:uid="{3DB92C79-3168-41AF-9BDD-3D07150B54B5}" name="Column14301"/>
    <tableColumn id="14321" xr3:uid="{66FC4800-FD5C-4B23-BF40-A4E0E66B9B16}" name="Column14302"/>
    <tableColumn id="14322" xr3:uid="{F4E6C0C9-2CA1-4DD6-8809-5DB0B7F80ACD}" name="Column14303"/>
    <tableColumn id="14323" xr3:uid="{B509EEB4-4CB8-4FE0-9C7E-62FF9227F753}" name="Column14304"/>
    <tableColumn id="14324" xr3:uid="{D979E1A4-915F-4ACF-A47D-51D25BEDF9C1}" name="Column14305"/>
    <tableColumn id="14325" xr3:uid="{BE1B6BA0-0D5B-4C5D-8AC2-70F8F3D0A3A7}" name="Column14306"/>
    <tableColumn id="14326" xr3:uid="{7E4A0F0C-B93D-4E37-B5B8-206D1C2AB21D}" name="Column14307"/>
    <tableColumn id="14327" xr3:uid="{49B59FBA-707D-4530-9BA0-8FB56D99155D}" name="Column14308"/>
    <tableColumn id="14328" xr3:uid="{0E9ABED6-FC59-465A-847A-0EE051B93E67}" name="Column14309"/>
    <tableColumn id="14329" xr3:uid="{A17EC674-BDE7-4781-96C2-E958C922D1CD}" name="Column14310"/>
    <tableColumn id="14330" xr3:uid="{CE875528-C7AA-4011-9DE4-BE7E126243BA}" name="Column14311"/>
    <tableColumn id="14331" xr3:uid="{FEB880FF-EE66-4EB4-BE49-3AB8512248AF}" name="Column14312"/>
    <tableColumn id="14332" xr3:uid="{E9B8ED08-DDC3-4441-AB08-E6394ED56F91}" name="Column14313"/>
    <tableColumn id="14333" xr3:uid="{659AAC6E-15D1-4BA5-87E4-FA04BD007E5C}" name="Column14314"/>
    <tableColumn id="14334" xr3:uid="{FEB26DF1-D6E1-4F2F-B8F0-D45CF2A53E63}" name="Column14315"/>
    <tableColumn id="14335" xr3:uid="{DAA60194-B2C1-464C-BA69-32084F8E3EFD}" name="Column14316"/>
    <tableColumn id="14336" xr3:uid="{FEB40B24-3274-4D1B-939C-CEF4EE8663E0}" name="Column14317"/>
    <tableColumn id="14337" xr3:uid="{B95EA304-8BA5-4A34-8BE9-D9BA08BA5808}" name="Column14318"/>
    <tableColumn id="14338" xr3:uid="{3362A07D-CD5D-41C5-B8F4-5C3160829625}" name="Column14319"/>
    <tableColumn id="14339" xr3:uid="{C6D531C2-E8E2-43BB-AEEF-543B90A21881}" name="Column14320"/>
    <tableColumn id="14340" xr3:uid="{D94E1CBE-3180-4252-8764-7A493B5D0137}" name="Column14321"/>
    <tableColumn id="14341" xr3:uid="{C5412382-B35A-4A68-AD3D-2F212845C259}" name="Column14322"/>
    <tableColumn id="14342" xr3:uid="{EC53ACEE-36B5-4EA5-8215-B54B44D56618}" name="Column14323"/>
    <tableColumn id="14343" xr3:uid="{F30009A3-4B4D-4385-B9B6-FFBE0B288E82}" name="Column14324"/>
    <tableColumn id="14344" xr3:uid="{C520CB84-85E1-4D53-80D2-C015B9A8571A}" name="Column14325"/>
    <tableColumn id="14345" xr3:uid="{A312FECC-8CCA-476D-BEF2-1D0F385554DB}" name="Column14326"/>
    <tableColumn id="14346" xr3:uid="{54DF6C0D-2174-477D-8EDC-7E44357D22C7}" name="Column14327"/>
    <tableColumn id="14347" xr3:uid="{C349D40B-A0D0-4E3D-949B-B4FFDF464C71}" name="Column14328"/>
    <tableColumn id="14348" xr3:uid="{BD97526E-F17D-417F-B75D-478E6F6D497D}" name="Column14329"/>
    <tableColumn id="14349" xr3:uid="{199E01AF-9066-4E17-836F-8989DE7E4817}" name="Column14330"/>
    <tableColumn id="14350" xr3:uid="{58CD36A6-AF1F-4E26-A730-CB4EC4CFCFFB}" name="Column14331"/>
    <tableColumn id="14351" xr3:uid="{50A6A4B4-E312-4D9D-A90D-CCEACC5981EC}" name="Column14332"/>
    <tableColumn id="14352" xr3:uid="{5221683C-6911-4361-BB5E-F7774EC87A7D}" name="Column14333"/>
    <tableColumn id="14353" xr3:uid="{77B12659-7188-4C85-8214-EC93AA0846A5}" name="Column14334"/>
    <tableColumn id="14354" xr3:uid="{11B3FAA5-A506-46CF-9045-324AEF11EB1E}" name="Column14335"/>
    <tableColumn id="14355" xr3:uid="{DD7BD955-1CD6-4DD7-A281-6C11E51B7978}" name="Column14336"/>
    <tableColumn id="14356" xr3:uid="{BC1EF488-CA3E-4291-ABF6-C77552BE0A49}" name="Column14337"/>
    <tableColumn id="14357" xr3:uid="{D62C74E3-C5DB-4BA2-B25D-D55EC5EC99E5}" name="Column14338"/>
    <tableColumn id="14358" xr3:uid="{59A6764E-FDAC-41C1-8654-0BB8B4B65BD1}" name="Column14339"/>
    <tableColumn id="14359" xr3:uid="{7237FB6E-4B7C-40EB-BBCB-7583EE6A5C23}" name="Column14340"/>
    <tableColumn id="14360" xr3:uid="{D21AE932-1A2A-4CFF-A87F-67D8F5B7BD60}" name="Column14341"/>
    <tableColumn id="14361" xr3:uid="{635F4011-1A8B-4FC9-A0F8-5F30921809A1}" name="Column14342"/>
    <tableColumn id="14362" xr3:uid="{F7E3DE95-5A82-4E9B-BB1F-E299259373BE}" name="Column14343"/>
    <tableColumn id="14363" xr3:uid="{C36B9B37-1C86-439C-811E-AE36CFE5EC2B}" name="Column14344"/>
    <tableColumn id="14364" xr3:uid="{AD2AB5C3-D909-4952-BE1C-EA94A6EE3544}" name="Column14345"/>
    <tableColumn id="14365" xr3:uid="{F8985121-A510-4F1C-9B67-C3EAD74FB071}" name="Column14346"/>
    <tableColumn id="14366" xr3:uid="{946F0299-E015-4496-86F7-43BA640D8778}" name="Column14347"/>
    <tableColumn id="14367" xr3:uid="{FD953C08-B99C-498B-A0C5-1147BB168448}" name="Column14348"/>
    <tableColumn id="14368" xr3:uid="{979EE5DB-63D0-4A11-8765-B99CD37E5DBF}" name="Column14349"/>
    <tableColumn id="14369" xr3:uid="{8D16D34E-0046-4055-91B5-6D804DBBCB8F}" name="Column14350"/>
    <tableColumn id="14370" xr3:uid="{DE29F451-0A69-4AA8-8444-378DAC628842}" name="Column14351"/>
    <tableColumn id="14371" xr3:uid="{CFC3F778-B4BB-4F4A-BFB0-626F9E996E0E}" name="Column14352"/>
    <tableColumn id="14372" xr3:uid="{CC111C72-CD8B-4228-AA82-14E04A89C55B}" name="Column14353"/>
    <tableColumn id="14373" xr3:uid="{8C0917F2-E0F5-496F-AFC5-8C3FDD04D254}" name="Column14354"/>
    <tableColumn id="14374" xr3:uid="{9D2237A0-A17B-49AF-AAC6-25DB752A83DA}" name="Column14355"/>
    <tableColumn id="14375" xr3:uid="{564E021C-5611-4C3A-815B-9EE3D7CA7757}" name="Column14356"/>
    <tableColumn id="14376" xr3:uid="{F46C6690-5E0B-4B91-82D7-A326747CA0E0}" name="Column14357"/>
    <tableColumn id="14377" xr3:uid="{C6C51084-66A8-4433-A34B-FB2EBF458C69}" name="Column14358"/>
    <tableColumn id="14378" xr3:uid="{60E62B18-E3E0-4C2A-9C1B-AD7395B4F395}" name="Column14359"/>
    <tableColumn id="14379" xr3:uid="{065B6979-8807-4C32-A6C5-3E0616B30EAC}" name="Column14360"/>
    <tableColumn id="14380" xr3:uid="{985CDBCA-786D-44F7-994F-E52DC9A8EAF5}" name="Column14361"/>
    <tableColumn id="14381" xr3:uid="{7C0A31A8-5825-43A0-A23A-40EB6E705E30}" name="Column14362"/>
    <tableColumn id="14382" xr3:uid="{576B4977-FA7B-418F-A435-D16DCF7675A8}" name="Column14363"/>
    <tableColumn id="14383" xr3:uid="{CA5E180C-ECB9-40BD-A1AF-E2E3C9435E6B}" name="Column14364"/>
    <tableColumn id="14384" xr3:uid="{AAEB088D-A3B7-41F5-AF07-7B75BDE615E5}" name="Column14365"/>
    <tableColumn id="14385" xr3:uid="{C356B3EC-5DBE-477A-BAF6-900D8DA6FA23}" name="Column14366"/>
    <tableColumn id="14386" xr3:uid="{18497A34-2B15-457F-A53B-969352867D3C}" name="Column14367"/>
    <tableColumn id="14387" xr3:uid="{A81A4D70-C904-4ACC-8968-34D7C46636DC}" name="Column14368"/>
    <tableColumn id="14388" xr3:uid="{A008880B-87F3-4B8A-AD76-971CE743E7E7}" name="Column14369"/>
    <tableColumn id="14389" xr3:uid="{432C39F1-2948-47FC-999D-C32EF4FCD8C4}" name="Column14370"/>
    <tableColumn id="14390" xr3:uid="{0F06F8F4-E5C1-4429-BF06-3AD24E209005}" name="Column14371"/>
    <tableColumn id="14391" xr3:uid="{2501F72A-A349-4903-9B8E-1A4A3179B4E5}" name="Column14372"/>
    <tableColumn id="14392" xr3:uid="{7963AC09-4C35-4D1F-8F90-2FAF751D7C31}" name="Column14373"/>
    <tableColumn id="14393" xr3:uid="{95A8CF4C-BB5F-4AEE-8F1A-83F58E329EC8}" name="Column14374"/>
    <tableColumn id="14394" xr3:uid="{4084D71D-5431-4713-B580-FB440974557F}" name="Column14375"/>
    <tableColumn id="14395" xr3:uid="{E57990A5-1852-406B-823C-F545A0E6DF28}" name="Column14376"/>
    <tableColumn id="14396" xr3:uid="{C6B81434-B0A1-4437-A727-5539706A2CD2}" name="Column14377"/>
    <tableColumn id="14397" xr3:uid="{5A38D58C-9497-4B83-93FF-16DB00B8BBCD}" name="Column14378"/>
    <tableColumn id="14398" xr3:uid="{28D76F4B-9F5F-4984-8BD4-1AAA120D88CB}" name="Column14379"/>
    <tableColumn id="14399" xr3:uid="{85BD9363-209C-4559-82C5-95914E6A1E9E}" name="Column14380"/>
    <tableColumn id="14400" xr3:uid="{8F727CB4-0E84-4800-A02F-D99F6862FF23}" name="Column14381"/>
    <tableColumn id="14401" xr3:uid="{84EE2C9A-6293-4D45-95B2-2E9D7F15F3B9}" name="Column14382"/>
    <tableColumn id="14402" xr3:uid="{6DF323AD-B987-4C9C-8419-58DFC117F2CB}" name="Column14383"/>
    <tableColumn id="14403" xr3:uid="{08D4791D-C5A5-47D1-846C-D1476FDA5BAF}" name="Column14384"/>
    <tableColumn id="14404" xr3:uid="{8445F703-78BB-4B9C-96C3-E4FC4DBD6F74}" name="Column14385"/>
    <tableColumn id="14405" xr3:uid="{9E9E5BAE-A677-4D9F-AC61-F64412523AA9}" name="Column14386"/>
    <tableColumn id="14406" xr3:uid="{FAB4DF78-3C6A-44AB-B90F-BBE1BBB04E15}" name="Column14387"/>
    <tableColumn id="14407" xr3:uid="{D106B17F-1CA7-44E7-BF5B-A8A46CF6D334}" name="Column14388"/>
    <tableColumn id="14408" xr3:uid="{A03E982D-CFAC-42B8-AAC2-FBE08F10D1BC}" name="Column14389"/>
    <tableColumn id="14409" xr3:uid="{1E54E93D-0B72-4448-BD4C-3FA0F9CD868D}" name="Column14390"/>
    <tableColumn id="14410" xr3:uid="{DB8875E8-5D1A-43FF-B6C1-5EE27708F52F}" name="Column14391"/>
    <tableColumn id="14411" xr3:uid="{496439EB-D924-4CE2-9C48-BF9C9E99C75D}" name="Column14392"/>
    <tableColumn id="14412" xr3:uid="{6969718A-8A27-42D3-A222-577EF555537F}" name="Column14393"/>
    <tableColumn id="14413" xr3:uid="{31C6BA10-929A-44D3-8491-783E0543379D}" name="Column14394"/>
    <tableColumn id="14414" xr3:uid="{B1F067E5-26AE-436C-9E4C-D202BA0739E6}" name="Column14395"/>
    <tableColumn id="14415" xr3:uid="{3A682107-6084-458D-AE6C-E3BC858961A8}" name="Column14396"/>
    <tableColumn id="14416" xr3:uid="{EC525003-360C-4F28-8878-BA5AFF9AFE8B}" name="Column14397"/>
    <tableColumn id="14417" xr3:uid="{22F90500-A553-437E-890B-76F8FC551516}" name="Column14398"/>
    <tableColumn id="14418" xr3:uid="{DA8C6F62-FC6E-472F-9F6B-2DC62B9AD566}" name="Column14399"/>
    <tableColumn id="14419" xr3:uid="{1B2F099B-9238-4209-9BFE-7C08B7931984}" name="Column14400"/>
    <tableColumn id="14420" xr3:uid="{D9568EA0-F842-4542-A34D-8F56229F1151}" name="Column14401"/>
    <tableColumn id="14421" xr3:uid="{563DAA84-CF8E-458B-8754-C1D0D5E4799C}" name="Column14402"/>
    <tableColumn id="14422" xr3:uid="{53D869C2-F82E-47AB-BFED-2B58268F71A4}" name="Column14403"/>
    <tableColumn id="14423" xr3:uid="{98F3C58F-B66F-4572-9A2A-826F6C6E7E4E}" name="Column14404"/>
    <tableColumn id="14424" xr3:uid="{B21DCD81-AEDA-4781-BC31-E8AF1F3264D2}" name="Column14405"/>
    <tableColumn id="14425" xr3:uid="{91687107-5B09-4BFD-B81E-DC673BC0D575}" name="Column14406"/>
    <tableColumn id="14426" xr3:uid="{7D9B7FBF-F133-4451-82F7-E8B6A0184C5E}" name="Column14407"/>
    <tableColumn id="14427" xr3:uid="{6C487D33-B2CA-4A86-856E-9C1F59E5ECB6}" name="Column14408"/>
    <tableColumn id="14428" xr3:uid="{FFF5F7F6-E1CA-4A77-89F6-B875C9622D3C}" name="Column14409"/>
    <tableColumn id="14429" xr3:uid="{E9DEF4CF-EA13-4769-8A4E-CF70ABE8DDD1}" name="Column14410"/>
    <tableColumn id="14430" xr3:uid="{B1176667-32F5-472B-AEE6-FBB75B1969ED}" name="Column14411"/>
    <tableColumn id="14431" xr3:uid="{5CB1F448-5621-43C0-B6E2-183906BDD14E}" name="Column14412"/>
    <tableColumn id="14432" xr3:uid="{8D568ED0-A237-406C-9D26-83BBB828B431}" name="Column14413"/>
    <tableColumn id="14433" xr3:uid="{81A963A5-DA0D-49DB-BE30-849C8C48096E}" name="Column14414"/>
    <tableColumn id="14434" xr3:uid="{4DBB6DF8-4FD3-4552-AF90-603A6E22DA20}" name="Column14415"/>
    <tableColumn id="14435" xr3:uid="{ED114AC8-FD6A-4CED-B97A-FCEF689A30CC}" name="Column14416"/>
    <tableColumn id="14436" xr3:uid="{29D84AFB-3EF6-434D-A0F5-F54A58BE41B8}" name="Column14417"/>
    <tableColumn id="14437" xr3:uid="{FDCD737E-5E1C-4971-8907-5AFAC0794A23}" name="Column14418"/>
    <tableColumn id="14438" xr3:uid="{ACC75F14-83D0-4F5B-8CA8-53A652E58EB2}" name="Column14419"/>
    <tableColumn id="14439" xr3:uid="{9DA67AF2-C45C-43AF-8434-7785D72B5789}" name="Column14420"/>
    <tableColumn id="14440" xr3:uid="{ED2A9027-006B-4E64-BA31-7DAFF023758F}" name="Column14421"/>
    <tableColumn id="14441" xr3:uid="{72DDBFD9-F4B3-41C8-813E-8C0CF5000CF4}" name="Column14422"/>
    <tableColumn id="14442" xr3:uid="{91D09B0B-A23A-45ED-A4F2-3F65D13C9662}" name="Column14423"/>
    <tableColumn id="14443" xr3:uid="{A9A0D76D-CD9D-4133-B60E-7425A02BB170}" name="Column14424"/>
    <tableColumn id="14444" xr3:uid="{3248E3DD-B88F-4CDD-85EB-12AA5E50BF4F}" name="Column14425"/>
    <tableColumn id="14445" xr3:uid="{AFDF8488-4460-4D61-8720-7812A2AA231C}" name="Column14426"/>
    <tableColumn id="14446" xr3:uid="{CF63EFF1-B24C-46AA-ACB5-6EA6C253A584}" name="Column14427"/>
    <tableColumn id="14447" xr3:uid="{2380C033-C337-4F11-9CCA-760ED7C2100A}" name="Column14428"/>
    <tableColumn id="14448" xr3:uid="{A586F9CF-D19E-489B-95F1-F94416D64C97}" name="Column14429"/>
    <tableColumn id="14449" xr3:uid="{8133D17A-DF0B-4B0A-AA9E-FF9EACD08C9D}" name="Column14430"/>
    <tableColumn id="14450" xr3:uid="{1E4ED168-BA13-4C1D-9142-CCD8145E4C1F}" name="Column14431"/>
    <tableColumn id="14451" xr3:uid="{47DA47A9-970D-4317-BF1E-3A0A17A84FB7}" name="Column14432"/>
    <tableColumn id="14452" xr3:uid="{FD4FCB75-859E-4149-B656-A52AA88AE5BF}" name="Column14433"/>
    <tableColumn id="14453" xr3:uid="{88B7757F-6736-4DA1-BD99-0C6AF3A61AB0}" name="Column14434"/>
    <tableColumn id="14454" xr3:uid="{DE95F47B-7D5E-436B-BDE9-F4F2B736DEC9}" name="Column14435"/>
    <tableColumn id="14455" xr3:uid="{44F2303F-81B0-436A-A0DE-0A98CD6B179F}" name="Column14436"/>
    <tableColumn id="14456" xr3:uid="{A97F6CA9-A564-4BA3-9F14-F449D925B66B}" name="Column14437"/>
    <tableColumn id="14457" xr3:uid="{4380B03B-3CE3-4FD8-A0DD-7677C6801D8A}" name="Column14438"/>
    <tableColumn id="14458" xr3:uid="{4369DFF1-BD75-45FE-ABA5-6F0747F60E88}" name="Column14439"/>
    <tableColumn id="14459" xr3:uid="{3C238EC0-1935-42A6-A2FC-B4A64CD417BB}" name="Column14440"/>
    <tableColumn id="14460" xr3:uid="{D5DF6C7C-241E-4478-B24B-4908C9E6429B}" name="Column14441"/>
    <tableColumn id="14461" xr3:uid="{5178D3D0-C4E8-4826-A8E7-0D5FBD6F60FD}" name="Column14442"/>
    <tableColumn id="14462" xr3:uid="{9744AF12-A069-41DC-AAC5-C71AEE886FE8}" name="Column14443"/>
    <tableColumn id="14463" xr3:uid="{634BA0B7-08E3-464D-BB09-57BE9433A799}" name="Column14444"/>
    <tableColumn id="14464" xr3:uid="{6DBA6800-C3B6-43C5-A045-DB452E3C3A2F}" name="Column14445"/>
    <tableColumn id="14465" xr3:uid="{5EF48E3E-5C09-4B6D-AE99-CC9E419B729B}" name="Column14446"/>
    <tableColumn id="14466" xr3:uid="{D972CE6C-D98F-45CE-B851-9F1FE3AA35A3}" name="Column14447"/>
    <tableColumn id="14467" xr3:uid="{868C179A-58FA-4155-ABFA-CA6C9475D661}" name="Column14448"/>
    <tableColumn id="14468" xr3:uid="{3CB16686-FB03-4055-AEB0-D47A978CF663}" name="Column14449"/>
    <tableColumn id="14469" xr3:uid="{ABFB01D9-1F2E-48DA-B5C8-1C8207A83ADD}" name="Column14450"/>
    <tableColumn id="14470" xr3:uid="{35C0A3FE-0A47-466A-A116-2DFA6CB0025F}" name="Column14451"/>
    <tableColumn id="14471" xr3:uid="{03E81F20-D4B0-45A2-95A5-BDE62611BFF1}" name="Column14452"/>
    <tableColumn id="14472" xr3:uid="{EA5058FC-8BB6-48E3-B581-8BCD355F6B78}" name="Column14453"/>
    <tableColumn id="14473" xr3:uid="{8909D653-0378-4834-8AF4-E8B57191CDBA}" name="Column14454"/>
    <tableColumn id="14474" xr3:uid="{C0D0AA2F-B62F-49D3-9E28-8CEC85CA1B9C}" name="Column14455"/>
    <tableColumn id="14475" xr3:uid="{C17C7DD9-6DE1-413A-A516-0BAC928606FB}" name="Column14456"/>
    <tableColumn id="14476" xr3:uid="{50D7CE88-3E7C-49E0-9A78-4FC2125FCA70}" name="Column14457"/>
    <tableColumn id="14477" xr3:uid="{79827BF7-4DE5-41FC-8741-10484276BCFC}" name="Column14458"/>
    <tableColumn id="14478" xr3:uid="{327BB546-1C31-4364-B745-6156A62B4E93}" name="Column14459"/>
    <tableColumn id="14479" xr3:uid="{899ECA4E-1482-4D4C-80E1-DFEAFFF7B930}" name="Column14460"/>
    <tableColumn id="14480" xr3:uid="{F4D0F498-52C3-4A7C-ACBE-4D0DD2B933E7}" name="Column14461"/>
    <tableColumn id="14481" xr3:uid="{0E9A7558-DD58-47A8-B2A6-852D77124CB5}" name="Column14462"/>
    <tableColumn id="14482" xr3:uid="{4109961D-A134-4AFA-A962-A2BDB77AE5C3}" name="Column14463"/>
    <tableColumn id="14483" xr3:uid="{03477F75-5ABB-4817-BBB3-4E6D0BAF6160}" name="Column14464"/>
    <tableColumn id="14484" xr3:uid="{247FB2A3-E3FA-4236-AE56-51C52500C534}" name="Column14465"/>
    <tableColumn id="14485" xr3:uid="{688D2059-8906-490E-8C49-7D1FC31481D0}" name="Column14466"/>
    <tableColumn id="14486" xr3:uid="{D11B6428-FDF6-49A8-B445-A15D93DBB558}" name="Column14467"/>
    <tableColumn id="14487" xr3:uid="{2C22C868-8403-436E-BEB6-0B3BA579B496}" name="Column14468"/>
    <tableColumn id="14488" xr3:uid="{FD839129-2F80-4854-AF11-C81B9DB222F6}" name="Column14469"/>
    <tableColumn id="14489" xr3:uid="{1D346F38-8F1D-456D-A269-BA3F999B1B35}" name="Column14470"/>
    <tableColumn id="14490" xr3:uid="{5844F277-01F1-4CDE-AC37-8AD431806FD5}" name="Column14471"/>
    <tableColumn id="14491" xr3:uid="{9BB7AFD1-EE3D-48DA-9943-5A18947732F1}" name="Column14472"/>
    <tableColumn id="14492" xr3:uid="{C9565B54-3950-4623-9C60-C8ED80B5B482}" name="Column14473"/>
    <tableColumn id="14493" xr3:uid="{343813EB-701A-418D-9148-1C4B31B122FC}" name="Column14474"/>
    <tableColumn id="14494" xr3:uid="{21988A86-27F5-4072-B01F-7D0635E071CA}" name="Column14475"/>
    <tableColumn id="14495" xr3:uid="{F835F81C-6DFF-4C8A-AB9F-0A54EF04E55A}" name="Column14476"/>
    <tableColumn id="14496" xr3:uid="{A7A96B62-EE5F-45B7-BB9A-8582AAF6044A}" name="Column14477"/>
    <tableColumn id="14497" xr3:uid="{F6458AC6-9A02-4AA5-81A2-C0AD1721BCFA}" name="Column14478"/>
    <tableColumn id="14498" xr3:uid="{AF376758-477B-4A0A-B666-FE66F6866F64}" name="Column14479"/>
    <tableColumn id="14499" xr3:uid="{1080787F-2598-4555-B372-4791A0D4D723}" name="Column14480"/>
    <tableColumn id="14500" xr3:uid="{2BB328F5-9052-4FCF-9BF5-131C8B9B2705}" name="Column14481"/>
    <tableColumn id="14501" xr3:uid="{CC4A2DE4-C45D-47EB-8BA5-F13AD91FD9B6}" name="Column14482"/>
    <tableColumn id="14502" xr3:uid="{B1C086C2-6C9C-49E0-9E2D-6CFABF594C89}" name="Column14483"/>
    <tableColumn id="14503" xr3:uid="{07F700D4-F98A-468A-9190-86DEC3367BA1}" name="Column14484"/>
    <tableColumn id="14504" xr3:uid="{E9B5FAE9-F007-49D5-BD7B-3358F3FC3D74}" name="Column14485"/>
    <tableColumn id="14505" xr3:uid="{ED6CAE4C-4557-404E-BD97-A04744A1C617}" name="Column14486"/>
    <tableColumn id="14506" xr3:uid="{A85BB0AC-8ECE-43FE-97ED-B5495C32B8E6}" name="Column14487"/>
    <tableColumn id="14507" xr3:uid="{BD48F448-9E1E-436E-AC18-513968EF9AA0}" name="Column14488"/>
    <tableColumn id="14508" xr3:uid="{F19B6319-5F00-40ED-A8C7-876BF222745A}" name="Column14489"/>
    <tableColumn id="14509" xr3:uid="{B0932398-B49C-4C78-88D6-B2FFD8C58A5D}" name="Column14490"/>
    <tableColumn id="14510" xr3:uid="{5AAC9D4F-FDB0-4EB7-94AB-857F2D87E7B4}" name="Column14491"/>
    <tableColumn id="14511" xr3:uid="{46457ABC-AF1D-41DF-A60B-6D82E706872F}" name="Column14492"/>
    <tableColumn id="14512" xr3:uid="{701B12D2-0A24-4FFD-8AF6-0D1F4C0643F0}" name="Column14493"/>
    <tableColumn id="14513" xr3:uid="{1BED693E-00CF-4493-B6C9-889B97134A28}" name="Column14494"/>
    <tableColumn id="14514" xr3:uid="{672DF1DB-6229-4EA6-B8C0-46259580E2AB}" name="Column14495"/>
    <tableColumn id="14515" xr3:uid="{662497A1-09F1-46DD-9BF1-0E5ABBBAC8B2}" name="Column14496"/>
    <tableColumn id="14516" xr3:uid="{5A531165-03CE-4615-B717-22AA0E9B5AEB}" name="Column14497"/>
    <tableColumn id="14517" xr3:uid="{397A135B-089C-4A62-B506-411561143B12}" name="Column14498"/>
    <tableColumn id="14518" xr3:uid="{B8D969BC-3555-476D-BA5D-E076A48013ED}" name="Column14499"/>
    <tableColumn id="14519" xr3:uid="{9F571523-5A5F-4C0B-B9F2-FA0CA38C8733}" name="Column14500"/>
    <tableColumn id="14520" xr3:uid="{5A9A9460-40B1-4B9D-BBC1-328B590ACDF5}" name="Column14501"/>
    <tableColumn id="14521" xr3:uid="{76AE3AA5-A92F-4D16-B8D2-F3ED57A5E9DE}" name="Column14502"/>
    <tableColumn id="14522" xr3:uid="{D68A915F-6C3B-43AD-91E5-CD15D3492A3A}" name="Column14503"/>
    <tableColumn id="14523" xr3:uid="{642C7125-5467-4039-B2D4-837DDEDB3245}" name="Column14504"/>
    <tableColumn id="14524" xr3:uid="{68375969-0785-49DE-8FF6-32680EB15F0C}" name="Column14505"/>
    <tableColumn id="14525" xr3:uid="{E9FE3886-7AF0-4935-B52C-15566CF3BF19}" name="Column14506"/>
    <tableColumn id="14526" xr3:uid="{E55DC995-B6EE-48D6-938B-91EDEEEDE6F8}" name="Column14507"/>
    <tableColumn id="14527" xr3:uid="{9B85B11D-7F79-4A34-B719-0EBA2551D9D3}" name="Column14508"/>
    <tableColumn id="14528" xr3:uid="{A5C6FA90-7E20-466C-9FCC-0996E848468C}" name="Column14509"/>
    <tableColumn id="14529" xr3:uid="{17B58D56-74AD-4688-B6C1-B439CAEBEB22}" name="Column14510"/>
    <tableColumn id="14530" xr3:uid="{BA74154C-53F1-43D2-B281-7511255CF0D3}" name="Column14511"/>
    <tableColumn id="14531" xr3:uid="{1ABD63FB-090F-46AF-A200-FAFAACAAF278}" name="Column14512"/>
    <tableColumn id="14532" xr3:uid="{4689AF9F-F0C2-4495-9BCF-3AC4AC32B450}" name="Column14513"/>
    <tableColumn id="14533" xr3:uid="{1A6ED6D9-FABF-45CB-80C3-31C8F5AC2156}" name="Column14514"/>
    <tableColumn id="14534" xr3:uid="{A3936565-2297-4D26-A5F7-3BD46F74083D}" name="Column14515"/>
    <tableColumn id="14535" xr3:uid="{4914FB67-755F-48BC-B388-0B89010EB9D5}" name="Column14516"/>
    <tableColumn id="14536" xr3:uid="{49F22605-63B6-4581-A523-80179AF701F9}" name="Column14517"/>
    <tableColumn id="14537" xr3:uid="{CB622D8D-969F-435D-8E41-EE9B900EC064}" name="Column14518"/>
    <tableColumn id="14538" xr3:uid="{FDFF7644-AFFF-4812-8663-A0B3A7338FCD}" name="Column14519"/>
    <tableColumn id="14539" xr3:uid="{B38765C5-3037-47A1-91FD-9C2FD31AF170}" name="Column14520"/>
    <tableColumn id="14540" xr3:uid="{BA125D47-15F3-4BEC-B1A8-37ADFAE9F121}" name="Column14521"/>
    <tableColumn id="14541" xr3:uid="{9AB92AEC-2349-46FF-A32E-7BF07DB42777}" name="Column14522"/>
    <tableColumn id="14542" xr3:uid="{8C6F26A4-0509-4D05-8648-6256081A2AB7}" name="Column14523"/>
    <tableColumn id="14543" xr3:uid="{5FA2EB7F-F072-4F0B-AE2F-B7A9DE9E63DF}" name="Column14524"/>
    <tableColumn id="14544" xr3:uid="{BA169090-5604-4131-B8CD-AC1433EE20A0}" name="Column14525"/>
    <tableColumn id="14545" xr3:uid="{8400C4BA-7938-4FD6-857C-BA8E0B18B8A7}" name="Column14526"/>
    <tableColumn id="14546" xr3:uid="{E6E4F090-9883-4AEC-BBF3-C136E31ECEE0}" name="Column14527"/>
    <tableColumn id="14547" xr3:uid="{F5A05802-2ED2-4BD9-80D2-C956615890EB}" name="Column14528"/>
    <tableColumn id="14548" xr3:uid="{AD52AAFA-59AD-4A19-AEA4-DD5F1AEB2F00}" name="Column14529"/>
    <tableColumn id="14549" xr3:uid="{E9B898BE-F094-4553-8CDD-DBB39C8245AA}" name="Column14530"/>
    <tableColumn id="14550" xr3:uid="{C91B4302-5A18-4CAB-8947-12DEC11B1DBE}" name="Column14531"/>
    <tableColumn id="14551" xr3:uid="{8AFD4158-5247-496E-88CE-95BC7353B546}" name="Column14532"/>
    <tableColumn id="14552" xr3:uid="{D7504377-9486-4EFB-9D8B-E11A42DC1BA3}" name="Column14533"/>
    <tableColumn id="14553" xr3:uid="{DEA24736-5A47-4D4E-8D77-02C12DAEB1E5}" name="Column14534"/>
    <tableColumn id="14554" xr3:uid="{5A547461-D319-41BD-B08E-70E989F3659A}" name="Column14535"/>
    <tableColumn id="14555" xr3:uid="{BCB99AC2-0B4C-4137-B850-8FA27FEEBC81}" name="Column14536"/>
    <tableColumn id="14556" xr3:uid="{2D30923D-AB74-4D98-AF8B-758639102344}" name="Column14537"/>
    <tableColumn id="14557" xr3:uid="{B5B6DC4F-F7EB-41C5-8F73-414365456A4E}" name="Column14538"/>
    <tableColumn id="14558" xr3:uid="{7B6A2BA8-4E06-49CA-8C80-20B9A0818E0E}" name="Column14539"/>
    <tableColumn id="14559" xr3:uid="{895676C4-7115-494E-8DBB-B555D807F3F9}" name="Column14540"/>
    <tableColumn id="14560" xr3:uid="{EEE08066-44B4-4432-A091-466E27EC5CD0}" name="Column14541"/>
    <tableColumn id="14561" xr3:uid="{2ED034C7-32F4-444B-B449-0D6C108D8BF2}" name="Column14542"/>
    <tableColumn id="14562" xr3:uid="{411F0DA4-C428-462C-852C-47A82A16DF08}" name="Column14543"/>
    <tableColumn id="14563" xr3:uid="{EF79A332-415B-42CE-8EAA-9A703FA29F89}" name="Column14544"/>
    <tableColumn id="14564" xr3:uid="{ECE8F04B-46C3-4A50-AC0A-D3C8DB1C21AC}" name="Column14545"/>
    <tableColumn id="14565" xr3:uid="{59ECB0F6-E976-480B-B691-1C120F162E98}" name="Column14546"/>
    <tableColumn id="14566" xr3:uid="{72295535-71CF-4776-B049-B1DF6192CF47}" name="Column14547"/>
    <tableColumn id="14567" xr3:uid="{0D9913E1-C2CC-4082-A54B-F5BC503DA32D}" name="Column14548"/>
    <tableColumn id="14568" xr3:uid="{EE43B2BF-3465-4CC6-A517-75CA41074E84}" name="Column14549"/>
    <tableColumn id="14569" xr3:uid="{B83A0FAB-3D8A-4A4F-ADF3-0819B071209B}" name="Column14550"/>
    <tableColumn id="14570" xr3:uid="{E9A2E9E7-97E0-4F61-B7CF-A6FB2353D3A0}" name="Column14551"/>
    <tableColumn id="14571" xr3:uid="{B504E4B8-FB8A-4356-A214-AF2AC9BDA409}" name="Column14552"/>
    <tableColumn id="14572" xr3:uid="{E1FA8049-5DBA-4DA0-8B3B-D29C28E7BC11}" name="Column14553"/>
    <tableColumn id="14573" xr3:uid="{48A05739-77F7-4D56-AB34-0CC7F2361E1D}" name="Column14554"/>
    <tableColumn id="14574" xr3:uid="{259BC86A-76C1-40BF-9028-A67430DBBF5F}" name="Column14555"/>
    <tableColumn id="14575" xr3:uid="{233E4103-2EA0-40C0-AEDB-42D662818D34}" name="Column14556"/>
    <tableColumn id="14576" xr3:uid="{177BEEE2-E0C8-421C-83EB-E7F313F4614C}" name="Column14557"/>
    <tableColumn id="14577" xr3:uid="{1174E2DB-0639-4A71-B1F4-21469B9B3C78}" name="Column14558"/>
    <tableColumn id="14578" xr3:uid="{488D22FB-D7A3-4961-B58D-6E5C9533AC2F}" name="Column14559"/>
    <tableColumn id="14579" xr3:uid="{F85D8796-2973-420E-9B5E-CAA8AF2E6DEB}" name="Column14560"/>
    <tableColumn id="14580" xr3:uid="{FEF6C831-392E-46A7-AF06-4AA165CA2839}" name="Column14561"/>
    <tableColumn id="14581" xr3:uid="{D717257E-640C-4E2F-8892-9065EF369237}" name="Column14562"/>
    <tableColumn id="14582" xr3:uid="{5961E6FF-E752-4BA6-9768-6E7E126EFE08}" name="Column14563"/>
    <tableColumn id="14583" xr3:uid="{347E771C-1D44-4F78-987E-76D5FD350248}" name="Column14564"/>
    <tableColumn id="14584" xr3:uid="{8FF7B75D-32A1-4CEB-A4A3-841BFFD20C6B}" name="Column14565"/>
    <tableColumn id="14585" xr3:uid="{88EB0312-C47A-4F9E-9DA8-C088474ECD51}" name="Column14566"/>
    <tableColumn id="14586" xr3:uid="{8414C509-DE9B-48A2-B61A-B14CE54799E7}" name="Column14567"/>
    <tableColumn id="14587" xr3:uid="{F8DB1665-8F9E-4102-8593-0A75720FCBB8}" name="Column14568"/>
    <tableColumn id="14588" xr3:uid="{A6516A83-88C8-4D6A-82EB-9DBD79E93311}" name="Column14569"/>
    <tableColumn id="14589" xr3:uid="{7712A37F-62B0-42CC-8706-5DE18B536B25}" name="Column14570"/>
    <tableColumn id="14590" xr3:uid="{5BD0AA00-538B-464E-A21D-CDEAF2F4E2FE}" name="Column14571"/>
    <tableColumn id="14591" xr3:uid="{B22BB683-5E7A-4929-A29C-683712D52BD6}" name="Column14572"/>
    <tableColumn id="14592" xr3:uid="{79413D2E-4081-4FBC-8A5C-8D34A83655F0}" name="Column14573"/>
    <tableColumn id="14593" xr3:uid="{8F448884-43F2-49DF-809F-9B85F461F91D}" name="Column14574"/>
    <tableColumn id="14594" xr3:uid="{7C4C6600-24E3-4F34-B7E7-38944373C9B1}" name="Column14575"/>
    <tableColumn id="14595" xr3:uid="{1E063637-ED24-4FF9-9A17-4B06E3819551}" name="Column14576"/>
    <tableColumn id="14596" xr3:uid="{076C6C96-1DEF-4151-A9E5-2C3779A90106}" name="Column14577"/>
    <tableColumn id="14597" xr3:uid="{6B45CB42-15C4-4DEB-8463-359BBC817343}" name="Column14578"/>
    <tableColumn id="14598" xr3:uid="{16F8312D-501B-4159-839B-3E9CFC8BB9CD}" name="Column14579"/>
    <tableColumn id="14599" xr3:uid="{BF1A807B-ADC2-4085-B56C-D8620884EED3}" name="Column14580"/>
    <tableColumn id="14600" xr3:uid="{6574DB95-4C1D-4A1C-A0CB-ACD4D464BD33}" name="Column14581"/>
    <tableColumn id="14601" xr3:uid="{866BCCBF-A152-4225-9F73-7CB845335178}" name="Column14582"/>
    <tableColumn id="14602" xr3:uid="{6EB056D6-A9DC-4DB7-BD72-55A7BEAC64A2}" name="Column14583"/>
    <tableColumn id="14603" xr3:uid="{068372F7-517F-4D67-8122-9C1BEF93DC12}" name="Column14584"/>
    <tableColumn id="14604" xr3:uid="{10B92863-9B15-4E9D-9EA6-C0E9AF93F8A8}" name="Column14585"/>
    <tableColumn id="14605" xr3:uid="{7C7080A1-9ACA-432D-ACDF-1EDAF8BBF25E}" name="Column14586"/>
    <tableColumn id="14606" xr3:uid="{083454BB-1A94-4589-B4C5-9528EC58E1F3}" name="Column14587"/>
    <tableColumn id="14607" xr3:uid="{760CF695-113D-4CA5-A1C2-57FA08EF007F}" name="Column14588"/>
    <tableColumn id="14608" xr3:uid="{797549A5-4AB0-4A31-86E5-2FC06B708C52}" name="Column14589"/>
    <tableColumn id="14609" xr3:uid="{5903EC22-2CA7-450C-8D40-2A2E8B81B894}" name="Column14590"/>
    <tableColumn id="14610" xr3:uid="{D1ED1B23-B0CC-4D54-AA4D-3AC2D4E83A91}" name="Column14591"/>
    <tableColumn id="14611" xr3:uid="{CA88AA42-195F-4B12-B48A-3EE383F205E8}" name="Column14592"/>
    <tableColumn id="14612" xr3:uid="{E6894E7C-DC47-49F0-8BF1-FB222B721DBA}" name="Column14593"/>
    <tableColumn id="14613" xr3:uid="{17ADABE3-3946-4138-B03B-73A52A498271}" name="Column14594"/>
    <tableColumn id="14614" xr3:uid="{39715648-C4B9-4F4E-94FD-99FEEE3FE353}" name="Column14595"/>
    <tableColumn id="14615" xr3:uid="{B6FD0A6E-C09B-4F58-B0A8-7597B5492419}" name="Column14596"/>
    <tableColumn id="14616" xr3:uid="{2D91D011-C73B-4FB9-A5E9-AE59AE6FFF22}" name="Column14597"/>
    <tableColumn id="14617" xr3:uid="{6208B671-5870-42AF-BDEC-3F08981612F8}" name="Column14598"/>
    <tableColumn id="14618" xr3:uid="{4F301780-3687-477C-860B-32670A05B20E}" name="Column14599"/>
    <tableColumn id="14619" xr3:uid="{D6E017E8-17E2-4A16-BEA2-BFE423E66961}" name="Column14600"/>
    <tableColumn id="14620" xr3:uid="{07707957-8F4C-4279-B3B7-D822C89C12CA}" name="Column14601"/>
    <tableColumn id="14621" xr3:uid="{265BFDF3-312E-49D2-9A7C-A04BCE94A6B7}" name="Column14602"/>
    <tableColumn id="14622" xr3:uid="{58F640F1-3885-4DC7-9B65-91FB6788417F}" name="Column14603"/>
    <tableColumn id="14623" xr3:uid="{8712C286-3265-45C4-89F7-F530839A613C}" name="Column14604"/>
    <tableColumn id="14624" xr3:uid="{1197584B-4627-4319-A315-7CA0C2B86210}" name="Column14605"/>
    <tableColumn id="14625" xr3:uid="{E1AC1C44-0831-49C6-BF3C-8FAB6A94B88A}" name="Column14606"/>
    <tableColumn id="14626" xr3:uid="{72C038EB-D7A7-454B-AA5D-40C6AD90E64E}" name="Column14607"/>
    <tableColumn id="14627" xr3:uid="{2FEE02E5-22BD-489A-8567-D8AA588EED31}" name="Column14608"/>
    <tableColumn id="14628" xr3:uid="{48785A92-1159-4615-9B51-9EE9C053019A}" name="Column14609"/>
    <tableColumn id="14629" xr3:uid="{8DF9FC34-1732-4CCD-AE18-0273336D0FA5}" name="Column14610"/>
    <tableColumn id="14630" xr3:uid="{F87B3467-F8A4-4EB8-81BA-1B6E82848744}" name="Column14611"/>
    <tableColumn id="14631" xr3:uid="{282B3536-F694-4792-95A0-63AA6E9DFF4F}" name="Column14612"/>
    <tableColumn id="14632" xr3:uid="{A96C73AD-9AC8-428E-B2F0-08ED5C79A0A8}" name="Column14613"/>
    <tableColumn id="14633" xr3:uid="{8489B29A-5982-4C69-B363-78D0E0C71257}" name="Column14614"/>
    <tableColumn id="14634" xr3:uid="{0CC798F9-027C-491E-896C-BE6B759E8256}" name="Column14615"/>
    <tableColumn id="14635" xr3:uid="{70172C14-97D6-45FE-8B08-1A9CF8388EFF}" name="Column14616"/>
    <tableColumn id="14636" xr3:uid="{01BB38F9-1614-4CA4-91F7-F7A9F1C8E91B}" name="Column14617"/>
    <tableColumn id="14637" xr3:uid="{50866C8B-2559-4BE6-BC7C-71350521D69F}" name="Column14618"/>
    <tableColumn id="14638" xr3:uid="{256FFB25-CC3E-4166-9AB0-3611BB6147A1}" name="Column14619"/>
    <tableColumn id="14639" xr3:uid="{F97926DD-219A-4307-BCF9-A39CA7C28A56}" name="Column14620"/>
    <tableColumn id="14640" xr3:uid="{643BA142-4F35-4A8B-86FA-D8B955B2261A}" name="Column14621"/>
    <tableColumn id="14641" xr3:uid="{D05DD53C-15D7-4EA0-92F4-264F6B761DE0}" name="Column14622"/>
    <tableColumn id="14642" xr3:uid="{AD4072CE-D4F0-4877-9042-5E5298397DFD}" name="Column14623"/>
    <tableColumn id="14643" xr3:uid="{65D4B02A-9092-4193-BA05-D661B6BE7871}" name="Column14624"/>
    <tableColumn id="14644" xr3:uid="{D06A6275-08E8-4DE4-9869-AD55C8676BD8}" name="Column14625"/>
    <tableColumn id="14645" xr3:uid="{D0966228-6B25-4D61-A92A-47EB4E8C1AF7}" name="Column14626"/>
    <tableColumn id="14646" xr3:uid="{561D0CBB-CE58-4BD7-822D-DD747809BF77}" name="Column14627"/>
    <tableColumn id="14647" xr3:uid="{46363471-202D-408A-B01E-0ECCD6EEF4AC}" name="Column14628"/>
    <tableColumn id="14648" xr3:uid="{FB68E50B-314B-4A60-A1C0-AAF65DC43468}" name="Column14629"/>
    <tableColumn id="14649" xr3:uid="{1D61DCF5-B153-4107-8868-6F87FD3AFF13}" name="Column14630"/>
    <tableColumn id="14650" xr3:uid="{602589B2-E58A-4474-B6F3-4C316B8875AD}" name="Column14631"/>
    <tableColumn id="14651" xr3:uid="{5CEF51EA-66A0-4DBB-BF47-DB7F6C98D60A}" name="Column14632"/>
    <tableColumn id="14652" xr3:uid="{0260DB8A-EAFF-4459-A1BB-2F7A81E6A33B}" name="Column14633"/>
    <tableColumn id="14653" xr3:uid="{426BFB8B-2524-4363-A6B0-C92854A1D1E7}" name="Column14634"/>
    <tableColumn id="14654" xr3:uid="{8B33945C-C78D-41C9-8823-2E476A6A24B6}" name="Column14635"/>
    <tableColumn id="14655" xr3:uid="{960D2439-97E5-40C2-A23D-1F01C0F735EB}" name="Column14636"/>
    <tableColumn id="14656" xr3:uid="{7EF6947E-A94B-40A4-889F-F7AB11E28099}" name="Column14637"/>
    <tableColumn id="14657" xr3:uid="{89496C60-B20E-4D88-8D27-382AF522C69A}" name="Column14638"/>
    <tableColumn id="14658" xr3:uid="{EFFA78DC-DF16-40B6-A892-9EF3547A3927}" name="Column14639"/>
    <tableColumn id="14659" xr3:uid="{C88232D3-16EC-497A-9C84-A86792A6D883}" name="Column14640"/>
    <tableColumn id="14660" xr3:uid="{F4854B58-A8DF-4F45-953E-F044F888BEBE}" name="Column14641"/>
    <tableColumn id="14661" xr3:uid="{1AC4A83A-5A6A-45B3-B041-4B813BF08E2B}" name="Column14642"/>
    <tableColumn id="14662" xr3:uid="{62EBA706-601E-4CA7-9AE1-2826F63B7D87}" name="Column14643"/>
    <tableColumn id="14663" xr3:uid="{11267757-9B73-4EDC-A58A-49EADADE6855}" name="Column14644"/>
    <tableColumn id="14664" xr3:uid="{B92C5BFC-8955-4F1D-A22F-E5DF07BD5C18}" name="Column14645"/>
    <tableColumn id="14665" xr3:uid="{899F3CE9-E4DF-43EE-868C-FB551296C7E6}" name="Column14646"/>
    <tableColumn id="14666" xr3:uid="{0205270A-B3E6-4BF1-BEF4-F5935148558D}" name="Column14647"/>
    <tableColumn id="14667" xr3:uid="{416C472E-D1C4-4B58-A6FD-9D5409CD5291}" name="Column14648"/>
    <tableColumn id="14668" xr3:uid="{BA25509E-DB23-44CB-B7FB-40DAC2AD8C58}" name="Column14649"/>
    <tableColumn id="14669" xr3:uid="{86E23CA2-B57F-4A78-BDA1-61996FA3CE7F}" name="Column14650"/>
    <tableColumn id="14670" xr3:uid="{B01CB6B0-504D-4860-9BB6-D39B850F6FF3}" name="Column14651"/>
    <tableColumn id="14671" xr3:uid="{AC504B37-38DC-49B5-98C5-1CADC1642982}" name="Column14652"/>
    <tableColumn id="14672" xr3:uid="{F5E3133B-344C-4A22-A60F-96E1EF08A806}" name="Column14653"/>
    <tableColumn id="14673" xr3:uid="{399C650B-DD2B-481D-B226-046AEF87515A}" name="Column14654"/>
    <tableColumn id="14674" xr3:uid="{D0970DA7-2327-4373-A815-A099320E2557}" name="Column14655"/>
    <tableColumn id="14675" xr3:uid="{464C4632-E9F9-4463-8A91-48D545E7F576}" name="Column14656"/>
    <tableColumn id="14676" xr3:uid="{FD627C53-9BDF-404E-A24F-70A70F85207A}" name="Column14657"/>
    <tableColumn id="14677" xr3:uid="{D62EAC03-A6C2-4DA9-98C7-87A02E9CBAC6}" name="Column14658"/>
    <tableColumn id="14678" xr3:uid="{0799B453-4F2B-4CA4-9B49-0F9A9849C8B1}" name="Column14659"/>
    <tableColumn id="14679" xr3:uid="{0A7EF02C-65FD-4ED4-B6F9-1E010665D73A}" name="Column14660"/>
    <tableColumn id="14680" xr3:uid="{73D376B4-3775-479B-A345-1C136CC9F188}" name="Column14661"/>
    <tableColumn id="14681" xr3:uid="{296F17F3-55FA-403F-A5C4-1AF9AEEF3F55}" name="Column14662"/>
    <tableColumn id="14682" xr3:uid="{D0123F47-9584-47DC-A65E-F2A7F0A1301E}" name="Column14663"/>
    <tableColumn id="14683" xr3:uid="{DB4B897A-3EA9-4A77-8061-D651A5F19330}" name="Column14664"/>
    <tableColumn id="14684" xr3:uid="{EE1B43A2-BB66-4D74-BE7A-5435BFD2BE8C}" name="Column14665"/>
    <tableColumn id="14685" xr3:uid="{D8022F06-E2ED-4F9E-A46A-AF5CC31B89C7}" name="Column14666"/>
    <tableColumn id="14686" xr3:uid="{BDD78BDF-BCD6-4E06-BAEA-0924DA2021B6}" name="Column14667"/>
    <tableColumn id="14687" xr3:uid="{846E5E59-A5EA-41E7-987B-FAE92DFAA707}" name="Column14668"/>
    <tableColumn id="14688" xr3:uid="{078073F6-FB2C-4ACC-BC9E-5CF23E554009}" name="Column14669"/>
    <tableColumn id="14689" xr3:uid="{49A0E449-3558-4E14-A56E-4DE601895424}" name="Column14670"/>
    <tableColumn id="14690" xr3:uid="{95441A1D-25A0-47D5-A95B-702617E6D2AE}" name="Column14671"/>
    <tableColumn id="14691" xr3:uid="{413057B3-405D-4072-92C0-0BD22C438C99}" name="Column14672"/>
    <tableColumn id="14692" xr3:uid="{663D8CE9-CB4F-4F67-AF9C-E0099202FCD2}" name="Column14673"/>
    <tableColumn id="14693" xr3:uid="{4F7E0035-A993-4944-BB42-CFD362B8294E}" name="Column14674"/>
    <tableColumn id="14694" xr3:uid="{D48F3993-A222-42F1-9E76-B1271947AC23}" name="Column14675"/>
    <tableColumn id="14695" xr3:uid="{1D991E15-EF7E-440F-B9F1-AC3E190C8EEF}" name="Column14676"/>
    <tableColumn id="14696" xr3:uid="{2DA543AD-E790-499D-89FC-D14D5FC4ABF7}" name="Column14677"/>
    <tableColumn id="14697" xr3:uid="{69E1B77F-A524-42D9-92A5-19EA697CF373}" name="Column14678"/>
    <tableColumn id="14698" xr3:uid="{C0C209F5-4C5A-4189-B013-9AEE02DFF08C}" name="Column14679"/>
    <tableColumn id="14699" xr3:uid="{679742E2-466D-499A-9D65-9E88C59EE0AA}" name="Column14680"/>
    <tableColumn id="14700" xr3:uid="{A564C2F5-5225-42C4-B9C4-73EC4DB4C966}" name="Column14681"/>
    <tableColumn id="14701" xr3:uid="{938FAAEA-670C-415F-A5FA-B8A3B1E72962}" name="Column14682"/>
    <tableColumn id="14702" xr3:uid="{F09F7657-CEFB-4092-80FE-07B31F0F9946}" name="Column14683"/>
    <tableColumn id="14703" xr3:uid="{5083EA4C-0703-4431-AF26-A08B4F2FBDA8}" name="Column14684"/>
    <tableColumn id="14704" xr3:uid="{F1470C35-AE96-45CB-ACB4-828F661250D2}" name="Column14685"/>
    <tableColumn id="14705" xr3:uid="{89941FD7-E919-4973-803A-EDC3FF94DDA4}" name="Column14686"/>
    <tableColumn id="14706" xr3:uid="{CE712283-09A1-4AEA-8634-7DCBBED0665F}" name="Column14687"/>
    <tableColumn id="14707" xr3:uid="{1122237A-5D10-4146-85CB-7A8E9EC90BF7}" name="Column14688"/>
    <tableColumn id="14708" xr3:uid="{6A55786F-AF6A-4F34-993A-AC9894CBE5FD}" name="Column14689"/>
    <tableColumn id="14709" xr3:uid="{731AA197-B318-4638-949E-478FA79C344C}" name="Column14690"/>
    <tableColumn id="14710" xr3:uid="{C0025265-25CC-4108-A42C-1CD3F4D0AA2F}" name="Column14691"/>
    <tableColumn id="14711" xr3:uid="{F50424D7-0423-4B0A-BE6F-0E076C381684}" name="Column14692"/>
    <tableColumn id="14712" xr3:uid="{B4363B44-D7AF-45CB-A193-D1F1C91BF578}" name="Column14693"/>
    <tableColumn id="14713" xr3:uid="{A12951E5-7CB7-4192-A99E-472E7BFEE66C}" name="Column14694"/>
    <tableColumn id="14714" xr3:uid="{8576ACD5-0644-4109-8382-45BA8C01CC98}" name="Column14695"/>
    <tableColumn id="14715" xr3:uid="{9529F023-085C-4956-B1D1-1C55D214DA23}" name="Column14696"/>
    <tableColumn id="14716" xr3:uid="{55B043B0-EC42-45F3-BB1A-89570B6C6CBA}" name="Column14697"/>
    <tableColumn id="14717" xr3:uid="{4E016D38-351E-4C0E-BD4D-1FA3721385AD}" name="Column14698"/>
    <tableColumn id="14718" xr3:uid="{7587AC29-F90A-49B1-8CD7-51757385F8DD}" name="Column14699"/>
    <tableColumn id="14719" xr3:uid="{6905E568-A281-4116-AE60-C8AD8CA4F7D5}" name="Column14700"/>
    <tableColumn id="14720" xr3:uid="{3D471E3B-C0D7-4F30-8BE8-3F0F0438122F}" name="Column14701"/>
    <tableColumn id="14721" xr3:uid="{2276F4AE-F61D-4716-8807-A454CACE05C2}" name="Column14702"/>
    <tableColumn id="14722" xr3:uid="{63457FE6-9231-42A6-AC80-8CA9CE0DC204}" name="Column14703"/>
    <tableColumn id="14723" xr3:uid="{9A41A35B-8C1F-4B96-BE0E-5C7424FB3972}" name="Column14704"/>
    <tableColumn id="14724" xr3:uid="{8478F0E2-0D91-4705-B0BC-587D18187BE3}" name="Column14705"/>
    <tableColumn id="14725" xr3:uid="{B890243A-C106-40B5-B56B-0411B0C9D09E}" name="Column14706"/>
    <tableColumn id="14726" xr3:uid="{8A91BF6B-6C54-4A4C-BE45-3612921AEC91}" name="Column14707"/>
    <tableColumn id="14727" xr3:uid="{281DE8B6-8C3A-46B9-8895-56B6D7A0014A}" name="Column14708"/>
    <tableColumn id="14728" xr3:uid="{C3829606-678C-4FD9-BD8F-A4D514965953}" name="Column14709"/>
    <tableColumn id="14729" xr3:uid="{09DF5483-1F60-4C14-B3E8-30702E054422}" name="Column14710"/>
    <tableColumn id="14730" xr3:uid="{5832D294-627F-4136-BBF8-97EEEE7B7C66}" name="Column14711"/>
    <tableColumn id="14731" xr3:uid="{2A98B2A9-7EB2-4A90-89A2-CBB50236E0C6}" name="Column14712"/>
    <tableColumn id="14732" xr3:uid="{223F7771-2576-48BD-8CC7-C7F28C220ECD}" name="Column14713"/>
    <tableColumn id="14733" xr3:uid="{44BFB1B1-BB2D-4688-AB5E-51F5377F2FF9}" name="Column14714"/>
    <tableColumn id="14734" xr3:uid="{770479AD-FCD2-4F4F-AC9D-FBA5091FCCE8}" name="Column14715"/>
    <tableColumn id="14735" xr3:uid="{3FE13464-B243-4C1A-B52F-2C6AD357AB96}" name="Column14716"/>
    <tableColumn id="14736" xr3:uid="{892394A6-4B6F-4F9A-9283-BCC568F7E95A}" name="Column14717"/>
    <tableColumn id="14737" xr3:uid="{79586754-EB8B-4211-A8EE-7D013BF4FE83}" name="Column14718"/>
    <tableColumn id="14738" xr3:uid="{12A472FF-FCE3-4951-894B-70B3E751A0A9}" name="Column14719"/>
    <tableColumn id="14739" xr3:uid="{9C4D717F-D987-48BB-8C7A-B5F06BC17115}" name="Column14720"/>
    <tableColumn id="14740" xr3:uid="{C1E12B6D-45E6-4541-B743-E0EE185C5E58}" name="Column14721"/>
    <tableColumn id="14741" xr3:uid="{C4073DA0-FF9F-486C-BF01-63E783E6C8EF}" name="Column14722"/>
    <tableColumn id="14742" xr3:uid="{7B0106D8-B2E0-4879-828E-D80825685623}" name="Column14723"/>
    <tableColumn id="14743" xr3:uid="{9F025389-D329-45C5-B0C7-D6ADABD79437}" name="Column14724"/>
    <tableColumn id="14744" xr3:uid="{F206C795-79E4-4AA0-9D7A-B6CFF9CAA963}" name="Column14725"/>
    <tableColumn id="14745" xr3:uid="{65805894-F602-44D3-B15E-FE0F709C2A4B}" name="Column14726"/>
    <tableColumn id="14746" xr3:uid="{BFF743AE-1E21-4516-944B-1116055742DC}" name="Column14727"/>
    <tableColumn id="14747" xr3:uid="{DAFC3D76-C451-4B06-97C4-DC9979F4BE4D}" name="Column14728"/>
    <tableColumn id="14748" xr3:uid="{2849C2E5-E802-410D-9942-EA8558E60C7D}" name="Column14729"/>
    <tableColumn id="14749" xr3:uid="{4B9A5D14-52AF-4172-B4C4-EEAA8A26DB9B}" name="Column14730"/>
    <tableColumn id="14750" xr3:uid="{69427DEB-9A42-4DDD-A9C1-0DD155D21170}" name="Column14731"/>
    <tableColumn id="14751" xr3:uid="{38AF1A75-5277-480B-88C4-1084A21EB9BF}" name="Column14732"/>
    <tableColumn id="14752" xr3:uid="{AFA92229-5061-4ABC-A80E-167517FFC8EF}" name="Column14733"/>
    <tableColumn id="14753" xr3:uid="{EC97FB83-28D3-4EC9-BD10-105224B42579}" name="Column14734"/>
    <tableColumn id="14754" xr3:uid="{BF43E51D-7544-4486-9C3C-7E3121C9ACB2}" name="Column14735"/>
    <tableColumn id="14755" xr3:uid="{3DCD65B9-1BF0-4B0F-B59A-47B515493FAD}" name="Column14736"/>
    <tableColumn id="14756" xr3:uid="{42FD6FE4-886F-4F17-AF2E-C883AB5E78BB}" name="Column14737"/>
    <tableColumn id="14757" xr3:uid="{2847E1F7-067F-4868-B686-6CAEC9113BF4}" name="Column14738"/>
    <tableColumn id="14758" xr3:uid="{77DD97EB-2E7A-4ABA-8FFA-AFFD71792565}" name="Column14739"/>
    <tableColumn id="14759" xr3:uid="{40850B54-B075-417E-952C-7716EE0C3222}" name="Column14740"/>
    <tableColumn id="14760" xr3:uid="{F502479D-4DE4-416B-A8E9-9CB7AD155FDC}" name="Column14741"/>
    <tableColumn id="14761" xr3:uid="{81777F24-BAA4-4BE1-9BF8-C2FB2BBDC35A}" name="Column14742"/>
    <tableColumn id="14762" xr3:uid="{4F44151A-90C5-4FC6-8D0B-914C87D6B396}" name="Column14743"/>
    <tableColumn id="14763" xr3:uid="{231E0879-42C6-46AA-BE1B-D3E4B1706ACF}" name="Column14744"/>
    <tableColumn id="14764" xr3:uid="{DB922BBC-441B-43CD-8B89-D6976C12FF17}" name="Column14745"/>
    <tableColumn id="14765" xr3:uid="{287D9DF5-0C30-4F9F-9A38-DA83A68A0531}" name="Column14746"/>
    <tableColumn id="14766" xr3:uid="{EBD1FDE7-48EC-4206-A981-BC012DEEE5AC}" name="Column14747"/>
    <tableColumn id="14767" xr3:uid="{8FDA5B2D-AB57-46A5-BA43-C2D487017864}" name="Column14748"/>
    <tableColumn id="14768" xr3:uid="{F4373F76-873D-4A45-B975-E7DEE578318F}" name="Column14749"/>
    <tableColumn id="14769" xr3:uid="{8E018B55-255D-402E-8EB6-A160A9C152BE}" name="Column14750"/>
    <tableColumn id="14770" xr3:uid="{1C2BB424-76C2-49E0-A10E-C7A2EDDCC3F7}" name="Column14751"/>
    <tableColumn id="14771" xr3:uid="{068388E0-221B-4D25-8507-BA17B72C2A61}" name="Column14752"/>
    <tableColumn id="14772" xr3:uid="{79A9BE46-1B83-4C06-AB7F-CB5C17B2599F}" name="Column14753"/>
    <tableColumn id="14773" xr3:uid="{C5D18ABB-03A2-4FF3-9B6C-EA97388B2D7D}" name="Column14754"/>
    <tableColumn id="14774" xr3:uid="{628BC5B9-635A-4830-9BF2-916DFB014719}" name="Column14755"/>
    <tableColumn id="14775" xr3:uid="{A6E4A623-BD55-4FD9-83FB-98287CE7FA92}" name="Column14756"/>
    <tableColumn id="14776" xr3:uid="{93AB426E-CAFE-4D94-8D23-0B1172232A6C}" name="Column14757"/>
    <tableColumn id="14777" xr3:uid="{3EE0A020-F7DB-417A-B4C4-1C2E29C7DED8}" name="Column14758"/>
    <tableColumn id="14778" xr3:uid="{D566C19E-E5C5-489B-820D-DEDF6C53774A}" name="Column14759"/>
    <tableColumn id="14779" xr3:uid="{AB2197D3-8107-4E20-ABA3-1FAFAE46B7ED}" name="Column14760"/>
    <tableColumn id="14780" xr3:uid="{4A128952-DD29-4938-8146-BC35CD7A0A83}" name="Column14761"/>
    <tableColumn id="14781" xr3:uid="{A5970819-09F8-4C18-AC08-B7964C744855}" name="Column14762"/>
    <tableColumn id="14782" xr3:uid="{768A5E77-3A67-42CE-86A6-23E07857C4E9}" name="Column14763"/>
    <tableColumn id="14783" xr3:uid="{20ADFF62-B1BD-4E10-9074-FEE21B8A8DF1}" name="Column14764"/>
    <tableColumn id="14784" xr3:uid="{D311566F-5EFB-4419-AA9B-EB915BCCC4C7}" name="Column14765"/>
    <tableColumn id="14785" xr3:uid="{5081F81D-5AD4-4A56-AE75-A0387606D0F3}" name="Column14766"/>
    <tableColumn id="14786" xr3:uid="{B6B8DE6A-3A49-4529-95AF-D5E6C79D59C0}" name="Column14767"/>
    <tableColumn id="14787" xr3:uid="{4A026DC6-D81B-4E1B-904E-3C570F56CA86}" name="Column14768"/>
    <tableColumn id="14788" xr3:uid="{DC839B97-5BED-49F8-B6D4-27D687543E73}" name="Column14769"/>
    <tableColumn id="14789" xr3:uid="{6612EF94-A575-4238-9B0A-F9A293D41CF3}" name="Column14770"/>
    <tableColumn id="14790" xr3:uid="{ED4C30DA-E6AE-4DDC-919E-2AF60570EA2B}" name="Column14771"/>
    <tableColumn id="14791" xr3:uid="{B418C1A8-59D9-437E-AC2D-A2B22AC0BB4E}" name="Column14772"/>
    <tableColumn id="14792" xr3:uid="{0011296F-057D-45C5-8D0D-D7C4DC68040B}" name="Column14773"/>
    <tableColumn id="14793" xr3:uid="{2940FAA0-91D4-4499-B017-2EE9F6CC844A}" name="Column14774"/>
    <tableColumn id="14794" xr3:uid="{64231BCD-15A4-48C6-8AD1-DB26C70FF585}" name="Column14775"/>
    <tableColumn id="14795" xr3:uid="{0F2255FD-DC40-4C49-8C3C-B41F4BDA3A3B}" name="Column14776"/>
    <tableColumn id="14796" xr3:uid="{A1527B60-E008-411F-A8D7-41AB057C1E09}" name="Column14777"/>
    <tableColumn id="14797" xr3:uid="{B0848B83-3331-45CF-8620-22C079CFB3B0}" name="Column14778"/>
    <tableColumn id="14798" xr3:uid="{28A68E3C-C33A-4FF9-B989-96733D9030BF}" name="Column14779"/>
    <tableColumn id="14799" xr3:uid="{B069C3CA-A892-407B-A395-11EAF63C4576}" name="Column14780"/>
    <tableColumn id="14800" xr3:uid="{448EDA82-DD4E-4B13-97D3-AF84DB9940B5}" name="Column14781"/>
    <tableColumn id="14801" xr3:uid="{DB103AAE-F8DB-4831-AA0A-B9187CAF2552}" name="Column14782"/>
    <tableColumn id="14802" xr3:uid="{395A37CC-97F7-463D-80C6-565010679935}" name="Column14783"/>
    <tableColumn id="14803" xr3:uid="{7D89CF2C-4759-47D5-842B-C743212C642B}" name="Column14784"/>
    <tableColumn id="14804" xr3:uid="{4AE31001-BF79-4026-8D0F-3587B0978548}" name="Column14785"/>
    <tableColumn id="14805" xr3:uid="{B778E6D6-FABF-4431-9638-D3C9576BE45B}" name="Column14786"/>
    <tableColumn id="14806" xr3:uid="{F619DCDE-DB63-4891-8274-69D04C274888}" name="Column14787"/>
    <tableColumn id="14807" xr3:uid="{1EE82183-3024-4677-8D6C-9C97E3E7EEDE}" name="Column14788"/>
    <tableColumn id="14808" xr3:uid="{6B5E0853-081D-40B8-A01B-8582C6251635}" name="Column14789"/>
    <tableColumn id="14809" xr3:uid="{94BA5EC1-AE0E-42CB-98F1-D78BF70B3D7D}" name="Column14790"/>
    <tableColumn id="14810" xr3:uid="{4CB5E876-BB2C-427C-8DE0-585BCA437844}" name="Column14791"/>
    <tableColumn id="14811" xr3:uid="{D64A056A-B032-4243-AE0E-9130632320D7}" name="Column14792"/>
    <tableColumn id="14812" xr3:uid="{3093D8AE-C79F-41F7-91AE-00DB3466B769}" name="Column14793"/>
    <tableColumn id="14813" xr3:uid="{6D6131C7-016F-4994-A423-2BC8225D12CD}" name="Column14794"/>
    <tableColumn id="14814" xr3:uid="{946B13E6-736A-435B-A9A5-C2F52A66E141}" name="Column14795"/>
    <tableColumn id="14815" xr3:uid="{EF7BFA1A-4372-41F6-B42C-E931D5149E11}" name="Column14796"/>
    <tableColumn id="14816" xr3:uid="{74B594FD-45B6-4069-A93D-45D7D3A18631}" name="Column14797"/>
    <tableColumn id="14817" xr3:uid="{5D0BBA7E-435A-447E-8A15-437C8AC4E8A7}" name="Column14798"/>
    <tableColumn id="14818" xr3:uid="{993DF53E-CA64-4FBC-8AFB-AF63AF52D97C}" name="Column14799"/>
    <tableColumn id="14819" xr3:uid="{359CA500-7FC3-4577-B6C9-8526823B6BCE}" name="Column14800"/>
    <tableColumn id="14820" xr3:uid="{EB8B6B12-8C86-447F-9BB6-190EAD49088B}" name="Column14801"/>
    <tableColumn id="14821" xr3:uid="{C99CFC7A-E1C8-4C45-AC96-72ABF725FA12}" name="Column14802"/>
    <tableColumn id="14822" xr3:uid="{BEA293DB-04B7-46D4-9D15-7B49DB3A11D2}" name="Column14803"/>
    <tableColumn id="14823" xr3:uid="{9343260E-7684-4CBC-8F68-408649C4FD0C}" name="Column14804"/>
    <tableColumn id="14824" xr3:uid="{A692F3AB-D528-480A-9C76-5BBB667B5002}" name="Column14805"/>
    <tableColumn id="14825" xr3:uid="{FB077F8C-30F5-4F43-A9D7-A41917CA8EA0}" name="Column14806"/>
    <tableColumn id="14826" xr3:uid="{DD7B1EF2-CCF2-4707-AE62-D66C1EE1D73A}" name="Column14807"/>
    <tableColumn id="14827" xr3:uid="{438F76FE-2C65-40E0-A385-B6CDF8A451F2}" name="Column14808"/>
    <tableColumn id="14828" xr3:uid="{FF33B5A6-3096-4F7D-BA8D-67B553632337}" name="Column14809"/>
    <tableColumn id="14829" xr3:uid="{8547BD15-1028-4E37-AE05-0601EEF584DD}" name="Column14810"/>
    <tableColumn id="14830" xr3:uid="{0A2EFBE1-7134-4D3B-A60E-13AF5ADF5691}" name="Column14811"/>
    <tableColumn id="14831" xr3:uid="{13E7C924-2E31-43A4-A6FB-92F17082CB32}" name="Column14812"/>
    <tableColumn id="14832" xr3:uid="{1BCC77DC-85B7-4B88-8FF5-29367DD7CF44}" name="Column14813"/>
    <tableColumn id="14833" xr3:uid="{9635AB34-5D39-4D5C-AE0E-06D2C9882585}" name="Column14814"/>
    <tableColumn id="14834" xr3:uid="{A75C10E2-7251-4448-B14B-DF3517212F3C}" name="Column14815"/>
    <tableColumn id="14835" xr3:uid="{504E46C2-F3A1-4EB3-9018-C8424D1D0110}" name="Column14816"/>
    <tableColumn id="14836" xr3:uid="{5BB62296-F062-40DE-9A47-6C90D9D1AFC5}" name="Column14817"/>
    <tableColumn id="14837" xr3:uid="{B8C73662-DCF5-44A0-89CD-4273F31FF980}" name="Column14818"/>
    <tableColumn id="14838" xr3:uid="{AFE069AB-A227-4FA4-89AA-488B56DF7C06}" name="Column14819"/>
    <tableColumn id="14839" xr3:uid="{D431A61E-EF74-4ED9-9167-C4D31B527F25}" name="Column14820"/>
    <tableColumn id="14840" xr3:uid="{1C63B010-05A9-4829-A3F5-D722F33DDBC2}" name="Column14821"/>
    <tableColumn id="14841" xr3:uid="{5981CB58-2743-4B34-9687-2594F718C255}" name="Column14822"/>
    <tableColumn id="14842" xr3:uid="{A34C79A2-6E4B-4626-8E30-1741F9219A4C}" name="Column14823"/>
    <tableColumn id="14843" xr3:uid="{9595AC23-7035-48D5-9A0A-C71B94FA48F5}" name="Column14824"/>
    <tableColumn id="14844" xr3:uid="{E7951ECC-2C3B-4B88-A160-F0BC020CDCA3}" name="Column14825"/>
    <tableColumn id="14845" xr3:uid="{39E8F223-5649-4C5C-90DC-E3BBEE68A0FA}" name="Column14826"/>
    <tableColumn id="14846" xr3:uid="{4C69B957-2DAA-4286-A980-9254522F6C38}" name="Column14827"/>
    <tableColumn id="14847" xr3:uid="{5717B031-27D0-4BAA-86A9-7394E9E3FC69}" name="Column14828"/>
    <tableColumn id="14848" xr3:uid="{5742B9C3-BD46-4BC2-81E3-879763744C22}" name="Column14829"/>
    <tableColumn id="14849" xr3:uid="{D8D632D4-EBA3-439C-B6B9-7CB1CF050E44}" name="Column14830"/>
    <tableColumn id="14850" xr3:uid="{D60BF9CA-E097-4D81-AF5C-FE11F840C9B2}" name="Column14831"/>
    <tableColumn id="14851" xr3:uid="{98A8D695-1215-4AB7-8D7F-D2016FF992E5}" name="Column14832"/>
    <tableColumn id="14852" xr3:uid="{78E44468-454B-4D98-B2B8-0A2D8F118D42}" name="Column14833"/>
    <tableColumn id="14853" xr3:uid="{A5AFD2E2-7A25-45BD-9BA3-A0E8A0E42EB6}" name="Column14834"/>
    <tableColumn id="14854" xr3:uid="{09ABDB3F-ED6D-4351-9FDB-3B473E689B8B}" name="Column14835"/>
    <tableColumn id="14855" xr3:uid="{C1EAADFB-1722-4D8B-A9A7-FC9CC518D8D6}" name="Column14836"/>
    <tableColumn id="14856" xr3:uid="{DCCA1E6B-168C-4072-A5DA-5B96668078E1}" name="Column14837"/>
    <tableColumn id="14857" xr3:uid="{F6D11FB0-6822-4F05-AB46-060D5C2A60E1}" name="Column14838"/>
    <tableColumn id="14858" xr3:uid="{9E0AAF3F-CD48-4A85-87A8-5A002FAD08CA}" name="Column14839"/>
    <tableColumn id="14859" xr3:uid="{D9E0553F-AAEE-47A5-8BD0-C11C7D1ADCDC}" name="Column14840"/>
    <tableColumn id="14860" xr3:uid="{EBE4ABF4-DA33-41C3-8864-2E0109DFD447}" name="Column14841"/>
    <tableColumn id="14861" xr3:uid="{202C3D69-F8C4-4B91-9600-51BDFE260BB5}" name="Column14842"/>
    <tableColumn id="14862" xr3:uid="{BC72A298-EAB0-459E-8CD8-FE3A6CA8AC5B}" name="Column14843"/>
    <tableColumn id="14863" xr3:uid="{5994C89B-78AE-4DE9-AE0A-CE9B44D6A50D}" name="Column14844"/>
    <tableColumn id="14864" xr3:uid="{F0BD8641-FF33-464F-953B-FFEAAC4711FE}" name="Column14845"/>
    <tableColumn id="14865" xr3:uid="{C7405943-1435-402B-B165-D7477F274773}" name="Column14846"/>
    <tableColumn id="14866" xr3:uid="{CB890BC3-BE62-46A5-86EC-05D8B26D9703}" name="Column14847"/>
    <tableColumn id="14867" xr3:uid="{78FBE655-142E-44DD-8890-EC8C5878A642}" name="Column14848"/>
    <tableColumn id="14868" xr3:uid="{6538F76F-7D14-42D9-8167-4881F92745CD}" name="Column14849"/>
    <tableColumn id="14869" xr3:uid="{D89A9762-9191-4A3B-AF07-A82C0FC8EA1C}" name="Column14850"/>
    <tableColumn id="14870" xr3:uid="{502AB6F0-72B5-4AF1-BDF3-9B4C56612681}" name="Column14851"/>
    <tableColumn id="14871" xr3:uid="{525804F4-15DD-43D4-B985-01BF8E13F139}" name="Column14852"/>
    <tableColumn id="14872" xr3:uid="{73A97FCA-1C48-49D5-AD14-7716601037E7}" name="Column14853"/>
    <tableColumn id="14873" xr3:uid="{1B431896-0280-4967-81B5-1776843951AE}" name="Column14854"/>
    <tableColumn id="14874" xr3:uid="{E0206B89-EBBC-418A-B708-8D1DE9024720}" name="Column14855"/>
    <tableColumn id="14875" xr3:uid="{5AF2CD71-C553-4A6C-96A7-BEF362E1B7A4}" name="Column14856"/>
    <tableColumn id="14876" xr3:uid="{A589A33F-0B64-4E47-8FF1-B0EE264040E4}" name="Column14857"/>
    <tableColumn id="14877" xr3:uid="{F9E75BC6-BF26-4B06-A603-3B77B409CB77}" name="Column14858"/>
    <tableColumn id="14878" xr3:uid="{3BB0FC2F-EB89-408D-9DA2-2135997CD584}" name="Column14859"/>
    <tableColumn id="14879" xr3:uid="{F1362123-4410-4A1A-A91F-102940D9ABA6}" name="Column14860"/>
    <tableColumn id="14880" xr3:uid="{E8287D36-1343-45EF-B7CC-F1195D664608}" name="Column14861"/>
    <tableColumn id="14881" xr3:uid="{BCF3FAB8-6AE5-4E2E-AE01-0DC07E03968B}" name="Column14862"/>
    <tableColumn id="14882" xr3:uid="{D8687CD0-AA7F-4BFF-A263-5365A49F92F3}" name="Column14863"/>
    <tableColumn id="14883" xr3:uid="{D7283DEF-F8DA-434B-8F59-31B9739DABA5}" name="Column14864"/>
    <tableColumn id="14884" xr3:uid="{C97E309D-C86D-4AC0-BF2B-DB89913C1E74}" name="Column14865"/>
    <tableColumn id="14885" xr3:uid="{20C9E04C-FD1D-4546-9385-4D9155FB84FB}" name="Column14866"/>
    <tableColumn id="14886" xr3:uid="{A52680EE-6379-401C-95F4-38730B4FBB4A}" name="Column14867"/>
    <tableColumn id="14887" xr3:uid="{6D932F06-CA04-4398-B43D-904CE014D12A}" name="Column14868"/>
    <tableColumn id="14888" xr3:uid="{A2A6D404-185E-46F0-8DAB-1D9E7C570006}" name="Column14869"/>
    <tableColumn id="14889" xr3:uid="{27223292-DD25-4F7B-97EF-7B071F78EEEA}" name="Column14870"/>
    <tableColumn id="14890" xr3:uid="{EB6EE559-518E-47D1-B41F-2082B057CD50}" name="Column14871"/>
    <tableColumn id="14891" xr3:uid="{C5394B3B-2645-41B0-8AC8-E57C944C3B60}" name="Column14872"/>
    <tableColumn id="14892" xr3:uid="{9CD9DFF8-77CD-484F-9284-7D362ACEEAE5}" name="Column14873"/>
    <tableColumn id="14893" xr3:uid="{6B243C2C-8AB7-4230-80EC-4AF6CDDB10AE}" name="Column14874"/>
    <tableColumn id="14894" xr3:uid="{461276FE-A4AC-4DB7-8829-91EB0DAD9F44}" name="Column14875"/>
    <tableColumn id="14895" xr3:uid="{9949FCA0-C9E5-4B30-B761-7D0509CD4103}" name="Column14876"/>
    <tableColumn id="14896" xr3:uid="{BE9822EF-8A6C-4F4C-9290-42046CCBBF0D}" name="Column14877"/>
    <tableColumn id="14897" xr3:uid="{D8EC8CB0-CACE-4D81-8955-17CB155D5852}" name="Column14878"/>
    <tableColumn id="14898" xr3:uid="{9E269813-A2B7-4CEE-B469-D2B8A941F9B7}" name="Column14879"/>
    <tableColumn id="14899" xr3:uid="{6B6B93D0-9EF8-46F8-9DD9-C0F962234594}" name="Column14880"/>
    <tableColumn id="14900" xr3:uid="{A0BC94A4-2B5C-4B9F-8422-DC52339689DE}" name="Column14881"/>
    <tableColumn id="14901" xr3:uid="{2F01A20B-FB81-4DAB-9BD3-5DFEF742C01B}" name="Column14882"/>
    <tableColumn id="14902" xr3:uid="{6495FE9A-80EE-492C-A8D9-E99F0DC8583A}" name="Column14883"/>
    <tableColumn id="14903" xr3:uid="{B1F19848-64C3-4F38-8F2D-2FBC8AD8B3E0}" name="Column14884"/>
    <tableColumn id="14904" xr3:uid="{5E2B01EC-E7EF-4F5D-B9B4-D2188D4D4184}" name="Column14885"/>
    <tableColumn id="14905" xr3:uid="{FC2495D6-079F-4AC2-B27A-793D4EC48FD2}" name="Column14886"/>
    <tableColumn id="14906" xr3:uid="{DF567206-5EF2-46D9-8B16-BCFBA20FFD76}" name="Column14887"/>
    <tableColumn id="14907" xr3:uid="{3D6C0EC0-D5E8-4CDB-BE3F-D75BB75ACC2B}" name="Column14888"/>
    <tableColumn id="14908" xr3:uid="{E6E612CF-3A0B-4BB5-AE57-A6C49131036C}" name="Column14889"/>
    <tableColumn id="14909" xr3:uid="{DA0AE923-8AE5-42DA-9A40-9A6740A058D0}" name="Column14890"/>
    <tableColumn id="14910" xr3:uid="{07481C9C-F754-46AC-AB7D-239D0A430369}" name="Column14891"/>
    <tableColumn id="14911" xr3:uid="{BE02F79F-703A-4DCB-8C3C-4C69734FE48D}" name="Column14892"/>
    <tableColumn id="14912" xr3:uid="{82071ABB-DBCE-4B5B-BAD9-051BEBFDBE51}" name="Column14893"/>
    <tableColumn id="14913" xr3:uid="{578BBF2C-6F34-4F0A-8277-9887EDF3109D}" name="Column14894"/>
    <tableColumn id="14914" xr3:uid="{530DADF0-2B9D-4BDB-82E3-2D3481B1B3DB}" name="Column14895"/>
    <tableColumn id="14915" xr3:uid="{D8042C90-1A09-4584-9577-36102B184D0A}" name="Column14896"/>
    <tableColumn id="14916" xr3:uid="{B13B0901-140A-4979-B18E-056A0A4D71D2}" name="Column14897"/>
    <tableColumn id="14917" xr3:uid="{7308A0D9-FDD0-4595-9E44-A9F93CFCA014}" name="Column14898"/>
    <tableColumn id="14918" xr3:uid="{B5E4B463-BE67-4AF2-B5DC-FFAC9417586E}" name="Column14899"/>
    <tableColumn id="14919" xr3:uid="{EF4D5DB8-1CAE-42F5-AC15-D6A7D0142841}" name="Column14900"/>
    <tableColumn id="14920" xr3:uid="{4AB00656-1686-41D5-B818-1DD0CC7A4CE6}" name="Column14901"/>
    <tableColumn id="14921" xr3:uid="{8469FBE7-83E2-41F4-9304-3982AFD2D216}" name="Column14902"/>
    <tableColumn id="14922" xr3:uid="{26DB4287-80B8-4FD6-B871-7E5C105E9620}" name="Column14903"/>
    <tableColumn id="14923" xr3:uid="{7ECFEC00-481E-4306-91D1-B2044D65AB34}" name="Column14904"/>
    <tableColumn id="14924" xr3:uid="{3E778941-E22C-4B48-A910-48FC9535CA43}" name="Column14905"/>
    <tableColumn id="14925" xr3:uid="{872CCADE-3952-4DB2-B163-B09093D15F4E}" name="Column14906"/>
    <tableColumn id="14926" xr3:uid="{C514485B-7794-4267-9139-582EC6595A12}" name="Column14907"/>
    <tableColumn id="14927" xr3:uid="{DBA1E850-2E28-4B3C-9D2C-6199C0058074}" name="Column14908"/>
    <tableColumn id="14928" xr3:uid="{D3CDD7D1-7139-4833-9541-A55E6B1D6EB1}" name="Column14909"/>
    <tableColumn id="14929" xr3:uid="{29369378-4527-4CB2-9462-E0126A0D5D8C}" name="Column14910"/>
    <tableColumn id="14930" xr3:uid="{B8AA9886-0A9F-43FD-BD8F-BAFBF03EA86F}" name="Column14911"/>
    <tableColumn id="14931" xr3:uid="{E553DF2C-B951-4DB6-AEA9-013E900F9504}" name="Column14912"/>
    <tableColumn id="14932" xr3:uid="{608595FD-8990-40FB-B3A8-DFFB77886896}" name="Column14913"/>
    <tableColumn id="14933" xr3:uid="{D3BC82CB-8A2A-40A2-8784-AB04BEF68B00}" name="Column14914"/>
    <tableColumn id="14934" xr3:uid="{B6313722-B97A-433B-94B4-C171ACB7A8AE}" name="Column14915"/>
    <tableColumn id="14935" xr3:uid="{1EA4C1EB-28D1-4DC4-9828-8F33CAC24F80}" name="Column14916"/>
    <tableColumn id="14936" xr3:uid="{CF79478E-D171-4F52-A4C0-E3FD12A34356}" name="Column14917"/>
    <tableColumn id="14937" xr3:uid="{29636A88-C5CE-48B8-B6B6-BA7EDA47CC3E}" name="Column14918"/>
    <tableColumn id="14938" xr3:uid="{C1177D31-2AF6-4C67-9DB0-341CC5037FAA}" name="Column14919"/>
    <tableColumn id="14939" xr3:uid="{7A78938D-A424-4902-ACF5-C646CE48F1CF}" name="Column14920"/>
    <tableColumn id="14940" xr3:uid="{1E49BD20-EEB5-4DEF-AD02-74E64C55A93D}" name="Column14921"/>
    <tableColumn id="14941" xr3:uid="{090EBB12-A41F-4393-897D-4FC92BCACBAC}" name="Column14922"/>
    <tableColumn id="14942" xr3:uid="{C82C8B2A-4AEE-448E-B00C-7BD44DB2C570}" name="Column14923"/>
    <tableColumn id="14943" xr3:uid="{6ECAC6C5-0C56-4E44-8ED6-4D53152DE939}" name="Column14924"/>
    <tableColumn id="14944" xr3:uid="{68CC1E14-810B-445D-A07C-A41BD568E54A}" name="Column14925"/>
    <tableColumn id="14945" xr3:uid="{92E9FB03-5C6D-4CA7-9D49-9D243A1361C9}" name="Column14926"/>
    <tableColumn id="14946" xr3:uid="{8E1BF2E8-1B82-403D-AB69-0BAC769DD26E}" name="Column14927"/>
    <tableColumn id="14947" xr3:uid="{2481F005-7BC9-408B-867A-A0D7708CE114}" name="Column14928"/>
    <tableColumn id="14948" xr3:uid="{D5B2C4E3-56A9-4DD3-AFDC-09184DB9AC31}" name="Column14929"/>
    <tableColumn id="14949" xr3:uid="{DBB4DA2A-61AD-4559-A0E5-E5DABE839399}" name="Column14930"/>
    <tableColumn id="14950" xr3:uid="{3049F4E7-E4FF-46DF-BF62-EC47A7B8AC31}" name="Column14931"/>
    <tableColumn id="14951" xr3:uid="{60FAFF81-0A35-43E1-9F53-596F60868C59}" name="Column14932"/>
    <tableColumn id="14952" xr3:uid="{9BE8D29F-B49A-4820-B753-8AFFD438D806}" name="Column14933"/>
    <tableColumn id="14953" xr3:uid="{A91B2A7A-0B88-4E91-ABA9-0922E874D5B3}" name="Column14934"/>
    <tableColumn id="14954" xr3:uid="{00C73D57-F36A-4A0B-ACD6-EAA0F51EDB39}" name="Column14935"/>
    <tableColumn id="14955" xr3:uid="{6CFB3808-665F-45F2-A309-4C6BF8F2DC52}" name="Column14936"/>
    <tableColumn id="14956" xr3:uid="{66E395E2-3A2F-4EE9-8C7C-F6E431CD7716}" name="Column14937"/>
    <tableColumn id="14957" xr3:uid="{C8D88030-07A1-4634-9370-A581744A41D3}" name="Column14938"/>
    <tableColumn id="14958" xr3:uid="{0635021F-1B07-4B2D-A9CA-8FC69789EEA3}" name="Column14939"/>
    <tableColumn id="14959" xr3:uid="{9D0C03F7-F46D-4913-B0DB-22EDA5AFC0ED}" name="Column14940"/>
    <tableColumn id="14960" xr3:uid="{269C5530-82CD-4151-985C-BADA5DDF5BD7}" name="Column14941"/>
    <tableColumn id="14961" xr3:uid="{A4D1CDCB-B966-4654-BE80-FED5722715D2}" name="Column14942"/>
    <tableColumn id="14962" xr3:uid="{16A33E10-5B37-466F-9CCE-4A9598FBCF17}" name="Column14943"/>
    <tableColumn id="14963" xr3:uid="{7AADFDF7-27B7-4F2E-B812-FA468324681A}" name="Column14944"/>
    <tableColumn id="14964" xr3:uid="{79C20E8B-460E-446A-945F-B8B2D405377B}" name="Column14945"/>
    <tableColumn id="14965" xr3:uid="{E4DAE055-C177-4FDC-AE7D-A214A7938483}" name="Column14946"/>
    <tableColumn id="14966" xr3:uid="{4FD8E42F-5A07-4618-9AE7-2BAC6FEABD9A}" name="Column14947"/>
    <tableColumn id="14967" xr3:uid="{F3C75AAE-1421-46BE-8F89-F0B86D4F8FDD}" name="Column14948"/>
    <tableColumn id="14968" xr3:uid="{AF9CA896-7604-4AA3-9899-813A72C48FD6}" name="Column14949"/>
    <tableColumn id="14969" xr3:uid="{F646E616-0BFD-473D-A77B-6916463E9BE8}" name="Column14950"/>
    <tableColumn id="14970" xr3:uid="{327E6305-B23F-4234-9484-735C26CB5CA2}" name="Column14951"/>
    <tableColumn id="14971" xr3:uid="{9F75E641-5F78-403A-8683-6B94E2810EE1}" name="Column14952"/>
    <tableColumn id="14972" xr3:uid="{7CEA0DD2-4A2C-47C7-A3D8-EA55C812E665}" name="Column14953"/>
    <tableColumn id="14973" xr3:uid="{392D350A-5D8C-4CA8-808D-789EC62ACD54}" name="Column14954"/>
    <tableColumn id="14974" xr3:uid="{7A4FB68C-1CE5-433E-A776-DB6CEDBBBD6E}" name="Column14955"/>
    <tableColumn id="14975" xr3:uid="{DA9F93C9-4EFF-4E63-9B41-68ACDD7A8012}" name="Column14956"/>
    <tableColumn id="14976" xr3:uid="{2CFE07A5-C94A-4108-ACD8-F59DFD64A96A}" name="Column14957"/>
    <tableColumn id="14977" xr3:uid="{43D1DB20-44DB-47EA-88F4-EC041A11D788}" name="Column14958"/>
    <tableColumn id="14978" xr3:uid="{899268A4-ADA4-4078-8870-6007E06461AC}" name="Column14959"/>
    <tableColumn id="14979" xr3:uid="{6DCCB604-D1E8-4B6F-B78D-BF26E638EE7C}" name="Column14960"/>
    <tableColumn id="14980" xr3:uid="{6E53DDB1-50ED-463D-8A72-C126850394E7}" name="Column14961"/>
    <tableColumn id="14981" xr3:uid="{D7BBB655-EB48-4ECA-A709-15FB32602784}" name="Column14962"/>
    <tableColumn id="14982" xr3:uid="{81E49CE1-856D-47D6-A901-52BB162F9E91}" name="Column14963"/>
    <tableColumn id="14983" xr3:uid="{C83790B6-3301-47AE-AB51-90F58CF62496}" name="Column14964"/>
    <tableColumn id="14984" xr3:uid="{6958CEA5-8EBA-40A0-841E-6C55E5427EDB}" name="Column14965"/>
    <tableColumn id="14985" xr3:uid="{3F56BBDA-7008-42A3-9CAC-1860138939F5}" name="Column14966"/>
    <tableColumn id="14986" xr3:uid="{06249E5E-3B6C-44A9-B102-ACBEAD23F395}" name="Column14967"/>
    <tableColumn id="14987" xr3:uid="{7E6D4720-E266-4C26-BDB0-CF0CDD111578}" name="Column14968"/>
    <tableColumn id="14988" xr3:uid="{11F9B842-FDD6-4F75-BDA8-2EA71764ED1A}" name="Column14969"/>
    <tableColumn id="14989" xr3:uid="{A858703D-0E21-479D-9FA4-4B7818CF83B0}" name="Column14970"/>
    <tableColumn id="14990" xr3:uid="{582F4987-EBAA-401C-AEC7-B62B1E58CC1F}" name="Column14971"/>
    <tableColumn id="14991" xr3:uid="{B22C94C8-9FE5-474E-AC56-05CC3EBDA04C}" name="Column14972"/>
    <tableColumn id="14992" xr3:uid="{9DD72656-7385-434A-9664-ADB33F886E58}" name="Column14973"/>
    <tableColumn id="14993" xr3:uid="{E25A621A-4706-4DA5-894C-D5D10D1F3898}" name="Column14974"/>
    <tableColumn id="14994" xr3:uid="{45CB4BF6-EE00-40A8-9506-45E2DCC59ABA}" name="Column14975"/>
    <tableColumn id="14995" xr3:uid="{46331B1A-FCF7-4DFC-930A-D003B51C32C2}" name="Column14976"/>
    <tableColumn id="14996" xr3:uid="{5633DD0D-6199-4966-AC42-19689698E8DF}" name="Column14977"/>
    <tableColumn id="14997" xr3:uid="{8D7A5663-EE33-4D4C-940A-35FC1DFF8771}" name="Column14978"/>
    <tableColumn id="14998" xr3:uid="{5B7D2B24-86AD-4121-84FF-9455D90EAA8E}" name="Column14979"/>
    <tableColumn id="14999" xr3:uid="{DC9507D9-D898-4AF9-87A8-73E72F2E8133}" name="Column14980"/>
    <tableColumn id="15000" xr3:uid="{4695EB6C-C4C5-4090-BB61-CA72ACAA4A28}" name="Column14981"/>
    <tableColumn id="15001" xr3:uid="{68A74A6B-E08D-48C8-936D-D48ABE01F0C6}" name="Column14982"/>
    <tableColumn id="15002" xr3:uid="{8453308B-DE2C-4C13-8EFE-5D3F1B8BE415}" name="Column14983"/>
    <tableColumn id="15003" xr3:uid="{55B34B8F-761C-44B7-95BE-1E972B5E4D5F}" name="Column14984"/>
    <tableColumn id="15004" xr3:uid="{3E9BCCFE-ED8B-4FCA-B10A-2DF8F17AEFD6}" name="Column14985"/>
    <tableColumn id="15005" xr3:uid="{C86A48AA-FEAD-4049-8FD2-4F770B95961F}" name="Column14986"/>
    <tableColumn id="15006" xr3:uid="{1EBD79AC-455B-463F-83F6-009FF0006815}" name="Column14987"/>
    <tableColumn id="15007" xr3:uid="{B0560DC5-3739-4973-B892-97DEF9625A0B}" name="Column14988"/>
    <tableColumn id="15008" xr3:uid="{6A85EED2-9623-45C1-83AF-E159B949BC3D}" name="Column14989"/>
    <tableColumn id="15009" xr3:uid="{5FFC24EC-8E1B-4ACD-A3DA-C833C9F25329}" name="Column14990"/>
    <tableColumn id="15010" xr3:uid="{2D05BF13-A726-4F57-886B-A14B1FAE06FA}" name="Column14991"/>
    <tableColumn id="15011" xr3:uid="{A697D35A-FD90-49EF-A303-50E747A334D7}" name="Column14992"/>
    <tableColumn id="15012" xr3:uid="{AC026A14-CEE4-4916-A8D5-F0063B5F4C1D}" name="Column14993"/>
    <tableColumn id="15013" xr3:uid="{1DDD17DB-DDCE-468D-834D-D984B6F90DBB}" name="Column14994"/>
    <tableColumn id="15014" xr3:uid="{F2A1C2E0-CF22-4AF1-BD50-A2972C161D9C}" name="Column14995"/>
    <tableColumn id="15015" xr3:uid="{86330CF1-130C-49F8-AC57-534015E579B3}" name="Column14996"/>
    <tableColumn id="15016" xr3:uid="{5E4857E5-87DB-40BF-8DB6-FFDC0F3BC3BA}" name="Column14997"/>
    <tableColumn id="15017" xr3:uid="{D5450E29-D938-4DA1-A0A5-7E4524161E49}" name="Column14998"/>
    <tableColumn id="15018" xr3:uid="{37F726A0-1890-4747-A8EB-E9A0D2D417E4}" name="Column14999"/>
    <tableColumn id="15019" xr3:uid="{19DFCA03-CCA7-4995-BB89-09B3ACC1B361}" name="Column15000"/>
    <tableColumn id="15020" xr3:uid="{EC37D08E-7753-45DA-B54F-2FACCC5E0102}" name="Column15001"/>
    <tableColumn id="15021" xr3:uid="{4DEE5867-5FEA-4620-BCD3-2109D6497EF7}" name="Column15002"/>
    <tableColumn id="15022" xr3:uid="{FA9219A9-2F88-4BBE-90F6-37F99FCD30F5}" name="Column15003"/>
    <tableColumn id="15023" xr3:uid="{543007F2-3B4C-4F6D-891E-65519BB0FBF9}" name="Column15004"/>
    <tableColumn id="15024" xr3:uid="{381333D8-7BD4-4141-BA08-46391E98C807}" name="Column15005"/>
    <tableColumn id="15025" xr3:uid="{039834AC-A59C-4752-A942-E67186D9C3B0}" name="Column15006"/>
    <tableColumn id="15026" xr3:uid="{28A0891B-8850-4B02-B3B8-08B4F7B9E488}" name="Column15007"/>
    <tableColumn id="15027" xr3:uid="{C696E482-2D0E-46CC-9F10-7C626C97F7C2}" name="Column15008"/>
    <tableColumn id="15028" xr3:uid="{B3982F80-B57B-46E4-B501-AEA8CC6AD91B}" name="Column15009"/>
    <tableColumn id="15029" xr3:uid="{8B016E15-0D14-48ED-A311-FBF91B5D76E7}" name="Column15010"/>
    <tableColumn id="15030" xr3:uid="{454FD83F-85D5-41BD-A02B-DE43181C72C1}" name="Column15011"/>
    <tableColumn id="15031" xr3:uid="{AC1F9440-A62B-4120-8F60-4053F20AA9CB}" name="Column15012"/>
    <tableColumn id="15032" xr3:uid="{CD4E31DE-9A62-44F3-A38E-33451A79DBC0}" name="Column15013"/>
    <tableColumn id="15033" xr3:uid="{CFF1742F-12D7-442B-85E4-A7BBD5E68A76}" name="Column15014"/>
    <tableColumn id="15034" xr3:uid="{7A955F85-9C01-4899-9672-655690404174}" name="Column15015"/>
    <tableColumn id="15035" xr3:uid="{288E70F2-8762-4E34-8C77-445573AEED90}" name="Column15016"/>
    <tableColumn id="15036" xr3:uid="{6EAF0CD9-8F6E-4EFF-A2BB-4A58638C3905}" name="Column15017"/>
    <tableColumn id="15037" xr3:uid="{95E348E3-613B-49AD-884B-5C5B9B7A98F6}" name="Column15018"/>
    <tableColumn id="15038" xr3:uid="{A06CFBEE-3F4C-4BDF-9545-8EA814F49297}" name="Column15019"/>
    <tableColumn id="15039" xr3:uid="{BAA0BBB4-6D8B-4717-8778-C3075D09FB18}" name="Column15020"/>
    <tableColumn id="15040" xr3:uid="{C0D3CB5E-62E3-4BB6-9454-E9161C0239E8}" name="Column15021"/>
    <tableColumn id="15041" xr3:uid="{1F5FBC76-2555-432B-AB28-E582A37202BD}" name="Column15022"/>
    <tableColumn id="15042" xr3:uid="{B5B13CA2-BF94-486E-A7A6-B1785E9E0334}" name="Column15023"/>
    <tableColumn id="15043" xr3:uid="{B588D2D7-C244-4533-8FF7-90DE560C4F89}" name="Column15024"/>
    <tableColumn id="15044" xr3:uid="{5E7CA7ED-4252-477C-B6CD-7702E49832EB}" name="Column15025"/>
    <tableColumn id="15045" xr3:uid="{4B269C5F-74C2-44D7-8F01-F4B786A65FD3}" name="Column15026"/>
    <tableColumn id="15046" xr3:uid="{C92E397C-F165-4C08-97AF-58AD68FC6049}" name="Column15027"/>
    <tableColumn id="15047" xr3:uid="{652D6BD1-2FBD-478F-830A-8786B8DCAD04}" name="Column15028"/>
    <tableColumn id="15048" xr3:uid="{9134D4F2-B392-4DC2-912B-3ED2D66224A1}" name="Column15029"/>
    <tableColumn id="15049" xr3:uid="{9F1DA92F-76ED-4A7B-A4CF-CF7E5B9E6541}" name="Column15030"/>
    <tableColumn id="15050" xr3:uid="{555B390E-D67B-4A42-ACFD-8F79729A5B3A}" name="Column15031"/>
    <tableColumn id="15051" xr3:uid="{9017AE8F-FD11-4717-9B32-4A083C6675B4}" name="Column15032"/>
    <tableColumn id="15052" xr3:uid="{1303FE11-F744-4650-BB50-0DDD174D8015}" name="Column15033"/>
    <tableColumn id="15053" xr3:uid="{40714321-8FF7-461E-8382-53A6AF2523C1}" name="Column15034"/>
    <tableColumn id="15054" xr3:uid="{B46D9529-B760-451C-8E9B-D85ED3FA6D6B}" name="Column15035"/>
    <tableColumn id="15055" xr3:uid="{66CBB679-2CEC-4D08-AAD1-BE9E09027FB2}" name="Column15036"/>
    <tableColumn id="15056" xr3:uid="{822B0556-249F-4B3B-BB90-A0ED48A65802}" name="Column15037"/>
    <tableColumn id="15057" xr3:uid="{0FAB5C94-04C7-4898-AEE8-BF0F6C1F8089}" name="Column15038"/>
    <tableColumn id="15058" xr3:uid="{BF304387-50FF-428C-A4DA-270569ECEDC0}" name="Column15039"/>
    <tableColumn id="15059" xr3:uid="{4D712946-4FA0-4907-B7C5-3D38F4D3A5AD}" name="Column15040"/>
    <tableColumn id="15060" xr3:uid="{2664E28F-EF19-467E-A4B9-2D90167DC4ED}" name="Column15041"/>
    <tableColumn id="15061" xr3:uid="{9F5701EC-3179-4BF3-AAE3-213052F9EA95}" name="Column15042"/>
    <tableColumn id="15062" xr3:uid="{08A917C9-A67D-42DA-8D4A-D7BBA4C4CA7B}" name="Column15043"/>
    <tableColumn id="15063" xr3:uid="{733070AF-8E76-48D6-97BD-D8F0A26728A8}" name="Column15044"/>
    <tableColumn id="15064" xr3:uid="{5FD06E0A-2F29-430F-AF34-800CECABF43F}" name="Column15045"/>
    <tableColumn id="15065" xr3:uid="{F7681D55-9034-47BD-A589-08B4DBB097FB}" name="Column15046"/>
    <tableColumn id="15066" xr3:uid="{E212FDA7-623C-461D-B5A7-FF2DFD45B7E8}" name="Column15047"/>
    <tableColumn id="15067" xr3:uid="{E8E82108-2BD8-44BA-B2FD-C2BF23C191E7}" name="Column15048"/>
    <tableColumn id="15068" xr3:uid="{7E78082D-1DA2-431B-8D6E-A72CDC9F3E2E}" name="Column15049"/>
    <tableColumn id="15069" xr3:uid="{0387F3D8-5A06-49C1-BE01-A5837E681466}" name="Column15050"/>
    <tableColumn id="15070" xr3:uid="{CAD0925E-CB29-476A-AE51-717D2C8BFAC0}" name="Column15051"/>
    <tableColumn id="15071" xr3:uid="{08177293-70DB-4B0B-B7A5-69593C94EFBD}" name="Column15052"/>
    <tableColumn id="15072" xr3:uid="{D9D8FC78-F9FB-4C7D-BF2C-0395656D2892}" name="Column15053"/>
    <tableColumn id="15073" xr3:uid="{BEA2D10A-2A33-49DB-999C-C4463BD2FEF2}" name="Column15054"/>
    <tableColumn id="15074" xr3:uid="{6D158BC7-4AC1-4017-9558-D88305B94DEB}" name="Column15055"/>
    <tableColumn id="15075" xr3:uid="{9221B3F1-25E5-493D-B8B9-AA57A336F4EF}" name="Column15056"/>
    <tableColumn id="15076" xr3:uid="{B91DFC23-D58C-43EC-A570-6D6D156069BC}" name="Column15057"/>
    <tableColumn id="15077" xr3:uid="{B31BACDE-91B9-4CBF-AEEA-641F1F8225A5}" name="Column15058"/>
    <tableColumn id="15078" xr3:uid="{64653DC9-7058-4A85-A85F-689ABABC8C9D}" name="Column15059"/>
    <tableColumn id="15079" xr3:uid="{F95A86E2-8A04-4FA9-AB1A-0EDBC45EC8E5}" name="Column15060"/>
    <tableColumn id="15080" xr3:uid="{F306D305-7422-4954-BAB8-56C2021AD84A}" name="Column15061"/>
    <tableColumn id="15081" xr3:uid="{56CC0ED5-DF5B-4150-B68A-FA45280C6BCB}" name="Column15062"/>
    <tableColumn id="15082" xr3:uid="{4D7A804C-A593-457D-A247-C749EC4A2E42}" name="Column15063"/>
    <tableColumn id="15083" xr3:uid="{62C6DA60-0E8E-45CE-A249-541D43948DE5}" name="Column15064"/>
    <tableColumn id="15084" xr3:uid="{494683E0-A6C6-49AD-8A68-923BAE6931EC}" name="Column15065"/>
    <tableColumn id="15085" xr3:uid="{5E4F6C67-8E90-4D96-9F63-62E13F78C5EC}" name="Column15066"/>
    <tableColumn id="15086" xr3:uid="{E1DCA733-6D3F-40BB-8F03-D66C47DDDE5F}" name="Column15067"/>
    <tableColumn id="15087" xr3:uid="{196F9D41-BDC2-461D-A598-EE4D6CD54D5B}" name="Column15068"/>
    <tableColumn id="15088" xr3:uid="{540DA480-1AF3-4794-ACB6-11A2FD5B4CE4}" name="Column15069"/>
    <tableColumn id="15089" xr3:uid="{50F53BED-B636-4B99-9E5D-9D4EBC4112E7}" name="Column15070"/>
    <tableColumn id="15090" xr3:uid="{DE79FE25-BF32-4F72-8161-C93305B285CB}" name="Column15071"/>
    <tableColumn id="15091" xr3:uid="{6EA36B03-F977-4F10-AB01-1E2468B72F23}" name="Column15072"/>
    <tableColumn id="15092" xr3:uid="{2B4B70C7-3850-4AB7-B0A8-46F906E744D3}" name="Column15073"/>
    <tableColumn id="15093" xr3:uid="{978E5F19-EA13-41CD-AEF1-F625C2975022}" name="Column15074"/>
    <tableColumn id="15094" xr3:uid="{58E56958-E667-4E48-A58B-A3977CBAB68F}" name="Column15075"/>
    <tableColumn id="15095" xr3:uid="{389221C0-AC1A-4CC3-9E2C-19406B786AF8}" name="Column15076"/>
    <tableColumn id="15096" xr3:uid="{8D78B2DA-1CED-435A-AAD9-38254D70B4A8}" name="Column15077"/>
    <tableColumn id="15097" xr3:uid="{1A86AC31-DDA9-4F90-9467-D44A60674528}" name="Column15078"/>
    <tableColumn id="15098" xr3:uid="{3987F667-6F96-4DBD-A1EB-2D441FD89875}" name="Column15079"/>
    <tableColumn id="15099" xr3:uid="{BCE8E91F-564C-4452-A4C4-1F1D9559BF13}" name="Column15080"/>
    <tableColumn id="15100" xr3:uid="{5EA190C6-B599-4B41-80BA-B19E30E48FFC}" name="Column15081"/>
    <tableColumn id="15101" xr3:uid="{13953CEF-8345-4A8E-BE19-B691EB0763B8}" name="Column15082"/>
    <tableColumn id="15102" xr3:uid="{05519D84-0904-44E8-B8A3-AA4A91A65FEE}" name="Column15083"/>
    <tableColumn id="15103" xr3:uid="{CB696F35-04B4-41F6-89C9-112E069D5220}" name="Column15084"/>
    <tableColumn id="15104" xr3:uid="{0176AF61-59FC-4F38-B4B6-DBB630ECE9E9}" name="Column15085"/>
    <tableColumn id="15105" xr3:uid="{EB9E60C6-D8B8-49E3-A608-810B4C17101C}" name="Column15086"/>
    <tableColumn id="15106" xr3:uid="{11DAD6D6-75C4-40C3-AE4A-2D734BEFCA8B}" name="Column15087"/>
    <tableColumn id="15107" xr3:uid="{C092CDDD-431A-4232-B4AD-42BA12A2E4F5}" name="Column15088"/>
    <tableColumn id="15108" xr3:uid="{7CF2E1AC-AA0F-44FC-8CE6-A2DA1642D2E8}" name="Column15089"/>
    <tableColumn id="15109" xr3:uid="{8F2CAE96-C984-4DF4-8E53-D109D013C698}" name="Column15090"/>
    <tableColumn id="15110" xr3:uid="{BDF0B481-2DE3-48F3-B9BA-4327752E5F16}" name="Column15091"/>
    <tableColumn id="15111" xr3:uid="{960E68B3-DDB7-4F11-8447-DD40F003FCBF}" name="Column15092"/>
    <tableColumn id="15112" xr3:uid="{C6A751A8-AA50-43F5-BD4A-402548734DD5}" name="Column15093"/>
    <tableColumn id="15113" xr3:uid="{A01C84D3-0545-4050-8EC2-73932196B9B4}" name="Column15094"/>
    <tableColumn id="15114" xr3:uid="{66ADCB57-5BA2-4F2F-B24A-9BADB466C425}" name="Column15095"/>
    <tableColumn id="15115" xr3:uid="{731A3E3B-ACE8-44ED-A72A-63B678200A0D}" name="Column15096"/>
    <tableColumn id="15116" xr3:uid="{F5ECE14A-F644-425C-B7E9-FC7AEEAB97F7}" name="Column15097"/>
    <tableColumn id="15117" xr3:uid="{37158579-E34D-407C-8C7C-B2C3040692AE}" name="Column15098"/>
    <tableColumn id="15118" xr3:uid="{B9789B8B-739C-4ED3-92CE-22D1E5B4EB10}" name="Column15099"/>
    <tableColumn id="15119" xr3:uid="{0850B5DF-D875-43B7-B978-107280EC98A1}" name="Column15100"/>
    <tableColumn id="15120" xr3:uid="{81C56693-1989-4155-A618-CEA8BDFBA5B9}" name="Column15101"/>
    <tableColumn id="15121" xr3:uid="{B3FC5019-83B9-4E6D-9B01-5E9CDBD8D86D}" name="Column15102"/>
    <tableColumn id="15122" xr3:uid="{4DA14932-8C67-4B0C-BDBB-958E3933C1D4}" name="Column15103"/>
    <tableColumn id="15123" xr3:uid="{FD80BB16-F546-4E55-A6FE-696EE3310283}" name="Column15104"/>
    <tableColumn id="15124" xr3:uid="{7B4C6643-BC8F-40B4-A8DF-2F04FCF1199E}" name="Column15105"/>
    <tableColumn id="15125" xr3:uid="{B1D6C6D3-655D-482F-98E3-9846B8123432}" name="Column15106"/>
    <tableColumn id="15126" xr3:uid="{ED879B60-02BC-457D-98F4-275577DB503B}" name="Column15107"/>
    <tableColumn id="15127" xr3:uid="{633B2520-7BFA-4C6A-A6F6-5E20DF0470F9}" name="Column15108"/>
    <tableColumn id="15128" xr3:uid="{DEA6B310-C95D-49D1-84E8-C035731A8DBF}" name="Column15109"/>
    <tableColumn id="15129" xr3:uid="{351CE937-E276-4713-BC7B-A83CB3F1209F}" name="Column15110"/>
    <tableColumn id="15130" xr3:uid="{9E0D021D-1773-4AE2-805B-A52750D20C60}" name="Column15111"/>
    <tableColumn id="15131" xr3:uid="{D00F2F49-2311-44B2-B2AF-DAB7B10B410B}" name="Column15112"/>
    <tableColumn id="15132" xr3:uid="{0AF8BBE8-E64D-4BD4-AE59-1042065FBD47}" name="Column15113"/>
    <tableColumn id="15133" xr3:uid="{DBE73003-5080-46E9-8411-5B98EF5470F5}" name="Column15114"/>
    <tableColumn id="15134" xr3:uid="{7199A9FE-A662-4A46-AABF-7FF9F2681E4C}" name="Column15115"/>
    <tableColumn id="15135" xr3:uid="{83B9AF34-BE71-4006-9902-822A74189D8C}" name="Column15116"/>
    <tableColumn id="15136" xr3:uid="{822854E0-15F1-46DF-B0FB-A61B6A34E28E}" name="Column15117"/>
    <tableColumn id="15137" xr3:uid="{986A3BAC-9ED4-4002-80C8-2463BB08EB9E}" name="Column15118"/>
    <tableColumn id="15138" xr3:uid="{D32CA693-D8B3-42EB-A195-2C7E856D740F}" name="Column15119"/>
    <tableColumn id="15139" xr3:uid="{0F7F8942-2B82-4BEA-A8D6-C06DD96866F5}" name="Column15120"/>
    <tableColumn id="15140" xr3:uid="{83377716-7625-46F4-AE7F-9D8AB7B7B04A}" name="Column15121"/>
    <tableColumn id="15141" xr3:uid="{46D7ECFA-FE63-45A8-86C3-BC736D864625}" name="Column15122"/>
    <tableColumn id="15142" xr3:uid="{8A3AD99B-A16F-49C4-82DB-623FA7AC418B}" name="Column15123"/>
    <tableColumn id="15143" xr3:uid="{C037DB7B-EBCA-4B0E-9D6E-FE8260DA9CD3}" name="Column15124"/>
    <tableColumn id="15144" xr3:uid="{2E5CC939-4857-4139-9F0A-8FB8DBBBD519}" name="Column15125"/>
    <tableColumn id="15145" xr3:uid="{F8DD73F4-2709-4879-8B50-3104C71489F8}" name="Column15126"/>
    <tableColumn id="15146" xr3:uid="{3278F251-17A0-43B1-AC47-8A6843E524BB}" name="Column15127"/>
    <tableColumn id="15147" xr3:uid="{2D28B912-0D33-42AF-96CB-2DC65B09CB1C}" name="Column15128"/>
    <tableColumn id="15148" xr3:uid="{6EC16A29-DE59-4CD9-8692-F129C9B9FBD4}" name="Column15129"/>
    <tableColumn id="15149" xr3:uid="{38768E67-ADF6-4CF5-B011-FA77E2713D0C}" name="Column15130"/>
    <tableColumn id="15150" xr3:uid="{D1012AAA-6FDE-4018-9CD8-A36C65A8223D}" name="Column15131"/>
    <tableColumn id="15151" xr3:uid="{C401A928-0F57-4F40-97B1-8B79AC76E5F5}" name="Column15132"/>
    <tableColumn id="15152" xr3:uid="{DE83B2F7-5BA3-48A8-ACC6-3862CC34A0EE}" name="Column15133"/>
    <tableColumn id="15153" xr3:uid="{8E9C4129-A258-4A13-B3E2-63677FE0A798}" name="Column15134"/>
    <tableColumn id="15154" xr3:uid="{BDFAA40F-FEBF-420F-A5B2-D92E45CA2884}" name="Column15135"/>
    <tableColumn id="15155" xr3:uid="{3BD57B45-64E2-4206-8FE1-D87F447F1A9D}" name="Column15136"/>
    <tableColumn id="15156" xr3:uid="{6976F0EE-2686-40C6-91BD-34C1C9F5F375}" name="Column15137"/>
    <tableColumn id="15157" xr3:uid="{43679F4A-2E55-40F2-9E0E-5F03A346C985}" name="Column15138"/>
    <tableColumn id="15158" xr3:uid="{B338D2C8-0455-408A-A8D6-E2F15ACDC8AA}" name="Column15139"/>
    <tableColumn id="15159" xr3:uid="{622CE4A8-AD82-451A-BD63-785A8697ECEC}" name="Column15140"/>
    <tableColumn id="15160" xr3:uid="{5278F130-BD3B-4DD9-B251-669991C7ADA4}" name="Column15141"/>
    <tableColumn id="15161" xr3:uid="{E471B7C7-F82F-4635-9E73-7A040202BF3A}" name="Column15142"/>
    <tableColumn id="15162" xr3:uid="{B2B6F35E-D2C7-4963-9233-EEDA5F901EE7}" name="Column15143"/>
    <tableColumn id="15163" xr3:uid="{12BD973C-FE38-48FF-BA90-B6165C7ECF82}" name="Column15144"/>
    <tableColumn id="15164" xr3:uid="{BF1603B0-74F3-47E1-934E-669898352B5D}" name="Column15145"/>
    <tableColumn id="15165" xr3:uid="{B5F51C41-26C1-4D5C-A0F3-902746D3C637}" name="Column15146"/>
    <tableColumn id="15166" xr3:uid="{559DFAB1-DC42-4EA6-ADD8-8D8E4DFB3052}" name="Column15147"/>
    <tableColumn id="15167" xr3:uid="{1303E818-38C1-4D09-A939-0DF4F4094562}" name="Column15148"/>
    <tableColumn id="15168" xr3:uid="{7D8B7F32-1925-4E7E-B1BC-65D36FA08BBA}" name="Column15149"/>
    <tableColumn id="15169" xr3:uid="{842C9DA3-7069-4C40-AE7A-FCB71A134E8D}" name="Column15150"/>
    <tableColumn id="15170" xr3:uid="{BBF50B7D-8DB3-4929-A412-3AACA6146B33}" name="Column15151"/>
    <tableColumn id="15171" xr3:uid="{01B3C7C6-52B2-4EB3-9FC8-F2EB69BDF7B9}" name="Column15152"/>
    <tableColumn id="15172" xr3:uid="{A396A6E6-AB47-4199-B2ED-65F0E7E38F5D}" name="Column15153"/>
    <tableColumn id="15173" xr3:uid="{A7C44AAF-9053-4AA5-BFF6-F9B4AEF6F03F}" name="Column15154"/>
    <tableColumn id="15174" xr3:uid="{48E482E2-B8EF-48BD-915A-7696B5B2AC14}" name="Column15155"/>
    <tableColumn id="15175" xr3:uid="{06C882C5-2B9B-4177-B963-5C8CBF785636}" name="Column15156"/>
    <tableColumn id="15176" xr3:uid="{7E538078-3CE1-46CC-B539-5C873CC94A25}" name="Column15157"/>
    <tableColumn id="15177" xr3:uid="{FAE1D079-AFD3-4E00-A7B1-3AAD74D71C05}" name="Column15158"/>
    <tableColumn id="15178" xr3:uid="{72FE06C9-19D7-442A-A762-AD9BDD73C25A}" name="Column15159"/>
    <tableColumn id="15179" xr3:uid="{216F11C3-CB8A-46DB-BD63-DC2B064B5CEB}" name="Column15160"/>
    <tableColumn id="15180" xr3:uid="{1312BB07-8AAA-4FED-BA65-221E76530ABD}" name="Column15161"/>
    <tableColumn id="15181" xr3:uid="{8B557DF2-CABA-4F87-9CFA-2E2FFB3BE1F2}" name="Column15162"/>
    <tableColumn id="15182" xr3:uid="{3B1C017A-3EF0-425F-9C4D-102D53685193}" name="Column15163"/>
    <tableColumn id="15183" xr3:uid="{B197BC72-C6F3-4E19-89BF-F7678952B790}" name="Column15164"/>
    <tableColumn id="15184" xr3:uid="{2AD97C6F-2AEF-4350-AFE7-31FB85C5AE17}" name="Column15165"/>
    <tableColumn id="15185" xr3:uid="{ABA93422-1898-447D-826A-678B6E0F030B}" name="Column15166"/>
    <tableColumn id="15186" xr3:uid="{116E7DF1-4BE5-430B-B808-E3BBBA50E279}" name="Column15167"/>
    <tableColumn id="15187" xr3:uid="{E40F8E50-0828-45FC-9E67-FC2DD8FF11E7}" name="Column15168"/>
    <tableColumn id="15188" xr3:uid="{7D01D590-9B1B-4CD5-87F0-CAEC156BAE1A}" name="Column15169"/>
    <tableColumn id="15189" xr3:uid="{33660719-4926-4DB1-A9EB-004FD5D39D89}" name="Column15170"/>
    <tableColumn id="15190" xr3:uid="{BC783994-1F80-40D4-9C6E-1BDFD331461A}" name="Column15171"/>
    <tableColumn id="15191" xr3:uid="{26BAA113-018E-4C7C-90CB-02E5CFAD82EF}" name="Column15172"/>
    <tableColumn id="15192" xr3:uid="{3E1D9DF9-21C4-4C48-915F-2E86F7D17973}" name="Column15173"/>
    <tableColumn id="15193" xr3:uid="{932E10C9-F98C-4C9C-BDEF-15D7E56150B6}" name="Column15174"/>
    <tableColumn id="15194" xr3:uid="{E8E113A0-4E37-4A1A-B18C-140E0CD015F0}" name="Column15175"/>
    <tableColumn id="15195" xr3:uid="{E3ED6A66-515E-47D2-91EC-1A40B4AA821B}" name="Column15176"/>
    <tableColumn id="15196" xr3:uid="{2087086C-79A3-471F-80E2-27AF12545962}" name="Column15177"/>
    <tableColumn id="15197" xr3:uid="{DDC5B368-0397-46AE-9DC7-7C926028CEBE}" name="Column15178"/>
    <tableColumn id="15198" xr3:uid="{88106EE0-B966-431F-B6CB-7C9713B58BCE}" name="Column15179"/>
    <tableColumn id="15199" xr3:uid="{9170C697-D812-4941-AEAA-F7D54177EB45}" name="Column15180"/>
    <tableColumn id="15200" xr3:uid="{D589D2D6-E4F9-44C0-8475-E15B48AC56B7}" name="Column15181"/>
    <tableColumn id="15201" xr3:uid="{7E928521-D75D-4D10-A5A2-6F6AC82796CB}" name="Column15182"/>
    <tableColumn id="15202" xr3:uid="{E8519C1F-7CE6-4A48-95C6-16521E9369C1}" name="Column15183"/>
    <tableColumn id="15203" xr3:uid="{1B12CBEE-6A86-485A-987F-C81888EFBB3E}" name="Column15184"/>
    <tableColumn id="15204" xr3:uid="{03C5E49F-5997-46DF-8169-989420E59795}" name="Column15185"/>
    <tableColumn id="15205" xr3:uid="{29C37FEF-C06F-4152-833E-756F3C467F45}" name="Column15186"/>
    <tableColumn id="15206" xr3:uid="{C332E612-8418-46B8-AFA1-F527B4D78388}" name="Column15187"/>
    <tableColumn id="15207" xr3:uid="{90622733-6E18-48D2-AAA9-1E996D09F7B2}" name="Column15188"/>
    <tableColumn id="15208" xr3:uid="{9F2069BC-C227-4015-AF3D-D5CAE486C256}" name="Column15189"/>
    <tableColumn id="15209" xr3:uid="{A2238E07-321A-42B5-843C-F991F0140D03}" name="Column15190"/>
    <tableColumn id="15210" xr3:uid="{A87656B6-41D4-4CA0-AE92-E6881265336A}" name="Column15191"/>
    <tableColumn id="15211" xr3:uid="{4390C26A-E7D1-43D6-84A0-CEFD07D183A1}" name="Column15192"/>
    <tableColumn id="15212" xr3:uid="{596BD48B-ED5B-40EE-9689-62DEE8026ACD}" name="Column15193"/>
    <tableColumn id="15213" xr3:uid="{41BF075C-C0F4-48A8-87DB-A8341CC8D3EE}" name="Column15194"/>
    <tableColumn id="15214" xr3:uid="{C9A2F523-DFD1-4E78-8850-A91A046B4E4C}" name="Column15195"/>
    <tableColumn id="15215" xr3:uid="{4A6AA56B-8F32-4D4B-860C-6EE5BDC809A6}" name="Column15196"/>
    <tableColumn id="15216" xr3:uid="{F6096E27-6796-479C-AA06-8C2CAD715CCB}" name="Column15197"/>
    <tableColumn id="15217" xr3:uid="{3DC7774F-3E76-4C57-B3E0-FF6DE4CB57F9}" name="Column15198"/>
    <tableColumn id="15218" xr3:uid="{6C5A2D6B-D405-42AD-90A9-6D9443521AC3}" name="Column15199"/>
    <tableColumn id="15219" xr3:uid="{5490F746-4765-4737-9ED6-92E616B94FF8}" name="Column15200"/>
    <tableColumn id="15220" xr3:uid="{E9393D93-3573-46D0-B35F-26DF7383742A}" name="Column15201"/>
    <tableColumn id="15221" xr3:uid="{CCEA8349-E522-4089-AC6C-DBA4783A75B6}" name="Column15202"/>
    <tableColumn id="15222" xr3:uid="{B2689E1A-245B-43EF-8704-0F737C97E13D}" name="Column15203"/>
    <tableColumn id="15223" xr3:uid="{650A3602-8705-43C5-969E-2DCEAFDCB280}" name="Column15204"/>
    <tableColumn id="15224" xr3:uid="{17200D18-2E53-4B05-91A2-0E712F2B666D}" name="Column15205"/>
    <tableColumn id="15225" xr3:uid="{CBB02384-F47D-4391-B7D0-F9726790C8D8}" name="Column15206"/>
    <tableColumn id="15226" xr3:uid="{874458E6-EAB3-4553-B984-D7A132996C75}" name="Column15207"/>
    <tableColumn id="15227" xr3:uid="{47199253-5CF3-41DC-86D4-8B729BBD63B4}" name="Column15208"/>
    <tableColumn id="15228" xr3:uid="{ED49BC8F-1919-488D-8108-A65F003D39E9}" name="Column15209"/>
    <tableColumn id="15229" xr3:uid="{1E0B6B81-6938-4467-B5BD-6D9599F1CED2}" name="Column15210"/>
    <tableColumn id="15230" xr3:uid="{827976CE-3C04-45BB-97E2-9B87014375DD}" name="Column15211"/>
    <tableColumn id="15231" xr3:uid="{54D01A2D-7A44-42D4-B6EE-494940B5434D}" name="Column15212"/>
    <tableColumn id="15232" xr3:uid="{A481F9DB-76E1-4983-8E1E-3FAD38E66011}" name="Column15213"/>
    <tableColumn id="15233" xr3:uid="{3E4B5ED8-4A1C-4CB8-B509-8EB2F0BF0C48}" name="Column15214"/>
    <tableColumn id="15234" xr3:uid="{C10E93A7-11E0-484C-98DA-B22348851C0F}" name="Column15215"/>
    <tableColumn id="15235" xr3:uid="{0D17186D-61E5-40DE-8489-C29BC0B9AC56}" name="Column15216"/>
    <tableColumn id="15236" xr3:uid="{5ACCB2A2-8B52-4B29-B21E-A007EC5AEDB3}" name="Column15217"/>
    <tableColumn id="15237" xr3:uid="{92022BE6-CBE7-475B-BA54-5F4D556F837B}" name="Column15218"/>
    <tableColumn id="15238" xr3:uid="{DA03C740-A927-4384-ACFF-A2A8DC35D446}" name="Column15219"/>
    <tableColumn id="15239" xr3:uid="{CE29D576-362F-4CAA-A4F3-EAC71E7B6D4C}" name="Column15220"/>
    <tableColumn id="15240" xr3:uid="{C3EB9631-EFF6-42FC-875B-B5D2A17E2C04}" name="Column15221"/>
    <tableColumn id="15241" xr3:uid="{9072FFC4-9F8D-4DB4-8539-748FBB6B411B}" name="Column15222"/>
    <tableColumn id="15242" xr3:uid="{1D4B3D9C-0D26-40AF-8CF8-7D5AE3FAFE11}" name="Column15223"/>
    <tableColumn id="15243" xr3:uid="{8CDBC258-D29A-4026-9697-0609764415C1}" name="Column15224"/>
    <tableColumn id="15244" xr3:uid="{8D4D331E-BE39-4349-9832-7CBFB144D0AE}" name="Column15225"/>
    <tableColumn id="15245" xr3:uid="{B0B59283-5369-4EB2-95A4-3B008DC1D294}" name="Column15226"/>
    <tableColumn id="15246" xr3:uid="{12A75215-0424-48EC-B4D0-44F358D0D718}" name="Column15227"/>
    <tableColumn id="15247" xr3:uid="{0CFCDB6D-00E3-4CC4-B97E-399E03DC313F}" name="Column15228"/>
    <tableColumn id="15248" xr3:uid="{C4208578-2A63-4370-BA51-399748F9B03D}" name="Column15229"/>
    <tableColumn id="15249" xr3:uid="{6594316F-F1D0-4ADA-849F-0ADAAD37A89D}" name="Column15230"/>
    <tableColumn id="15250" xr3:uid="{4E97007F-0AF3-4EA3-AC4B-739E90C9B5DA}" name="Column15231"/>
    <tableColumn id="15251" xr3:uid="{E0CCD7C2-3E2C-4C28-82CF-AA5FADD980C4}" name="Column15232"/>
    <tableColumn id="15252" xr3:uid="{A8C6AEB7-34A9-421D-8219-F1ABF06173C2}" name="Column15233"/>
    <tableColumn id="15253" xr3:uid="{E4728A9D-5191-4021-9DD8-97B46F8760DD}" name="Column15234"/>
    <tableColumn id="15254" xr3:uid="{D97E35B9-F5ED-4514-B41E-5ADF04612D1B}" name="Column15235"/>
    <tableColumn id="15255" xr3:uid="{5CF7506A-34EE-441B-893B-B9021ED730F0}" name="Column15236"/>
    <tableColumn id="15256" xr3:uid="{218A6F32-C6CA-491A-8BD9-9A6B3D6297F2}" name="Column15237"/>
    <tableColumn id="15257" xr3:uid="{E45ED813-3891-48D5-A1A1-4FF2D20CDA49}" name="Column15238"/>
    <tableColumn id="15258" xr3:uid="{0D3915C9-C1F3-4991-99BE-57C9CFABD1AD}" name="Column15239"/>
    <tableColumn id="15259" xr3:uid="{286DC1A0-FAFE-442F-BAFC-1F332601EAF9}" name="Column15240"/>
    <tableColumn id="15260" xr3:uid="{A44AD57B-99CB-443D-BA8E-132F3B6E87E3}" name="Column15241"/>
    <tableColumn id="15261" xr3:uid="{03B5195C-2978-43C2-B491-CB496EEA8CBF}" name="Column15242"/>
    <tableColumn id="15262" xr3:uid="{742B14E7-F737-40B6-908C-45207E8E9112}" name="Column15243"/>
    <tableColumn id="15263" xr3:uid="{FFCAACFE-46A8-406F-92AE-D7A08207217F}" name="Column15244"/>
    <tableColumn id="15264" xr3:uid="{FE857A27-AFA0-4EC5-A218-FFC0A5A8141B}" name="Column15245"/>
    <tableColumn id="15265" xr3:uid="{E1BD4629-B1FE-4401-B902-B9ED30D5664D}" name="Column15246"/>
    <tableColumn id="15266" xr3:uid="{F050C0B5-9C98-4FF5-BADA-5D7C048498D4}" name="Column15247"/>
    <tableColumn id="15267" xr3:uid="{18915FB2-F291-4FFA-9027-6FD5994FA1F4}" name="Column15248"/>
    <tableColumn id="15268" xr3:uid="{7B19A4B3-C207-430A-9786-2E3F2CD87967}" name="Column15249"/>
    <tableColumn id="15269" xr3:uid="{98A4FEE5-7C92-46D5-A60E-46AAE8DEA228}" name="Column15250"/>
    <tableColumn id="15270" xr3:uid="{50EF8141-D031-4920-B2B0-421769AB8806}" name="Column15251"/>
    <tableColumn id="15271" xr3:uid="{C1A63877-FE20-420F-A29B-C6D9D0DE7FC5}" name="Column15252"/>
    <tableColumn id="15272" xr3:uid="{9C4BF012-51E5-4210-8234-C284740D1424}" name="Column15253"/>
    <tableColumn id="15273" xr3:uid="{64ECC01C-FFCC-4AF3-876A-C29F34D5C6E6}" name="Column15254"/>
    <tableColumn id="15274" xr3:uid="{E7BE1852-091B-4C70-B59F-11F9572B1169}" name="Column15255"/>
    <tableColumn id="15275" xr3:uid="{7A25CFB0-308B-4199-B8E0-8506CAC396FB}" name="Column15256"/>
    <tableColumn id="15276" xr3:uid="{ADFDF8E9-2717-4FFE-B331-2DDA2C877E46}" name="Column15257"/>
    <tableColumn id="15277" xr3:uid="{74F0A1E4-B34F-467D-85E6-C312E3ED7026}" name="Column15258"/>
    <tableColumn id="15278" xr3:uid="{094D4729-B4D0-4859-9D62-F3B77878D837}" name="Column15259"/>
    <tableColumn id="15279" xr3:uid="{A83E676A-4232-4BEA-9D6E-C22BFE28519C}" name="Column15260"/>
    <tableColumn id="15280" xr3:uid="{6022FAC5-A34C-4FF8-8EF7-6A7BFC2529D8}" name="Column15261"/>
    <tableColumn id="15281" xr3:uid="{6F3B3059-A84B-4943-A90F-C5FC8D1D5879}" name="Column15262"/>
    <tableColumn id="15282" xr3:uid="{09884300-8CA2-47D3-A8B0-9599F5521274}" name="Column15263"/>
    <tableColumn id="15283" xr3:uid="{256645A4-B3DC-4F43-AD63-062B51FCBCA5}" name="Column15264"/>
    <tableColumn id="15284" xr3:uid="{10253D2A-B8C7-4A4F-91EA-FAA17187C82B}" name="Column15265"/>
    <tableColumn id="15285" xr3:uid="{2382A86C-9DD2-43B4-9B5A-E705B24070EC}" name="Column15266"/>
    <tableColumn id="15286" xr3:uid="{99F6F217-5599-4BE9-A6D0-3A6E08F9A36B}" name="Column15267"/>
    <tableColumn id="15287" xr3:uid="{156BDAAA-DD60-44DB-BA53-5D704349762F}" name="Column15268"/>
    <tableColumn id="15288" xr3:uid="{B96FBFF9-127C-4DEA-BCC0-6B5D96F52755}" name="Column15269"/>
    <tableColumn id="15289" xr3:uid="{3D2C0199-C683-45C4-B776-F0CA5E482BCF}" name="Column15270"/>
    <tableColumn id="15290" xr3:uid="{596CB188-B8ED-450E-88B1-1516E9B374EC}" name="Column15271"/>
    <tableColumn id="15291" xr3:uid="{2A59BE0F-7AB2-486E-AB97-A6BFAE5103DB}" name="Column15272"/>
    <tableColumn id="15292" xr3:uid="{550FE5BA-D71D-469D-A6CA-87A8D220B0D2}" name="Column15273"/>
    <tableColumn id="15293" xr3:uid="{D7299E9B-6910-457D-BFDC-6059DE95D892}" name="Column15274"/>
    <tableColumn id="15294" xr3:uid="{9DD06BB9-A3E2-44FA-B9BF-304B9B699D29}" name="Column15275"/>
    <tableColumn id="15295" xr3:uid="{629E05FA-CC11-45D9-AEF1-CD9C106D7536}" name="Column15276"/>
    <tableColumn id="15296" xr3:uid="{AA2A29AC-F6D0-481F-B447-69F7DBEF6265}" name="Column15277"/>
    <tableColumn id="15297" xr3:uid="{52379E57-CAC2-4DCE-8353-52683EE38DAF}" name="Column15278"/>
    <tableColumn id="15298" xr3:uid="{AE4AA729-598E-4972-95B6-F0041A6BBA62}" name="Column15279"/>
    <tableColumn id="15299" xr3:uid="{B439D8C7-7FAA-4230-8FFD-0C079C92EB56}" name="Column15280"/>
    <tableColumn id="15300" xr3:uid="{290C87A6-5393-4384-A0C2-2B72FBC1771B}" name="Column15281"/>
    <tableColumn id="15301" xr3:uid="{CAD65262-30B3-4E9F-B692-629CDA231694}" name="Column15282"/>
    <tableColumn id="15302" xr3:uid="{8B3F99ED-9BD5-4622-BFC1-B76CF502DE20}" name="Column15283"/>
    <tableColumn id="15303" xr3:uid="{198BA84B-234A-4897-B309-1B871322F118}" name="Column15284"/>
    <tableColumn id="15304" xr3:uid="{A8A75A86-4851-41CB-B8CD-3B56DC07BF6B}" name="Column15285"/>
    <tableColumn id="15305" xr3:uid="{3A91A6BE-C7AA-431B-B995-51AF840AC07F}" name="Column15286"/>
    <tableColumn id="15306" xr3:uid="{F50B9EDA-3ECE-4318-8FAD-FD63CE7FE25F}" name="Column15287"/>
    <tableColumn id="15307" xr3:uid="{55E1BCCC-35CB-443C-B7AE-29C4DF262A7F}" name="Column15288"/>
    <tableColumn id="15308" xr3:uid="{45312016-9B93-4ABF-B5F4-41573EACFD72}" name="Column15289"/>
    <tableColumn id="15309" xr3:uid="{2C20A89A-5576-4600-BF52-1B9A38014659}" name="Column15290"/>
    <tableColumn id="15310" xr3:uid="{EA4C062C-5E12-4A20-A6BF-2221346BD99E}" name="Column15291"/>
    <tableColumn id="15311" xr3:uid="{2C308293-B5D8-4579-8FEC-D2C4FFC3CE62}" name="Column15292"/>
    <tableColumn id="15312" xr3:uid="{1925F189-FBC8-460F-A588-38F1CD285E2A}" name="Column15293"/>
    <tableColumn id="15313" xr3:uid="{05E3439F-FF9C-449C-9BA9-5F2F007893A9}" name="Column15294"/>
    <tableColumn id="15314" xr3:uid="{75E3E4FD-A7F7-48A1-A0EC-6F592DFCEDB1}" name="Column15295"/>
    <tableColumn id="15315" xr3:uid="{372F4C74-00E7-4953-8BDE-5FC3B63677F6}" name="Column15296"/>
    <tableColumn id="15316" xr3:uid="{0978EFD3-3112-4C6A-9A92-CB1C154EB2D3}" name="Column15297"/>
    <tableColumn id="15317" xr3:uid="{CC160A63-122C-412D-B470-C2FE1D6CD056}" name="Column15298"/>
    <tableColumn id="15318" xr3:uid="{76E25C00-4FC3-4387-8588-3CEECA97A887}" name="Column15299"/>
    <tableColumn id="15319" xr3:uid="{3F323732-BB08-4850-BB3D-11BD98735928}" name="Column15300"/>
    <tableColumn id="15320" xr3:uid="{B714D46B-47DB-46B2-ACC7-9D967B630292}" name="Column15301"/>
    <tableColumn id="15321" xr3:uid="{4B03BB50-62C3-4F32-859E-58151DD63003}" name="Column15302"/>
    <tableColumn id="15322" xr3:uid="{C60D6560-5211-47B4-85B4-9D342F8BB19A}" name="Column15303"/>
    <tableColumn id="15323" xr3:uid="{0602CE0F-F9AB-497A-BF7B-EE240AF53C85}" name="Column15304"/>
    <tableColumn id="15324" xr3:uid="{463DADC9-3B1B-4FCD-9DB4-B6B47E6C98A6}" name="Column15305"/>
    <tableColumn id="15325" xr3:uid="{E1F118A5-C073-4F3E-8ACF-3D7087712DE3}" name="Column15306"/>
    <tableColumn id="15326" xr3:uid="{9B0DD561-A22B-4D8C-B26A-7F2A1F7D18AA}" name="Column15307"/>
    <tableColumn id="15327" xr3:uid="{86049D49-279E-4976-A398-3CFA722BC9BD}" name="Column15308"/>
    <tableColumn id="15328" xr3:uid="{8D74600E-341E-4A77-9520-0606622EF2F6}" name="Column15309"/>
    <tableColumn id="15329" xr3:uid="{E0BFDF9B-2701-4ABF-8A87-2BAB966317DB}" name="Column15310"/>
    <tableColumn id="15330" xr3:uid="{7D3E1C35-D326-4FAF-ABC2-F5E32D16AF75}" name="Column15311"/>
    <tableColumn id="15331" xr3:uid="{7427BE0D-C328-46B1-BA8B-4A189F7DEA13}" name="Column15312"/>
    <tableColumn id="15332" xr3:uid="{02599DCE-EC22-44E8-8DA7-22EE01EBA557}" name="Column15313"/>
    <tableColumn id="15333" xr3:uid="{D834D39F-AEFD-4F99-A9AF-BAEA05BD5C7E}" name="Column15314"/>
    <tableColumn id="15334" xr3:uid="{7AF52F9E-1AA7-4191-A737-91011D250138}" name="Column15315"/>
    <tableColumn id="15335" xr3:uid="{DB12ECE3-DAB5-493E-B729-81033BF2A905}" name="Column15316"/>
    <tableColumn id="15336" xr3:uid="{5AE1986E-7204-4B70-98DC-35D709AECD66}" name="Column15317"/>
    <tableColumn id="15337" xr3:uid="{B4DD1238-7558-4261-90CC-4527AB1B80B2}" name="Column15318"/>
    <tableColumn id="15338" xr3:uid="{471C765B-3877-469D-831E-EF479001CA08}" name="Column15319"/>
    <tableColumn id="15339" xr3:uid="{DF6F3988-8E82-4E0E-82BD-E4FA4F96987A}" name="Column15320"/>
    <tableColumn id="15340" xr3:uid="{4F8D67E1-E022-4996-80FA-31E1176D42A8}" name="Column15321"/>
    <tableColumn id="15341" xr3:uid="{6863AF44-EEFD-46D7-A050-D1C7030E1982}" name="Column15322"/>
    <tableColumn id="15342" xr3:uid="{210787FC-F531-40BE-B21C-0AC837E6CB0E}" name="Column15323"/>
    <tableColumn id="15343" xr3:uid="{89F22A1C-BEB4-4BBA-85F0-9627192CEAC3}" name="Column15324"/>
    <tableColumn id="15344" xr3:uid="{69D46137-CE45-4A14-BC7B-35C160F46D75}" name="Column15325"/>
    <tableColumn id="15345" xr3:uid="{9F0B731B-0001-468E-9CAA-C1AEA4EAEC23}" name="Column15326"/>
    <tableColumn id="15346" xr3:uid="{4F771AD7-8B24-4C99-9139-49B5F5931C02}" name="Column15327"/>
    <tableColumn id="15347" xr3:uid="{B68E9EF8-4609-44B3-ABFC-74FAFDB200CD}" name="Column15328"/>
    <tableColumn id="15348" xr3:uid="{9289D2A3-3EAA-4BA2-A374-DB812E0D4DE0}" name="Column15329"/>
    <tableColumn id="15349" xr3:uid="{BED49501-5683-4AC8-9FCE-E64F166FF76E}" name="Column15330"/>
    <tableColumn id="15350" xr3:uid="{C7BCBFCE-4791-4088-B9AF-420F7DBCD0EA}" name="Column15331"/>
    <tableColumn id="15351" xr3:uid="{A2EDA66F-6E2F-428A-8B0C-50006874C611}" name="Column15332"/>
    <tableColumn id="15352" xr3:uid="{7B812A13-AF42-415C-AB02-BA9AE86CE147}" name="Column15333"/>
    <tableColumn id="15353" xr3:uid="{30DF5DC8-C445-4DC5-B355-DFA84A4B9CEF}" name="Column15334"/>
    <tableColumn id="15354" xr3:uid="{8BE04912-295C-4EC6-B57B-00945FA523D2}" name="Column15335"/>
    <tableColumn id="15355" xr3:uid="{40B0C46F-CA01-46AE-841E-72632F21AEB7}" name="Column15336"/>
    <tableColumn id="15356" xr3:uid="{5465FA29-4968-46B1-B5AB-A7D1B2B73E02}" name="Column15337"/>
    <tableColumn id="15357" xr3:uid="{5D0E4997-9D6D-4778-91F3-51F7788EAD57}" name="Column15338"/>
    <tableColumn id="15358" xr3:uid="{AE154C10-9A8F-4441-B48F-A42AE228FBA7}" name="Column15339"/>
    <tableColumn id="15359" xr3:uid="{D5803A02-4DAA-4274-A892-288EACA02B7D}" name="Column15340"/>
    <tableColumn id="15360" xr3:uid="{CD3AF4C0-8159-4FD9-928E-AB7235F339C5}" name="Column15341"/>
    <tableColumn id="15361" xr3:uid="{EC92732F-EC2F-450E-A179-BCC479CD849B}" name="Column15342"/>
    <tableColumn id="15362" xr3:uid="{6AB83A3D-2458-474E-8A0D-68C1D56F18CD}" name="Column15343"/>
    <tableColumn id="15363" xr3:uid="{F13D997E-82F7-4AB6-8622-ECA0D030D26A}" name="Column15344"/>
    <tableColumn id="15364" xr3:uid="{3A484208-F5E1-49EA-B914-7CD94F1E5CD3}" name="Column15345"/>
    <tableColumn id="15365" xr3:uid="{D07FD8D7-40BB-4C0A-BECE-7A0E6B9BB8D7}" name="Column15346"/>
    <tableColumn id="15366" xr3:uid="{2521387E-1FA2-446F-8480-A2E1C06C41C3}" name="Column15347"/>
    <tableColumn id="15367" xr3:uid="{6E01102D-2116-40EE-8EFF-CE62F1F71333}" name="Column15348"/>
    <tableColumn id="15368" xr3:uid="{A6C8903B-A7E6-4E61-B085-DEBEA4219CC9}" name="Column15349"/>
    <tableColumn id="15369" xr3:uid="{BCB55BDB-9664-479E-B359-34663DEBFB76}" name="Column15350"/>
    <tableColumn id="15370" xr3:uid="{C47FDDA5-1CB7-43F8-8B6E-C3677BC0A753}" name="Column15351"/>
    <tableColumn id="15371" xr3:uid="{F22E03A0-7092-4984-8B8A-05AC7A8F95B7}" name="Column15352"/>
    <tableColumn id="15372" xr3:uid="{EAB22194-2D34-4A3E-9A15-8B7F44749646}" name="Column15353"/>
    <tableColumn id="15373" xr3:uid="{D88CCF94-DAD5-4000-80C0-823A09B7D7BA}" name="Column15354"/>
    <tableColumn id="15374" xr3:uid="{9A1E8952-BFCA-4BF7-A27B-7813FEA283DD}" name="Column15355"/>
    <tableColumn id="15375" xr3:uid="{63C06426-6936-4C5C-BF94-6D751BE71F19}" name="Column15356"/>
    <tableColumn id="15376" xr3:uid="{73642EA8-39B7-426B-B8D6-0A79D862FFDF}" name="Column15357"/>
    <tableColumn id="15377" xr3:uid="{481894E0-D54F-4FED-A2BD-DF78691E8A74}" name="Column15358"/>
    <tableColumn id="15378" xr3:uid="{0E8C8E2D-6ED5-4BC4-B59C-3AF9C9552CE4}" name="Column15359"/>
    <tableColumn id="15379" xr3:uid="{518581D9-7A1F-45C2-8FED-3DD9E869C24A}" name="Column15360"/>
    <tableColumn id="15380" xr3:uid="{6B2DB741-B9CC-4D6D-ACC6-388642C085E6}" name="Column15361"/>
    <tableColumn id="15381" xr3:uid="{58311806-B78B-4799-851B-6BC5D5AFDC3A}" name="Column15362"/>
    <tableColumn id="15382" xr3:uid="{66053918-AD6A-4E42-BAB5-EAEAAB37F41B}" name="Column15363"/>
    <tableColumn id="15383" xr3:uid="{FA9FB16F-0CF6-4AFB-B51C-5E0A6DE47DBD}" name="Column15364"/>
    <tableColumn id="15384" xr3:uid="{5452A386-130C-4B00-BB7E-4F99AD36B2F2}" name="Column15365"/>
    <tableColumn id="15385" xr3:uid="{A658B20C-0B78-4F8B-A62E-F0D980DF7297}" name="Column15366"/>
    <tableColumn id="15386" xr3:uid="{9D2421B0-3622-4F29-B0D4-2415EA89A00C}" name="Column15367"/>
    <tableColumn id="15387" xr3:uid="{AE49C824-E1DA-4E1B-BCEC-C3F96609C600}" name="Column15368"/>
    <tableColumn id="15388" xr3:uid="{0D040E23-6951-4761-827F-B479ABF46E64}" name="Column15369"/>
    <tableColumn id="15389" xr3:uid="{D2730FF1-821C-4D2E-874D-1423E610B1FA}" name="Column15370"/>
    <tableColumn id="15390" xr3:uid="{6448AAD6-0A91-4781-9F02-FB3DAC16FCEA}" name="Column15371"/>
    <tableColumn id="15391" xr3:uid="{4C498813-864B-4C74-9B3F-917196A14566}" name="Column15372"/>
    <tableColumn id="15392" xr3:uid="{56919637-17BB-4118-81AA-9770EC4D0E75}" name="Column15373"/>
    <tableColumn id="15393" xr3:uid="{CD7074A5-B879-4A3D-9E48-B8566515BC22}" name="Column15374"/>
    <tableColumn id="15394" xr3:uid="{DD3E1443-BB6B-4873-9BC8-F84773C22737}" name="Column15375"/>
    <tableColumn id="15395" xr3:uid="{1A270EBA-A6F1-42F5-A719-521144A6D1EA}" name="Column15376"/>
    <tableColumn id="15396" xr3:uid="{EE8EE089-C999-41A7-9773-802E160D8720}" name="Column15377"/>
    <tableColumn id="15397" xr3:uid="{7D5982D4-E4A8-4BB7-B52A-80F317267FBF}" name="Column15378"/>
    <tableColumn id="15398" xr3:uid="{676213EA-2975-4453-BA71-4B8AC103E807}" name="Column15379"/>
    <tableColumn id="15399" xr3:uid="{F5790682-AA95-4FB3-8D63-C1D552A37D37}" name="Column15380"/>
    <tableColumn id="15400" xr3:uid="{D74B517D-49C9-440C-92E7-4738EB23EB2B}" name="Column15381"/>
    <tableColumn id="15401" xr3:uid="{4114F50E-DE92-436D-9A29-DF3B67B7F692}" name="Column15382"/>
    <tableColumn id="15402" xr3:uid="{5FD6AED1-71E8-49EA-9FB1-709673995DEE}" name="Column15383"/>
    <tableColumn id="15403" xr3:uid="{32B33037-85FA-4A3C-841A-0C685B16D4A8}" name="Column15384"/>
    <tableColumn id="15404" xr3:uid="{0DBE5AB4-B373-4F5C-A575-03128BC015AD}" name="Column15385"/>
    <tableColumn id="15405" xr3:uid="{2F8DD717-31E7-4465-9449-105B09A922BB}" name="Column15386"/>
    <tableColumn id="15406" xr3:uid="{1A9F4B78-EB50-447D-B317-ABE2458876A2}" name="Column15387"/>
    <tableColumn id="15407" xr3:uid="{2AC2F427-27D8-41D0-B3F1-A8FB01E6C85F}" name="Column15388"/>
    <tableColumn id="15408" xr3:uid="{BDEEA706-D4FB-4228-9010-B72AA5282599}" name="Column15389"/>
    <tableColumn id="15409" xr3:uid="{8068FE2D-D9C5-4932-88F5-13353F442A29}" name="Column15390"/>
    <tableColumn id="15410" xr3:uid="{D6C554CD-EFA0-4E6B-9AE8-AD326D461075}" name="Column15391"/>
    <tableColumn id="15411" xr3:uid="{1314DEAF-7AE7-475B-9A4B-FF3AAFABCD23}" name="Column15392"/>
    <tableColumn id="15412" xr3:uid="{41D44FE9-A7D7-48E1-984C-AFD00ADE9F45}" name="Column15393"/>
    <tableColumn id="15413" xr3:uid="{F8A98C3C-8EC7-45FC-86BE-D2A2B6110781}" name="Column15394"/>
    <tableColumn id="15414" xr3:uid="{68B450AD-0547-4917-A4A9-D2639E2E310E}" name="Column15395"/>
    <tableColumn id="15415" xr3:uid="{545D8ED5-6664-4C32-9F20-BCA8E324B938}" name="Column15396"/>
    <tableColumn id="15416" xr3:uid="{8BCDA8D8-7664-4557-BCC1-930892CC7388}" name="Column15397"/>
    <tableColumn id="15417" xr3:uid="{3C196B7C-D810-4721-B07C-49FA73A39EDD}" name="Column15398"/>
    <tableColumn id="15418" xr3:uid="{756CB33D-7DFE-4DE9-9E61-A56920D7150D}" name="Column15399"/>
    <tableColumn id="15419" xr3:uid="{D127955C-C3AF-4E19-9719-9C4153C191EC}" name="Column15400"/>
    <tableColumn id="15420" xr3:uid="{37145AC8-C238-4FDB-AC02-87BA69FE8CC3}" name="Column15401"/>
    <tableColumn id="15421" xr3:uid="{2AD8B544-0560-4260-A424-0EAB9E57F88A}" name="Column15402"/>
    <tableColumn id="15422" xr3:uid="{FA91B1F2-870C-41D7-9E0F-841D885D3E90}" name="Column15403"/>
    <tableColumn id="15423" xr3:uid="{02980C98-5E4E-4978-A1A0-1F324242C13C}" name="Column15404"/>
    <tableColumn id="15424" xr3:uid="{03B01716-4D21-44C4-B557-943447D23831}" name="Column15405"/>
    <tableColumn id="15425" xr3:uid="{EA9B60B0-8986-4211-96CA-8D01FACB3316}" name="Column15406"/>
    <tableColumn id="15426" xr3:uid="{95FFE863-2A96-4B81-8A8C-EBB167C92917}" name="Column15407"/>
    <tableColumn id="15427" xr3:uid="{2F297623-820D-478B-B77B-FC0BAF01E6D6}" name="Column15408"/>
    <tableColumn id="15428" xr3:uid="{198F6F94-4162-4C6E-ABC8-D2E6A6E1CD3C}" name="Column15409"/>
    <tableColumn id="15429" xr3:uid="{2DA9C7C9-957A-46A8-B094-9DC711DCF363}" name="Column15410"/>
    <tableColumn id="15430" xr3:uid="{8D5872E3-6D09-42B0-B64C-529965244C8B}" name="Column15411"/>
    <tableColumn id="15431" xr3:uid="{AB359FF2-85EA-480B-8ED3-6555387FCD77}" name="Column15412"/>
    <tableColumn id="15432" xr3:uid="{77336418-0D60-45B9-876B-9760C3F91C22}" name="Column15413"/>
    <tableColumn id="15433" xr3:uid="{73D48A9B-D267-45E8-8B8E-A3E7BDE3A834}" name="Column15414"/>
    <tableColumn id="15434" xr3:uid="{BF0E79B6-2993-4025-A7D5-48C7C01D2270}" name="Column15415"/>
    <tableColumn id="15435" xr3:uid="{AB7D81B0-D4D9-4732-B8B0-073F9D8C3FB9}" name="Column15416"/>
    <tableColumn id="15436" xr3:uid="{BD7D97F2-A9C5-4302-AE37-31F902C93FC1}" name="Column15417"/>
    <tableColumn id="15437" xr3:uid="{A4605C00-73D3-4249-A770-E1EE8A2A38B8}" name="Column15418"/>
    <tableColumn id="15438" xr3:uid="{8CE5AC21-B6A3-4FF9-8BB5-68CEF52B7220}" name="Column15419"/>
    <tableColumn id="15439" xr3:uid="{5B47F916-2DA3-4791-B5E9-FB3350470C53}" name="Column15420"/>
    <tableColumn id="15440" xr3:uid="{9227DE7A-A282-45D0-8495-8CD17B3A5044}" name="Column15421"/>
    <tableColumn id="15441" xr3:uid="{EE3B1313-DFA0-4EDD-81B0-7A17BC48DF7B}" name="Column15422"/>
    <tableColumn id="15442" xr3:uid="{54C6C5E7-D122-41FD-A810-C32F97B5E456}" name="Column15423"/>
    <tableColumn id="15443" xr3:uid="{F1D8FADA-1948-40C3-A69C-93B5E32E56AF}" name="Column15424"/>
    <tableColumn id="15444" xr3:uid="{29FCB3D7-8CA1-4ACA-8F16-CDBBB89DD8B9}" name="Column15425"/>
    <tableColumn id="15445" xr3:uid="{6A4179D5-2D11-493C-B564-2552A78BA1B6}" name="Column15426"/>
    <tableColumn id="15446" xr3:uid="{2A1A94F9-EEAC-442A-9F26-6F1D19524C62}" name="Column15427"/>
    <tableColumn id="15447" xr3:uid="{F025C09E-CB1A-479F-81B9-35C52F2744A8}" name="Column15428"/>
    <tableColumn id="15448" xr3:uid="{EBBE7E72-8BE2-4397-9F8F-C4144547A58C}" name="Column15429"/>
    <tableColumn id="15449" xr3:uid="{F3B82624-F751-4368-BDC4-30F202BF1280}" name="Column15430"/>
    <tableColumn id="15450" xr3:uid="{50252AFF-05B4-4694-AEFA-90340237B67D}" name="Column15431"/>
    <tableColumn id="15451" xr3:uid="{A4FD1C6D-417B-4582-8D7E-8F3F9FEF595F}" name="Column15432"/>
    <tableColumn id="15452" xr3:uid="{C5E65125-927D-4953-89F3-9C3987AD5CD3}" name="Column15433"/>
    <tableColumn id="15453" xr3:uid="{41978A9D-7632-4270-83B7-7118EC426791}" name="Column15434"/>
    <tableColumn id="15454" xr3:uid="{8B9D5480-48C4-4F98-8FA8-05412C31F641}" name="Column15435"/>
    <tableColumn id="15455" xr3:uid="{5A0200ED-023D-49A3-BD7D-B34B3E34382B}" name="Column15436"/>
    <tableColumn id="15456" xr3:uid="{062C460D-FCDD-46A1-A1C4-415B39B76C2F}" name="Column15437"/>
    <tableColumn id="15457" xr3:uid="{1CA7051C-29E5-4228-B32F-A86C481B428D}" name="Column15438"/>
    <tableColumn id="15458" xr3:uid="{987C6832-5597-441D-B8DA-A4AF1E26D4E7}" name="Column15439"/>
    <tableColumn id="15459" xr3:uid="{A0ADA0AB-C4F4-4538-86F4-E2FD78440B54}" name="Column15440"/>
    <tableColumn id="15460" xr3:uid="{0D005FC7-5F97-435C-830D-FADB2DF740D9}" name="Column15441"/>
    <tableColumn id="15461" xr3:uid="{E6C3E3BD-6B89-4F5F-8844-930CCE46B100}" name="Column15442"/>
    <tableColumn id="15462" xr3:uid="{4154B6CA-399B-4A61-BB6C-F52D15098654}" name="Column15443"/>
    <tableColumn id="15463" xr3:uid="{951A830B-318E-43B1-A808-0F3873976064}" name="Column15444"/>
    <tableColumn id="15464" xr3:uid="{060AC387-630B-4801-94E7-A78604489AA2}" name="Column15445"/>
    <tableColumn id="15465" xr3:uid="{C21E768D-90B5-4317-B90B-7733578705AC}" name="Column15446"/>
    <tableColumn id="15466" xr3:uid="{40EBD308-4A10-4EF2-8FB7-FD881BE86971}" name="Column15447"/>
    <tableColumn id="15467" xr3:uid="{B5746869-C7DA-4B49-B160-AD39B63549CF}" name="Column15448"/>
    <tableColumn id="15468" xr3:uid="{5960A116-6A3C-46FB-8A23-5132A5D2EA34}" name="Column15449"/>
    <tableColumn id="15469" xr3:uid="{D58F502E-0E46-4B02-8FEF-1B7C8BAA1908}" name="Column15450"/>
    <tableColumn id="15470" xr3:uid="{B2033839-019F-402E-A013-A4CBF0C76059}" name="Column15451"/>
    <tableColumn id="15471" xr3:uid="{2B0A57C6-DF22-40D5-8112-B77A1E606E25}" name="Column15452"/>
    <tableColumn id="15472" xr3:uid="{94F6E4FB-6365-407A-9325-B17B0C4A2E83}" name="Column15453"/>
    <tableColumn id="15473" xr3:uid="{8265726B-8F72-4065-BFBA-51A70DFC179D}" name="Column15454"/>
    <tableColumn id="15474" xr3:uid="{0A9BF752-B171-40B6-8728-AF62866F13E3}" name="Column15455"/>
    <tableColumn id="15475" xr3:uid="{A510E915-1334-4DEB-BC61-2C98AB7D3305}" name="Column15456"/>
    <tableColumn id="15476" xr3:uid="{DBE32D91-5D65-4D27-90D5-06E24B8EDE44}" name="Column15457"/>
    <tableColumn id="15477" xr3:uid="{13CDDF50-E087-4640-99FD-F1BF4165B58C}" name="Column15458"/>
    <tableColumn id="15478" xr3:uid="{95236DB2-7391-44B8-8E1D-30BA3C45FAF0}" name="Column15459"/>
    <tableColumn id="15479" xr3:uid="{07956F6E-3BC6-4A82-8C50-0971F05011F0}" name="Column15460"/>
    <tableColumn id="15480" xr3:uid="{637CE16F-017D-4DBD-8EC8-BD8A5B652131}" name="Column15461"/>
    <tableColumn id="15481" xr3:uid="{29992F84-8900-47D8-9FB9-68626E93442D}" name="Column15462"/>
    <tableColumn id="15482" xr3:uid="{592F34F0-0EF3-4B23-BFF7-720CEBEBCABD}" name="Column15463"/>
    <tableColumn id="15483" xr3:uid="{61FAE001-DC22-4F3B-9B35-69357925905B}" name="Column15464"/>
    <tableColumn id="15484" xr3:uid="{49E1621F-7695-4E5C-9210-7BE675D48D42}" name="Column15465"/>
    <tableColumn id="15485" xr3:uid="{50FA62E7-7217-4E55-AC2A-78BA93F1CB11}" name="Column15466"/>
    <tableColumn id="15486" xr3:uid="{BE502474-5FE2-421D-8C6C-017880FDAB9B}" name="Column15467"/>
    <tableColumn id="15487" xr3:uid="{64770DFB-B6CE-41BC-9331-3DED8ADFB7E9}" name="Column15468"/>
    <tableColumn id="15488" xr3:uid="{6F961D36-BFB2-468B-A582-7953E5F7F768}" name="Column15469"/>
    <tableColumn id="15489" xr3:uid="{B12F5754-8EB2-4179-B7AE-E54C66B1DFDB}" name="Column15470"/>
    <tableColumn id="15490" xr3:uid="{50CD3840-3FF6-42F0-BFF3-3C2D5004759F}" name="Column15471"/>
    <tableColumn id="15491" xr3:uid="{CE98B88E-D395-40E9-BC7D-05556B9875B0}" name="Column15472"/>
    <tableColumn id="15492" xr3:uid="{F7141130-6C65-416E-9F15-0BE8C0B2C824}" name="Column15473"/>
    <tableColumn id="15493" xr3:uid="{2671AB49-9230-4E13-8226-CFA0DB344B42}" name="Column15474"/>
    <tableColumn id="15494" xr3:uid="{3EF1F70B-EBE4-4B64-A5A6-64B06FDBA9FD}" name="Column15475"/>
    <tableColumn id="15495" xr3:uid="{64560D20-3E68-46C9-A27E-CE180E9432E8}" name="Column15476"/>
    <tableColumn id="15496" xr3:uid="{69CC2621-7CDE-4EAE-9B12-707CAEEC89E0}" name="Column15477"/>
    <tableColumn id="15497" xr3:uid="{FDC80DD2-478F-4BC1-BED3-E058AC087E79}" name="Column15478"/>
    <tableColumn id="15498" xr3:uid="{C49E586D-4884-4180-9500-816CB4C24B79}" name="Column15479"/>
    <tableColumn id="15499" xr3:uid="{BFB6ECE2-6E08-4276-8A02-DE4B6EA97C41}" name="Column15480"/>
    <tableColumn id="15500" xr3:uid="{677430BF-26E4-4320-BBA5-E1C8E2900D11}" name="Column15481"/>
    <tableColumn id="15501" xr3:uid="{A806DDC4-BEBF-4168-9124-3232F5410408}" name="Column15482"/>
    <tableColumn id="15502" xr3:uid="{5926BAEA-2362-4345-A510-CFB2A7203B55}" name="Column15483"/>
    <tableColumn id="15503" xr3:uid="{1CDF411C-C72F-45D4-8A6D-67E7EC2326DB}" name="Column15484"/>
    <tableColumn id="15504" xr3:uid="{8498B776-1526-497C-B0CC-6616C941C456}" name="Column15485"/>
    <tableColumn id="15505" xr3:uid="{7958249F-9226-436D-AF6C-987B98C9C32B}" name="Column15486"/>
    <tableColumn id="15506" xr3:uid="{C85B5396-539E-42CF-B297-EB333D18E6E6}" name="Column15487"/>
    <tableColumn id="15507" xr3:uid="{4F81AB5F-07DB-499F-924D-C98114D72ED5}" name="Column15488"/>
    <tableColumn id="15508" xr3:uid="{F5AD31C1-9F09-447C-8FC9-2E4B20D9FA4D}" name="Column15489"/>
    <tableColumn id="15509" xr3:uid="{60954183-3459-440D-9469-9E13C24B3C6E}" name="Column15490"/>
    <tableColumn id="15510" xr3:uid="{B2D39900-BF77-4029-A18E-5FF2BAD2F733}" name="Column15491"/>
    <tableColumn id="15511" xr3:uid="{7FD65872-4B36-4E47-9507-9E463D667F6A}" name="Column15492"/>
    <tableColumn id="15512" xr3:uid="{0992192B-C652-4872-97B8-E34A44A736AA}" name="Column15493"/>
    <tableColumn id="15513" xr3:uid="{C4B48251-5FF1-4659-920E-CCBC6F73826A}" name="Column15494"/>
    <tableColumn id="15514" xr3:uid="{24EF7932-34C5-4CBB-8046-1E5A83DD6EEA}" name="Column15495"/>
    <tableColumn id="15515" xr3:uid="{C4803F3F-EA33-4121-A8FB-F13DBCC8A98A}" name="Column15496"/>
    <tableColumn id="15516" xr3:uid="{D6F7F7F4-DF49-4C21-9492-C6FA58CC7D69}" name="Column15497"/>
    <tableColumn id="15517" xr3:uid="{9A8733FE-84DA-4C11-8E3F-40AD120D9477}" name="Column15498"/>
    <tableColumn id="15518" xr3:uid="{B0129C04-D0D1-4B1F-A6C9-2369DC5A94F9}" name="Column15499"/>
    <tableColumn id="15519" xr3:uid="{A6960DCB-5507-4B4F-B4F7-F5AA487874F2}" name="Column15500"/>
    <tableColumn id="15520" xr3:uid="{A3FAC7F8-AC33-4463-B763-ECEB58D18192}" name="Column15501"/>
    <tableColumn id="15521" xr3:uid="{E3984077-A5C8-4EA5-978F-F11295ACF1AF}" name="Column15502"/>
    <tableColumn id="15522" xr3:uid="{E11324AA-DB40-4C37-8D25-E3D97DB1F553}" name="Column15503"/>
    <tableColumn id="15523" xr3:uid="{BA100C93-EB57-4812-826F-07FA53E8D735}" name="Column15504"/>
    <tableColumn id="15524" xr3:uid="{86179D11-0391-40BA-AB4B-6BA716CDF94E}" name="Column15505"/>
    <tableColumn id="15525" xr3:uid="{D11DD588-F4DA-48DA-B637-6EE2FE72A2B2}" name="Column15506"/>
    <tableColumn id="15526" xr3:uid="{EEBED17D-C44D-4006-A588-1B5D2C064B83}" name="Column15507"/>
    <tableColumn id="15527" xr3:uid="{81E15BE1-2DFA-4078-9E90-BADD647413B5}" name="Column15508"/>
    <tableColumn id="15528" xr3:uid="{78FFD051-21B9-4894-9CBF-41FD48584509}" name="Column15509"/>
    <tableColumn id="15529" xr3:uid="{F8886B08-9AA2-4FBF-BBCB-BA96066AEA9F}" name="Column15510"/>
    <tableColumn id="15530" xr3:uid="{18E2AACB-7351-470D-B70F-6DC25FEC2ED5}" name="Column15511"/>
    <tableColumn id="15531" xr3:uid="{A39818AE-5702-4706-B6FF-96449F20AD69}" name="Column15512"/>
    <tableColumn id="15532" xr3:uid="{51FDB2B0-62A8-4622-9FDE-5A890ECCD48B}" name="Column15513"/>
    <tableColumn id="15533" xr3:uid="{112DBAE8-7A48-4CB5-99AA-FBE7A7268B4C}" name="Column15514"/>
    <tableColumn id="15534" xr3:uid="{E4F87BBE-9449-4F51-A67E-2FE6ABF0E927}" name="Column15515"/>
    <tableColumn id="15535" xr3:uid="{607E4AFE-770D-4FE6-A01B-7519D4116BD7}" name="Column15516"/>
    <tableColumn id="15536" xr3:uid="{BD0C6A64-ED51-40FE-9BDC-089C61430A65}" name="Column15517"/>
    <tableColumn id="15537" xr3:uid="{15915F87-0577-4CB9-81DF-028D70B74C81}" name="Column15518"/>
    <tableColumn id="15538" xr3:uid="{AB5BAD99-A98E-4C95-9959-A60C55AC59A3}" name="Column15519"/>
    <tableColumn id="15539" xr3:uid="{382C3FE5-ADA2-4D06-AFD3-6F8DE2C62345}" name="Column15520"/>
    <tableColumn id="15540" xr3:uid="{D22AD9AA-06C8-4034-AC13-59B49BC934DA}" name="Column15521"/>
    <tableColumn id="15541" xr3:uid="{46B93A96-D741-4676-AA20-604263224645}" name="Column15522"/>
    <tableColumn id="15542" xr3:uid="{0BD59862-B4EF-4B4A-9303-245EF1B46C13}" name="Column15523"/>
    <tableColumn id="15543" xr3:uid="{F8CE1A83-8D07-4EAC-B1B8-61D6CD0EC561}" name="Column15524"/>
    <tableColumn id="15544" xr3:uid="{A7777786-1579-4FA0-AC4B-AC6341606054}" name="Column15525"/>
    <tableColumn id="15545" xr3:uid="{69C8D477-ECCD-4CDB-A312-9509CA609C11}" name="Column15526"/>
    <tableColumn id="15546" xr3:uid="{A2393C81-2656-4A2F-80A9-7E59431E381A}" name="Column15527"/>
    <tableColumn id="15547" xr3:uid="{ADAB87AF-A977-46A2-B53A-EE85F9E10BD3}" name="Column15528"/>
    <tableColumn id="15548" xr3:uid="{FD295A44-E854-4CBF-BC24-55B8D094DBA1}" name="Column15529"/>
    <tableColumn id="15549" xr3:uid="{24DC9169-ECEF-4763-9872-3C71C9392ECB}" name="Column15530"/>
    <tableColumn id="15550" xr3:uid="{57DF70A3-B2A1-4BFC-8F0E-DE9CDB39A824}" name="Column15531"/>
    <tableColumn id="15551" xr3:uid="{53CE587C-C9F1-416A-BDD3-ADC7384235FE}" name="Column15532"/>
    <tableColumn id="15552" xr3:uid="{2730D1B3-8D37-463B-99D8-F0B710B58704}" name="Column15533"/>
    <tableColumn id="15553" xr3:uid="{8B1B128B-5EE3-4B2B-B274-EF45F686FC14}" name="Column15534"/>
    <tableColumn id="15554" xr3:uid="{70BAFFCA-1B2D-4440-9EE0-FD4CB9C085AD}" name="Column15535"/>
    <tableColumn id="15555" xr3:uid="{9596821C-6C7C-4D66-9F87-FCBAF117B0E2}" name="Column15536"/>
    <tableColumn id="15556" xr3:uid="{A1C31950-39DF-45D1-8421-0456A53E47E9}" name="Column15537"/>
    <tableColumn id="15557" xr3:uid="{C3368D5E-6B01-42F5-86F8-00776BD5C9F2}" name="Column15538"/>
    <tableColumn id="15558" xr3:uid="{7197EDCF-11DE-449F-8DFF-12C010145533}" name="Column15539"/>
    <tableColumn id="15559" xr3:uid="{4817A8DA-2519-450E-8EE0-BCD9CBBA52E4}" name="Column15540"/>
    <tableColumn id="15560" xr3:uid="{DD3D8195-6BC7-4ACF-8241-1428D99152B1}" name="Column15541"/>
    <tableColumn id="15561" xr3:uid="{6500BEBF-5D6C-4C7D-91EA-33CB4B5F009E}" name="Column15542"/>
    <tableColumn id="15562" xr3:uid="{255E1955-DD25-40A4-8D58-D94307FE0BDE}" name="Column15543"/>
    <tableColumn id="15563" xr3:uid="{C1A8E49D-90DD-4484-B27B-C7882297EAD6}" name="Column15544"/>
    <tableColumn id="15564" xr3:uid="{A241BB51-F825-4292-84FE-D747836DA1B6}" name="Column15545"/>
    <tableColumn id="15565" xr3:uid="{1F8F224E-2DA5-403D-9009-313F77D1E10D}" name="Column15546"/>
    <tableColumn id="15566" xr3:uid="{6F868C0C-C5A9-45B0-9D2A-37E0AE2E77B9}" name="Column15547"/>
    <tableColumn id="15567" xr3:uid="{7BE472E9-8228-4D08-BF96-1CEED2E01406}" name="Column15548"/>
    <tableColumn id="15568" xr3:uid="{77DF4367-9B77-4E20-B256-AA374237C4BE}" name="Column15549"/>
    <tableColumn id="15569" xr3:uid="{6DD05DA5-2108-41CA-8886-C9DAFBBB0D78}" name="Column15550"/>
    <tableColumn id="15570" xr3:uid="{BE7F1B56-2006-4922-8BF4-B3D30A0BDCB9}" name="Column15551"/>
    <tableColumn id="15571" xr3:uid="{2039B231-65DC-474A-B9B1-983D7453C9BA}" name="Column15552"/>
    <tableColumn id="15572" xr3:uid="{8EE327EB-4B2D-4066-8053-FCC1D5361376}" name="Column15553"/>
    <tableColumn id="15573" xr3:uid="{96931299-C017-4560-B064-601335070FEF}" name="Column15554"/>
    <tableColumn id="15574" xr3:uid="{A1585117-73BE-4E77-9046-12B158D368D5}" name="Column15555"/>
    <tableColumn id="15575" xr3:uid="{70328683-2B29-4D0B-A0D6-9781B0BA50BC}" name="Column15556"/>
    <tableColumn id="15576" xr3:uid="{75E5A94C-BFA9-42D4-81C4-837C5097C011}" name="Column15557"/>
    <tableColumn id="15577" xr3:uid="{11F252A3-8752-4D51-94A9-ABB5D398C720}" name="Column15558"/>
    <tableColumn id="15578" xr3:uid="{1F8E70FF-8158-45EB-9F86-E139E7466B7E}" name="Column15559"/>
    <tableColumn id="15579" xr3:uid="{6F8A45AD-402E-4D5C-BFCF-52830FDA3325}" name="Column15560"/>
    <tableColumn id="15580" xr3:uid="{CC42E106-72DA-4B55-AF1A-F7F38CED6D85}" name="Column15561"/>
    <tableColumn id="15581" xr3:uid="{8FC456FF-815F-4335-8876-1026377B816A}" name="Column15562"/>
    <tableColumn id="15582" xr3:uid="{BF53951C-1BA5-4479-8B29-D39BE06F7D21}" name="Column15563"/>
    <tableColumn id="15583" xr3:uid="{4A3AA2A4-65C2-49C0-B090-C133C1793D3A}" name="Column15564"/>
    <tableColumn id="15584" xr3:uid="{CE02205A-B199-4032-ACB2-2DC6C4EE6A0F}" name="Column15565"/>
    <tableColumn id="15585" xr3:uid="{60D08E9C-19BC-41B8-ACEB-E569517A6DB7}" name="Column15566"/>
    <tableColumn id="15586" xr3:uid="{AEB11D80-73E2-48F0-AE71-792D001C7DE2}" name="Column15567"/>
    <tableColumn id="15587" xr3:uid="{F05E2008-33DF-4B6A-B564-611867A7054D}" name="Column15568"/>
    <tableColumn id="15588" xr3:uid="{2AB0C84D-E96C-4228-AEC3-173498DCC156}" name="Column15569"/>
    <tableColumn id="15589" xr3:uid="{9ABEC8ED-798A-4A1A-B8B0-971ED062B352}" name="Column15570"/>
    <tableColumn id="15590" xr3:uid="{882AF14D-93AF-4F64-BE9E-5135A54A6688}" name="Column15571"/>
    <tableColumn id="15591" xr3:uid="{903FF2FF-3FBA-4388-B20E-0EC36D064033}" name="Column15572"/>
    <tableColumn id="15592" xr3:uid="{195A0EC7-A3DD-4D25-B0CE-9DA8EAB5456A}" name="Column15573"/>
    <tableColumn id="15593" xr3:uid="{B3569C8E-3A52-44D6-8CA9-B3DBABC30007}" name="Column15574"/>
    <tableColumn id="15594" xr3:uid="{88F6E38B-9A77-4883-85BF-C73894608423}" name="Column15575"/>
    <tableColumn id="15595" xr3:uid="{22A9BE64-4D5E-4A21-9858-32444EFA7468}" name="Column15576"/>
    <tableColumn id="15596" xr3:uid="{2713C891-938F-4142-9A13-045EE036AD15}" name="Column15577"/>
    <tableColumn id="15597" xr3:uid="{01E25957-310D-4A05-86F7-F18BE3158E24}" name="Column15578"/>
    <tableColumn id="15598" xr3:uid="{6AA20236-72A3-49C3-90D1-97C95BF02193}" name="Column15579"/>
    <tableColumn id="15599" xr3:uid="{B30C4F88-F7B8-4B27-B789-0C6F7EF01E7F}" name="Column15580"/>
    <tableColumn id="15600" xr3:uid="{BA6879B1-2D8E-4A00-9BE9-F2B9F8475020}" name="Column15581"/>
    <tableColumn id="15601" xr3:uid="{FC1B3479-6C5B-45F1-AD93-7CB3207A51FA}" name="Column15582"/>
    <tableColumn id="15602" xr3:uid="{BD2595D6-E4C8-4EEF-8453-61A5461DEFE7}" name="Column15583"/>
    <tableColumn id="15603" xr3:uid="{4A60CC67-C7C1-40A5-91D7-EB130359948D}" name="Column15584"/>
    <tableColumn id="15604" xr3:uid="{536175CB-8360-48B7-ACD5-F6F245BA52D0}" name="Column15585"/>
    <tableColumn id="15605" xr3:uid="{8CE2B674-6FE3-4C58-B3C7-8E19ECB50AC9}" name="Column15586"/>
    <tableColumn id="15606" xr3:uid="{98E976A6-0334-4491-A556-24928A8843F0}" name="Column15587"/>
    <tableColumn id="15607" xr3:uid="{EBBA5F23-B579-4B5F-81C2-2DB25EB5D6B6}" name="Column15588"/>
    <tableColumn id="15608" xr3:uid="{0487DEF8-66EB-4BA6-A1DB-B67599C6DB03}" name="Column15589"/>
    <tableColumn id="15609" xr3:uid="{F9B37F23-2300-4A36-89C3-91A633878AAF}" name="Column15590"/>
    <tableColumn id="15610" xr3:uid="{700CFF18-9141-4572-9216-76E0209F5B03}" name="Column15591"/>
    <tableColumn id="15611" xr3:uid="{0A7CF0F4-BD62-448C-9180-9F7707E6194A}" name="Column15592"/>
    <tableColumn id="15612" xr3:uid="{9776C98F-15CB-4B7F-AA2B-78271978117A}" name="Column15593"/>
    <tableColumn id="15613" xr3:uid="{1BD148F0-5429-43A4-98E5-490EE7F81B1E}" name="Column15594"/>
    <tableColumn id="15614" xr3:uid="{6284F4C6-F9CB-4634-8A22-C194702343E2}" name="Column15595"/>
    <tableColumn id="15615" xr3:uid="{FBF4844A-4C67-4F11-8C0E-93DE801C999C}" name="Column15596"/>
    <tableColumn id="15616" xr3:uid="{982FBF8D-B980-41C2-A369-B8573A5AA92F}" name="Column15597"/>
    <tableColumn id="15617" xr3:uid="{C80C572A-3EB7-4E80-97E1-BD24C91C6428}" name="Column15598"/>
    <tableColumn id="15618" xr3:uid="{55DF0B11-1863-43C5-ADB9-D9E3D7EC6DAE}" name="Column15599"/>
    <tableColumn id="15619" xr3:uid="{A00D5797-9C83-4A8F-816D-6ACE3394C1BA}" name="Column15600"/>
    <tableColumn id="15620" xr3:uid="{129B30F6-472B-46A2-A564-20679C68BC28}" name="Column15601"/>
    <tableColumn id="15621" xr3:uid="{F0C0DA2A-5DDB-428C-959D-2B5E720D2E64}" name="Column15602"/>
    <tableColumn id="15622" xr3:uid="{AE099AB4-921B-489F-9895-FD87D5D44AA2}" name="Column15603"/>
    <tableColumn id="15623" xr3:uid="{AE1C2BC5-8A31-4C22-9C03-3A4848FD9711}" name="Column15604"/>
    <tableColumn id="15624" xr3:uid="{3A92774F-698A-4DD7-A420-5B0F33D4C1C0}" name="Column15605"/>
    <tableColumn id="15625" xr3:uid="{EC845199-A1C1-4C4C-B66B-E31D81CDF567}" name="Column15606"/>
    <tableColumn id="15626" xr3:uid="{B33ADF8B-4628-4D08-908F-7CE6C8FF0320}" name="Column15607"/>
    <tableColumn id="15627" xr3:uid="{AEE20B0D-DD71-4CEA-ADF5-D5C6E3AE2723}" name="Column15608"/>
    <tableColumn id="15628" xr3:uid="{1B749758-6A72-4D87-81D6-EC968051A959}" name="Column15609"/>
    <tableColumn id="15629" xr3:uid="{CB22736F-157F-43B4-990C-44E7D1BB339E}" name="Column15610"/>
    <tableColumn id="15630" xr3:uid="{2DFD10EB-744A-4672-A421-495F3BCD4538}" name="Column15611"/>
    <tableColumn id="15631" xr3:uid="{59264170-CA48-480D-8756-77D75AEECA57}" name="Column15612"/>
    <tableColumn id="15632" xr3:uid="{8D0AEBB9-41BF-45C3-A617-93CAFDCAB9EF}" name="Column15613"/>
    <tableColumn id="15633" xr3:uid="{ACBBAA09-6ED2-4EC3-8361-02C360410385}" name="Column15614"/>
    <tableColumn id="15634" xr3:uid="{C702D0C8-32B8-4BA5-98CF-BBD8897745C3}" name="Column15615"/>
    <tableColumn id="15635" xr3:uid="{400BF472-F02F-4E7B-BDB8-0D44E3BF9BA2}" name="Column15616"/>
    <tableColumn id="15636" xr3:uid="{182AEF59-B11F-4807-B6BD-8440A6450ABC}" name="Column15617"/>
    <tableColumn id="15637" xr3:uid="{449DFD4D-0D02-4630-B9A6-E9028BE65B1C}" name="Column15618"/>
    <tableColumn id="15638" xr3:uid="{E5E03E57-2A53-4F26-9B92-DF0635EF128D}" name="Column15619"/>
    <tableColumn id="15639" xr3:uid="{71BFAF03-7059-44AE-AD5F-8F0FA6A3FCCD}" name="Column15620"/>
    <tableColumn id="15640" xr3:uid="{25028DE2-9C3C-4654-BCC2-397EF7F69444}" name="Column15621"/>
    <tableColumn id="15641" xr3:uid="{1A9B0B8C-C10F-4703-972C-244D9B166476}" name="Column15622"/>
    <tableColumn id="15642" xr3:uid="{350AEC33-7AB4-476C-893C-246676B56F6E}" name="Column15623"/>
    <tableColumn id="15643" xr3:uid="{3E770480-C2CA-42A2-A4B3-F736915EF30A}" name="Column15624"/>
    <tableColumn id="15644" xr3:uid="{C5AD34D4-9F54-41D0-8505-D6F32200F74B}" name="Column15625"/>
    <tableColumn id="15645" xr3:uid="{AFF682F6-B24F-47B6-AF44-E03C0FFB94F1}" name="Column15626"/>
    <tableColumn id="15646" xr3:uid="{C6BE1192-6FE3-48E2-B3CE-4385A90A2BCA}" name="Column15627"/>
    <tableColumn id="15647" xr3:uid="{4274107D-81F5-4F30-96DD-9A68C40D9661}" name="Column15628"/>
    <tableColumn id="15648" xr3:uid="{74EA3E8B-AF0F-45A7-9A5E-7BABA16F3A07}" name="Column15629"/>
    <tableColumn id="15649" xr3:uid="{B33277B5-4204-420F-932D-6DF960578449}" name="Column15630"/>
    <tableColumn id="15650" xr3:uid="{946EFAC8-B569-4342-ACD0-346403492268}" name="Column15631"/>
    <tableColumn id="15651" xr3:uid="{F5B22CD5-B8B0-42D6-8DCD-E4E6CC5199EF}" name="Column15632"/>
    <tableColumn id="15652" xr3:uid="{F2D1B6D7-A0AE-4677-B3A9-CD0A2133C387}" name="Column15633"/>
    <tableColumn id="15653" xr3:uid="{DEDA7D93-3654-425F-A9A5-7A1826366F32}" name="Column15634"/>
    <tableColumn id="15654" xr3:uid="{E6CBF3AD-7B65-4A7E-8691-C0719E483DE7}" name="Column15635"/>
    <tableColumn id="15655" xr3:uid="{63812E22-6BE9-40CC-BB01-C12F34A08821}" name="Column15636"/>
    <tableColumn id="15656" xr3:uid="{DF535505-D698-430D-816C-6AADBC2FEFFD}" name="Column15637"/>
    <tableColumn id="15657" xr3:uid="{2C2FBABE-2C64-4F9C-BF7F-4ADFBBEB1F12}" name="Column15638"/>
    <tableColumn id="15658" xr3:uid="{AF04745D-97FE-46C6-8BB6-2F1A66112AC6}" name="Column15639"/>
    <tableColumn id="15659" xr3:uid="{2D77D1EB-F6F4-4B0E-A2D0-E1D187CDF9E5}" name="Column15640"/>
    <tableColumn id="15660" xr3:uid="{29C8A9E0-2499-483B-A116-62911A56EF21}" name="Column15641"/>
    <tableColumn id="15661" xr3:uid="{8C0CAB02-EF84-4270-B2D5-9A2009B563CB}" name="Column15642"/>
    <tableColumn id="15662" xr3:uid="{DCFD1167-8415-46E7-AAD8-BF2618894A58}" name="Column15643"/>
    <tableColumn id="15663" xr3:uid="{F699D861-619B-4D81-9235-415271F50744}" name="Column15644"/>
    <tableColumn id="15664" xr3:uid="{583046F1-3090-4BD2-B792-AA13D010E96D}" name="Column15645"/>
    <tableColumn id="15665" xr3:uid="{F3C9524C-CFBA-480F-928B-91C966BD444D}" name="Column15646"/>
    <tableColumn id="15666" xr3:uid="{7D5594F7-C621-400B-92DB-863D6234CE51}" name="Column15647"/>
    <tableColumn id="15667" xr3:uid="{468FAADD-E763-487D-8641-672C0EB51ED2}" name="Column15648"/>
    <tableColumn id="15668" xr3:uid="{9D17CB27-17BB-4E20-90CD-A33562A476DB}" name="Column15649"/>
    <tableColumn id="15669" xr3:uid="{10A1770B-29D5-420E-986C-743E391F3CCC}" name="Column15650"/>
    <tableColumn id="15670" xr3:uid="{88BC8496-C8E0-40CA-8C4F-80A96B58F56F}" name="Column15651"/>
    <tableColumn id="15671" xr3:uid="{8E750F05-2BE4-40E0-8070-977D2D652C5A}" name="Column15652"/>
    <tableColumn id="15672" xr3:uid="{3A511E7B-EBF0-463B-9BE1-ACD496B26F2C}" name="Column15653"/>
    <tableColumn id="15673" xr3:uid="{69CE1DE3-9C53-430D-8612-4F6D55699A97}" name="Column15654"/>
    <tableColumn id="15674" xr3:uid="{AF8B9975-8F00-4BD8-B657-29A172F0BFC8}" name="Column15655"/>
    <tableColumn id="15675" xr3:uid="{15D85E4B-E08E-43FE-9133-CFB797999773}" name="Column15656"/>
    <tableColumn id="15676" xr3:uid="{6AF5936A-A82C-47B0-A5EE-AC9BA4BBB6D8}" name="Column15657"/>
    <tableColumn id="15677" xr3:uid="{54632072-AE17-44DF-9AF6-639222EB01CE}" name="Column15658"/>
    <tableColumn id="15678" xr3:uid="{C68C2EC4-03B4-46E0-8172-9F938C66C1D2}" name="Column15659"/>
    <tableColumn id="15679" xr3:uid="{FEA9EB83-9F3C-4F63-B739-6530316F4BF2}" name="Column15660"/>
    <tableColumn id="15680" xr3:uid="{CCC0A7BB-ABC1-4359-9F51-4161DE0FC542}" name="Column15661"/>
    <tableColumn id="15681" xr3:uid="{951A50EC-2A5D-4493-8E3E-AAE3DDC10A08}" name="Column15662"/>
    <tableColumn id="15682" xr3:uid="{6C8F08EC-640D-4669-889A-82E80F517FA9}" name="Column15663"/>
    <tableColumn id="15683" xr3:uid="{4F3550A0-9A48-45D7-9190-BEBC97EC0FEB}" name="Column15664"/>
    <tableColumn id="15684" xr3:uid="{674CD2DC-2A3B-4CAE-A36F-F362E14B1C0B}" name="Column15665"/>
    <tableColumn id="15685" xr3:uid="{C1515B8F-DFC7-4A0A-BBB5-C364449007E5}" name="Column15666"/>
    <tableColumn id="15686" xr3:uid="{4F3A8888-7146-4C60-935F-46D37BDE46FD}" name="Column15667"/>
    <tableColumn id="15687" xr3:uid="{ACD58B9D-7A18-416B-AB8F-A6E454A975CF}" name="Column15668"/>
    <tableColumn id="15688" xr3:uid="{F1E48FF6-6054-479A-A387-DCC5AAA053A4}" name="Column15669"/>
    <tableColumn id="15689" xr3:uid="{0CA08F93-34C0-41CA-B93F-109398748F4B}" name="Column15670"/>
    <tableColumn id="15690" xr3:uid="{D5FE3BB5-D5DF-41EF-8FAA-4909A9373034}" name="Column15671"/>
    <tableColumn id="15691" xr3:uid="{9F125B14-1A41-4FA4-A61D-C801E4C84671}" name="Column15672"/>
    <tableColumn id="15692" xr3:uid="{514467AD-F09F-4482-9B67-7D2522C2A78B}" name="Column15673"/>
    <tableColumn id="15693" xr3:uid="{77303C80-C200-4F69-A4AF-06F290D389CD}" name="Column15674"/>
    <tableColumn id="15694" xr3:uid="{78F96B47-797F-49F9-924B-C22C85B13780}" name="Column15675"/>
    <tableColumn id="15695" xr3:uid="{8C21A099-70D0-4D8D-A234-8BB8068D052B}" name="Column15676"/>
    <tableColumn id="15696" xr3:uid="{14EE95C0-B219-4698-B9AE-28DB71A40263}" name="Column15677"/>
    <tableColumn id="15697" xr3:uid="{EAFE2FCC-2203-49A4-A16F-DBBBE6855F21}" name="Column15678"/>
    <tableColumn id="15698" xr3:uid="{F3DEB5DA-0CD4-4DA6-B2C6-F328F2438E71}" name="Column15679"/>
    <tableColumn id="15699" xr3:uid="{9CC98673-9B38-4CE8-9B1B-2E8D6C081322}" name="Column15680"/>
    <tableColumn id="15700" xr3:uid="{E5EB874B-B866-48A1-91C9-1A5B38752ABC}" name="Column15681"/>
    <tableColumn id="15701" xr3:uid="{993BFEB0-97E0-4220-9C1E-ADFC8C8F5917}" name="Column15682"/>
    <tableColumn id="15702" xr3:uid="{C47E9C6A-EBAF-4AC2-AC23-47CA2B14BC5F}" name="Column15683"/>
    <tableColumn id="15703" xr3:uid="{431CBA3C-EF5D-48C5-8BE1-8527FC25BE04}" name="Column15684"/>
    <tableColumn id="15704" xr3:uid="{5224922A-A40A-4CCE-AABF-4FEA030DDA11}" name="Column15685"/>
    <tableColumn id="15705" xr3:uid="{3E986516-7F10-4EA2-BDA5-44925DCE361B}" name="Column15686"/>
    <tableColumn id="15706" xr3:uid="{8FE612F4-6C43-43CB-AE11-401EFBF9174B}" name="Column15687"/>
    <tableColumn id="15707" xr3:uid="{7A291795-22F4-4479-83D9-49F1A7915F09}" name="Column15688"/>
    <tableColumn id="15708" xr3:uid="{7EE39671-03EC-423C-A029-E51E0820EFD9}" name="Column15689"/>
    <tableColumn id="15709" xr3:uid="{173527BF-FFB9-40C3-ACCE-FCB67BCD2999}" name="Column15690"/>
    <tableColumn id="15710" xr3:uid="{470D8625-9B2D-474E-8DB3-BF6127FBAAA4}" name="Column15691"/>
    <tableColumn id="15711" xr3:uid="{632C72B0-1A2B-4B54-A599-B00FB3792652}" name="Column15692"/>
    <tableColumn id="15712" xr3:uid="{EFD66308-D9E2-42D1-BEE6-81741168720A}" name="Column15693"/>
    <tableColumn id="15713" xr3:uid="{9C8C4F61-08C4-4EDD-B439-26F5FF0CE0AB}" name="Column15694"/>
    <tableColumn id="15714" xr3:uid="{3594A206-EBE9-406A-A6B1-DDA058AA34E3}" name="Column15695"/>
    <tableColumn id="15715" xr3:uid="{9F223A26-A414-43BD-BD3F-EC7AAB57CCB7}" name="Column15696"/>
    <tableColumn id="15716" xr3:uid="{EFFCBDA2-46F4-4204-ACAD-618D5502AC5A}" name="Column15697"/>
    <tableColumn id="15717" xr3:uid="{110BEE46-F180-4DFC-8D7F-9677BAF069C6}" name="Column15698"/>
    <tableColumn id="15718" xr3:uid="{F5009495-0813-47A3-8EB6-9BFAAA2D6F0D}" name="Column15699"/>
    <tableColumn id="15719" xr3:uid="{6AA99AB0-DC62-49EE-B206-DCB064150B47}" name="Column15700"/>
    <tableColumn id="15720" xr3:uid="{91BB712F-5ED4-4B3E-BA79-A622C729688B}" name="Column15701"/>
    <tableColumn id="15721" xr3:uid="{6E81B8E5-448C-4BB5-BCA1-B7DF9D8279ED}" name="Column15702"/>
    <tableColumn id="15722" xr3:uid="{5B760255-8A5C-4270-8435-59504C7897CA}" name="Column15703"/>
    <tableColumn id="15723" xr3:uid="{AB1E2510-125C-4015-8B57-442DEE9A1183}" name="Column15704"/>
    <tableColumn id="15724" xr3:uid="{89B3C30B-3A35-4D52-9488-0F21AC667935}" name="Column15705"/>
    <tableColumn id="15725" xr3:uid="{869359D2-DD34-49B1-9B1C-11A99442A54E}" name="Column15706"/>
    <tableColumn id="15726" xr3:uid="{BF295DD7-D8F6-4563-8008-3AF8DA4D113B}" name="Column15707"/>
    <tableColumn id="15727" xr3:uid="{1D24EA58-4AE9-4CEA-9902-02172D615100}" name="Column15708"/>
    <tableColumn id="15728" xr3:uid="{4905D51B-0E7A-4DB5-AB4F-737C7997643A}" name="Column15709"/>
    <tableColumn id="15729" xr3:uid="{E286D928-E2A4-4192-B633-03353D16C7C0}" name="Column15710"/>
    <tableColumn id="15730" xr3:uid="{D7C8E60D-2751-427E-90A2-4ACE59869862}" name="Column15711"/>
    <tableColumn id="15731" xr3:uid="{FA355048-E9D8-490D-97C6-A4398C001F17}" name="Column15712"/>
    <tableColumn id="15732" xr3:uid="{E5846CFC-59A8-496A-8202-3F354D1B62B7}" name="Column15713"/>
    <tableColumn id="15733" xr3:uid="{CDF10D21-150C-47CC-B878-E821087DEDE7}" name="Column15714"/>
    <tableColumn id="15734" xr3:uid="{E6A5DF9B-2DEF-4049-A958-1A15FF89BB4D}" name="Column15715"/>
    <tableColumn id="15735" xr3:uid="{9E8AC181-E463-4EBB-9E1F-8F85170A14DD}" name="Column15716"/>
    <tableColumn id="15736" xr3:uid="{81406300-24FC-49D1-A8B4-1CDC5CCEA7AB}" name="Column15717"/>
    <tableColumn id="15737" xr3:uid="{C0CCA144-DAF8-4239-8438-97C5189014EA}" name="Column15718"/>
    <tableColumn id="15738" xr3:uid="{5DA6DA1A-11B3-4209-B743-6F31E2ACB38F}" name="Column15719"/>
    <tableColumn id="15739" xr3:uid="{D6F43F45-22A6-4126-9C71-80C6D550E1DE}" name="Column15720"/>
    <tableColumn id="15740" xr3:uid="{19A2FD9F-D13A-4EF4-866F-CF0C74B52CAC}" name="Column15721"/>
    <tableColumn id="15741" xr3:uid="{3EB88AC1-ABDE-4C89-B144-51E5B9926DAD}" name="Column15722"/>
    <tableColumn id="15742" xr3:uid="{7AA5918B-B73D-4D4B-90EC-06FC040A4B22}" name="Column15723"/>
    <tableColumn id="15743" xr3:uid="{C1758513-E618-42B5-BC0B-F952124E35E7}" name="Column15724"/>
    <tableColumn id="15744" xr3:uid="{CC9A8E99-1AC7-4A34-9486-D959E8CE572F}" name="Column15725"/>
    <tableColumn id="15745" xr3:uid="{8FF4029E-F5AE-4181-A309-7FC446D27618}" name="Column15726"/>
    <tableColumn id="15746" xr3:uid="{2242729E-3ADD-4FCD-974D-A0A1544EC8D6}" name="Column15727"/>
    <tableColumn id="15747" xr3:uid="{0C9A8CAC-4EE6-4222-A1FD-6C767CF71FAC}" name="Column15728"/>
    <tableColumn id="15748" xr3:uid="{A030E4CF-7363-4968-8ACF-0CD6F9290E71}" name="Column15729"/>
    <tableColumn id="15749" xr3:uid="{A453CAA9-5499-410D-BC04-8E124919CC1A}" name="Column15730"/>
    <tableColumn id="15750" xr3:uid="{C43224EF-22BE-4789-B9A3-9E379DFC406E}" name="Column15731"/>
    <tableColumn id="15751" xr3:uid="{059397E5-30A0-4C24-9875-2958A640645D}" name="Column15732"/>
    <tableColumn id="15752" xr3:uid="{F118CDDA-2237-4AFA-85E9-DA4E943BF222}" name="Column15733"/>
    <tableColumn id="15753" xr3:uid="{B55E9C93-ED3A-4B1F-9760-AEE4A964157B}" name="Column15734"/>
    <tableColumn id="15754" xr3:uid="{6D403404-F7D5-484F-88A4-98F611A11773}" name="Column15735"/>
    <tableColumn id="15755" xr3:uid="{1E58EAF2-EB0A-4FD0-95F5-B4A85AB41895}" name="Column15736"/>
    <tableColumn id="15756" xr3:uid="{CD848CCE-9A72-49B9-A940-0248219B5D3D}" name="Column15737"/>
    <tableColumn id="15757" xr3:uid="{AF1A4822-00CE-4CBD-937E-0463863FFC46}" name="Column15738"/>
    <tableColumn id="15758" xr3:uid="{A1E491C2-C7D7-4953-A627-C86E45D53469}" name="Column15739"/>
    <tableColumn id="15759" xr3:uid="{743005C0-441A-4C77-937B-E236B1C9D456}" name="Column15740"/>
    <tableColumn id="15760" xr3:uid="{FE4706E6-0649-4D49-AFE7-B59EE449E23D}" name="Column15741"/>
    <tableColumn id="15761" xr3:uid="{DA0988DC-77B6-411E-BBA2-8E32620F902F}" name="Column15742"/>
    <tableColumn id="15762" xr3:uid="{E2A11EA4-887C-478C-9B30-EAF5ABE50C75}" name="Column15743"/>
    <tableColumn id="15763" xr3:uid="{A5BC050C-35C8-44BA-8057-A8085F5C60EF}" name="Column15744"/>
    <tableColumn id="15764" xr3:uid="{064D02CA-44A0-4A1E-A227-05F02C3BB6B4}" name="Column15745"/>
    <tableColumn id="15765" xr3:uid="{9CF5C6A7-D7A2-4472-9F09-AA15A343CD98}" name="Column15746"/>
    <tableColumn id="15766" xr3:uid="{2DE4D289-9C92-4087-9F06-2C208D3DDE5D}" name="Column15747"/>
    <tableColumn id="15767" xr3:uid="{254C599F-2D08-4CA4-8AA6-4D22C633AA64}" name="Column15748"/>
    <tableColumn id="15768" xr3:uid="{841EB59D-21B7-411E-9DB6-3BFF800D08FC}" name="Column15749"/>
    <tableColumn id="15769" xr3:uid="{E218CBBB-6CC4-4FDB-89D1-68AA9E7CCA6F}" name="Column15750"/>
    <tableColumn id="15770" xr3:uid="{FCA1E46E-52C6-410A-90C1-9C13386486CF}" name="Column15751"/>
    <tableColumn id="15771" xr3:uid="{1F556F4A-0F16-4CA5-AC10-2CCD4361BDA9}" name="Column15752"/>
    <tableColumn id="15772" xr3:uid="{C5CE4A7A-19A0-4998-90CC-5DFC72BDD71C}" name="Column15753"/>
    <tableColumn id="15773" xr3:uid="{5038E0AC-D3AA-493D-A608-2BA508BFA3E5}" name="Column15754"/>
    <tableColumn id="15774" xr3:uid="{5FEA8673-DAE6-4D81-99F6-57478E757269}" name="Column15755"/>
    <tableColumn id="15775" xr3:uid="{258E953C-4043-4F74-BBF1-0918071D6DEC}" name="Column15756"/>
    <tableColumn id="15776" xr3:uid="{98AD9E2F-90BF-4D06-848A-695D03FBEA66}" name="Column15757"/>
    <tableColumn id="15777" xr3:uid="{B9829F11-E160-4385-AEEA-23D41176BEC1}" name="Column15758"/>
    <tableColumn id="15778" xr3:uid="{FC17054C-020F-45DD-A75F-72DF05F92705}" name="Column15759"/>
    <tableColumn id="15779" xr3:uid="{D9634003-FA2D-4319-A03F-04A5ED868FBF}" name="Column15760"/>
    <tableColumn id="15780" xr3:uid="{E0AFC261-9C88-4FFC-AE38-A8AE2F7A4BAC}" name="Column15761"/>
    <tableColumn id="15781" xr3:uid="{02D1A480-70B2-4737-AAC8-E49869B8135B}" name="Column15762"/>
    <tableColumn id="15782" xr3:uid="{027D3C5F-2F11-4029-9855-A2F5468F896F}" name="Column15763"/>
    <tableColumn id="15783" xr3:uid="{57615E67-CE51-405A-B7B5-E1CDC184500C}" name="Column15764"/>
    <tableColumn id="15784" xr3:uid="{ADF1FA6E-6CA1-478F-9F31-23E4F8A0E3E0}" name="Column15765"/>
    <tableColumn id="15785" xr3:uid="{910771F0-4A66-45A9-84B2-B9405E8413FD}" name="Column15766"/>
    <tableColumn id="15786" xr3:uid="{19DEE20E-1311-4688-9CFB-901FFD6B1397}" name="Column15767"/>
    <tableColumn id="15787" xr3:uid="{3BC2068F-765D-4B02-AC4D-505EC05B27A5}" name="Column15768"/>
    <tableColumn id="15788" xr3:uid="{16B4C55A-428C-43AA-9071-6A9CED36BB3C}" name="Column15769"/>
    <tableColumn id="15789" xr3:uid="{D30E54EE-6E8C-48F8-BF00-0BA1DF27208F}" name="Column15770"/>
    <tableColumn id="15790" xr3:uid="{7DA2CE22-E000-4BCB-A9DB-C04FC24F6697}" name="Column15771"/>
    <tableColumn id="15791" xr3:uid="{6064DD4A-9AF4-40AE-A634-A40548ABE993}" name="Column15772"/>
    <tableColumn id="15792" xr3:uid="{231671FD-7D65-498F-896D-8E73F1E69C9E}" name="Column15773"/>
    <tableColumn id="15793" xr3:uid="{7AD0BA44-8025-42C4-AC76-0AAD7A950FE8}" name="Column15774"/>
    <tableColumn id="15794" xr3:uid="{5F8D89D2-C4AA-431D-AEAF-63227CCF014E}" name="Column15775"/>
    <tableColumn id="15795" xr3:uid="{8E0DADED-D729-4A32-AFFE-07418B358286}" name="Column15776"/>
    <tableColumn id="15796" xr3:uid="{7604AE35-C422-4FFC-BA24-D1CAE0F4074B}" name="Column15777"/>
    <tableColumn id="15797" xr3:uid="{473581B9-82F0-4A23-8653-925DAC0D7F2E}" name="Column15778"/>
    <tableColumn id="15798" xr3:uid="{83194564-F6EF-4499-8E88-EE80DB3FF57F}" name="Column15779"/>
    <tableColumn id="15799" xr3:uid="{5C9D7143-1966-4AD2-813E-F18DEB3A3F33}" name="Column15780"/>
    <tableColumn id="15800" xr3:uid="{095B0DEF-3A85-4231-B2C6-D970B57843EE}" name="Column15781"/>
    <tableColumn id="15801" xr3:uid="{96107E04-CEE6-4BF9-9C7A-957EE2EAD12B}" name="Column15782"/>
    <tableColumn id="15802" xr3:uid="{799BAD8F-5715-41FB-B4FB-55AC2F668C24}" name="Column15783"/>
    <tableColumn id="15803" xr3:uid="{C13CC3B4-494B-4A1E-B081-DF0B2DA4B9ED}" name="Column15784"/>
    <tableColumn id="15804" xr3:uid="{23194EEB-1B29-4C1A-B7FF-7DEE12C64708}" name="Column15785"/>
    <tableColumn id="15805" xr3:uid="{76249E3F-1EB5-4A09-AA60-F50171D37359}" name="Column15786"/>
    <tableColumn id="15806" xr3:uid="{530A4C35-3062-4E12-A116-CAF546B00A25}" name="Column15787"/>
    <tableColumn id="15807" xr3:uid="{3D3438EE-8604-47B5-8A5E-204429089BC2}" name="Column15788"/>
    <tableColumn id="15808" xr3:uid="{735C973F-0642-41C1-B6E0-A42E89E0B4E0}" name="Column15789"/>
    <tableColumn id="15809" xr3:uid="{4956A53E-9560-4F9E-B299-8139CA124889}" name="Column15790"/>
    <tableColumn id="15810" xr3:uid="{D9CE6C85-EDD6-4D14-9805-772F6AE95A56}" name="Column15791"/>
    <tableColumn id="15811" xr3:uid="{8C72B207-3231-455E-9134-9C269B955212}" name="Column15792"/>
    <tableColumn id="15812" xr3:uid="{EEB94B2F-72E1-4E41-AAF5-69D3E28F06F8}" name="Column15793"/>
    <tableColumn id="15813" xr3:uid="{C0E745A3-0819-44D6-A272-8DD35D3D43CE}" name="Column15794"/>
    <tableColumn id="15814" xr3:uid="{33B3418C-4C89-43B8-A64E-22B0465CD5CD}" name="Column15795"/>
    <tableColumn id="15815" xr3:uid="{FA91805B-F2CE-49A7-9872-D1AB1A832F65}" name="Column15796"/>
    <tableColumn id="15816" xr3:uid="{FE7217C5-7D54-4923-AB45-863CA10AFAAF}" name="Column15797"/>
    <tableColumn id="15817" xr3:uid="{E586456C-5E7D-4ED8-82E3-C5E31D0CAFA5}" name="Column15798"/>
    <tableColumn id="15818" xr3:uid="{7177048D-1BEE-4EA9-9A82-D6829590D8C3}" name="Column15799"/>
    <tableColumn id="15819" xr3:uid="{3E828659-C47E-40B0-8A85-03D0849D98FD}" name="Column15800"/>
    <tableColumn id="15820" xr3:uid="{765CC0DD-8D6E-442F-9C97-F6F9F284D59E}" name="Column15801"/>
    <tableColumn id="15821" xr3:uid="{35C65082-10F4-496B-BDC2-8362FFDCFFC8}" name="Column15802"/>
    <tableColumn id="15822" xr3:uid="{0378100D-0BDA-41D8-BCC0-7C589F04846D}" name="Column15803"/>
    <tableColumn id="15823" xr3:uid="{451B29D5-B47D-4A76-AFC8-997625FFBE6E}" name="Column15804"/>
    <tableColumn id="15824" xr3:uid="{FAC86875-8494-47A4-A498-D12098739C0D}" name="Column15805"/>
    <tableColumn id="15825" xr3:uid="{8EB6A993-A367-421D-9B09-D53CD2E8BC57}" name="Column15806"/>
    <tableColumn id="15826" xr3:uid="{DA366EBF-CB0E-4DF2-961C-EF2F348B5765}" name="Column15807"/>
    <tableColumn id="15827" xr3:uid="{71B5139F-0E43-470D-AF8C-C8D0887FDF10}" name="Column15808"/>
    <tableColumn id="15828" xr3:uid="{5B59A593-FC1B-43A0-B8C2-02B975354EDB}" name="Column15809"/>
    <tableColumn id="15829" xr3:uid="{0DBB74DB-A3F8-4F6F-9A76-D781AC30DB7B}" name="Column15810"/>
    <tableColumn id="15830" xr3:uid="{A72CB9F8-0D4A-4B39-A707-55855B00846A}" name="Column15811"/>
    <tableColumn id="15831" xr3:uid="{07D3201A-1621-4676-BBAB-417DB866D19A}" name="Column15812"/>
    <tableColumn id="15832" xr3:uid="{61F599BF-BB26-47DE-A284-B5F40F954201}" name="Column15813"/>
    <tableColumn id="15833" xr3:uid="{725E248A-A79C-4CCE-AC96-A8648A7542C8}" name="Column15814"/>
    <tableColumn id="15834" xr3:uid="{5D39AA08-552C-4DA7-91E6-C8A15D0FB462}" name="Column15815"/>
    <tableColumn id="15835" xr3:uid="{A26A4975-2CDD-41C7-B601-6E97618B919C}" name="Column15816"/>
    <tableColumn id="15836" xr3:uid="{6E2F1489-665A-4C4D-9989-991B4AF9A387}" name="Column15817"/>
    <tableColumn id="15837" xr3:uid="{4CA040CF-BFDA-4B86-8968-30461575B4CB}" name="Column15818"/>
    <tableColumn id="15838" xr3:uid="{DAB1BD74-02C3-4AEB-8432-9C5662998FBD}" name="Column15819"/>
    <tableColumn id="15839" xr3:uid="{55278F16-75FD-4E74-9471-4F136FFAC819}" name="Column15820"/>
    <tableColumn id="15840" xr3:uid="{FAA2A2D4-CD9B-4D9F-845B-83AE17B697C5}" name="Column15821"/>
    <tableColumn id="15841" xr3:uid="{B68FF059-C8A0-408A-AE3A-81B515A21A24}" name="Column15822"/>
    <tableColumn id="15842" xr3:uid="{FB3DB688-DE37-41BD-BBE7-37C98791420A}" name="Column15823"/>
    <tableColumn id="15843" xr3:uid="{013526C8-D7A3-4655-8738-AF74CF6669B3}" name="Column15824"/>
    <tableColumn id="15844" xr3:uid="{4698A277-D5C5-419D-9505-F0FA1E197741}" name="Column15825"/>
    <tableColumn id="15845" xr3:uid="{3BC81BA1-D139-457A-8F09-BFBEB8C2A695}" name="Column15826"/>
    <tableColumn id="15846" xr3:uid="{56AFE473-FFA0-4ABC-8DEA-A9E9FE119224}" name="Column15827"/>
    <tableColumn id="15847" xr3:uid="{AADA732F-DFF8-4B22-8436-4790E94C2CF0}" name="Column15828"/>
    <tableColumn id="15848" xr3:uid="{A9625492-2350-431D-8C2E-0689A4559F94}" name="Column15829"/>
    <tableColumn id="15849" xr3:uid="{862E406B-D30A-4A62-B007-39D68CA94EC1}" name="Column15830"/>
    <tableColumn id="15850" xr3:uid="{046540E8-1A23-4BE1-B017-43D6DFAD9B9C}" name="Column15831"/>
    <tableColumn id="15851" xr3:uid="{B1F4B37F-6DA3-461C-B7A9-045B8474526D}" name="Column15832"/>
    <tableColumn id="15852" xr3:uid="{6E6EADEB-4D19-4D82-960B-CAA60CD8444D}" name="Column15833"/>
    <tableColumn id="15853" xr3:uid="{8470BEA2-8DA0-4875-97DE-42F561822846}" name="Column15834"/>
    <tableColumn id="15854" xr3:uid="{ABDD2BCD-B137-43F4-998C-1047B1E232AE}" name="Column15835"/>
    <tableColumn id="15855" xr3:uid="{F57A1CB3-6A60-4B76-AC7E-3D6611DA7345}" name="Column15836"/>
    <tableColumn id="15856" xr3:uid="{40D3C92D-B9D4-4449-885F-381498FF83EA}" name="Column15837"/>
    <tableColumn id="15857" xr3:uid="{72DDE65B-F326-4786-AE4E-9BFF56F83F2B}" name="Column15838"/>
    <tableColumn id="15858" xr3:uid="{1CC5ABE0-855B-41FA-92B7-C5EAE3DD6E78}" name="Column15839"/>
    <tableColumn id="15859" xr3:uid="{E9330112-B79A-4332-85EA-43871E780EEB}" name="Column15840"/>
    <tableColumn id="15860" xr3:uid="{75AF57FF-9A17-48A7-95D9-5164E6269D8B}" name="Column15841"/>
    <tableColumn id="15861" xr3:uid="{D43B35A4-4528-47B1-9388-81C3E74FA557}" name="Column15842"/>
    <tableColumn id="15862" xr3:uid="{5AFA4810-F2E0-44A3-A7C2-27C8CB16075A}" name="Column15843"/>
    <tableColumn id="15863" xr3:uid="{FBEE2E41-7740-4A94-A432-1B90E37FB83A}" name="Column15844"/>
    <tableColumn id="15864" xr3:uid="{65181D8D-0BE4-43DF-94B3-328E57D9167A}" name="Column15845"/>
    <tableColumn id="15865" xr3:uid="{EF0F7BE5-798D-4079-8941-F33297C4C62F}" name="Column15846"/>
    <tableColumn id="15866" xr3:uid="{B7595F00-3BD0-4F74-B464-62DFD3C06BF6}" name="Column15847"/>
    <tableColumn id="15867" xr3:uid="{184476A8-B67F-4F97-BF95-FEE0B9188C0F}" name="Column15848"/>
    <tableColumn id="15868" xr3:uid="{BF84B2BA-AA8F-4666-9029-3438F54FFBB0}" name="Column15849"/>
    <tableColumn id="15869" xr3:uid="{0A78852C-88B2-462E-ACC9-961AEEF38D1D}" name="Column15850"/>
    <tableColumn id="15870" xr3:uid="{1492AD9E-B328-4833-811A-BF4FDCF4883C}" name="Column15851"/>
    <tableColumn id="15871" xr3:uid="{2477B486-9BE9-4981-859C-0988121FEA04}" name="Column15852"/>
    <tableColumn id="15872" xr3:uid="{DE0BB927-798C-47D8-9318-602884AE6303}" name="Column15853"/>
    <tableColumn id="15873" xr3:uid="{B38EDB7E-85AD-4712-820B-FB75CFE4DCB6}" name="Column15854"/>
    <tableColumn id="15874" xr3:uid="{588C39A5-E8F3-4091-BBCD-DF18AE6916C3}" name="Column15855"/>
    <tableColumn id="15875" xr3:uid="{8633DDAA-9E16-4BFB-A7AD-01C7EE14D41B}" name="Column15856"/>
    <tableColumn id="15876" xr3:uid="{EE178ACF-13C0-4DA4-9324-7D4DF9459192}" name="Column15857"/>
    <tableColumn id="15877" xr3:uid="{64289C23-F7E7-4C40-8644-84983B12121A}" name="Column15858"/>
    <tableColumn id="15878" xr3:uid="{C2A00572-74EB-4A41-BB46-08F2610D4F07}" name="Column15859"/>
    <tableColumn id="15879" xr3:uid="{6E1A97A2-0C5E-4843-BB16-CEB8485D2F67}" name="Column15860"/>
    <tableColumn id="15880" xr3:uid="{4A9164A4-A43B-4A6E-B950-AC6E159E47A8}" name="Column15861"/>
    <tableColumn id="15881" xr3:uid="{472F4AEB-9492-4B3E-A984-8B6E4182326F}" name="Column15862"/>
    <tableColumn id="15882" xr3:uid="{AB377CA9-EC3A-4608-B5C7-3FCFAE6B6D76}" name="Column15863"/>
    <tableColumn id="15883" xr3:uid="{34C923E8-3916-404E-BBB0-7763EEF8A179}" name="Column15864"/>
    <tableColumn id="15884" xr3:uid="{3EA1D337-62AB-4015-8322-0FA772AEE559}" name="Column15865"/>
    <tableColumn id="15885" xr3:uid="{D37EB767-99E1-422B-9D1A-6EF1C996221B}" name="Column15866"/>
    <tableColumn id="15886" xr3:uid="{6C211591-AC79-477E-9E96-8C0B59E660CF}" name="Column15867"/>
    <tableColumn id="15887" xr3:uid="{5DA4B8EC-4576-46CB-8FA3-CAAC393EBCF4}" name="Column15868"/>
    <tableColumn id="15888" xr3:uid="{0AF3B83F-82A4-47F0-933C-BB117ECAA42C}" name="Column15869"/>
    <tableColumn id="15889" xr3:uid="{7F26EB3D-50B5-4B0E-B712-C7D463CFBF36}" name="Column15870"/>
    <tableColumn id="15890" xr3:uid="{DFF9448E-9899-4CBB-9A9C-8D332ECC57AD}" name="Column15871"/>
    <tableColumn id="15891" xr3:uid="{30837097-56F1-4640-B388-343BD2B7B69F}" name="Column15872"/>
    <tableColumn id="15892" xr3:uid="{90A73FDB-396A-4D7B-A675-E2AEEE183AF8}" name="Column15873"/>
    <tableColumn id="15893" xr3:uid="{FCE0D44D-CA6B-4D90-A478-57BEEA66EBC3}" name="Column15874"/>
    <tableColumn id="15894" xr3:uid="{F941BF93-BD36-4021-8FC5-C44A322884D0}" name="Column15875"/>
    <tableColumn id="15895" xr3:uid="{DE366CAE-3184-46F3-AE18-53F93B06AB57}" name="Column15876"/>
    <tableColumn id="15896" xr3:uid="{702F2BE7-5B40-4780-ACF2-3800210C9B57}" name="Column15877"/>
    <tableColumn id="15897" xr3:uid="{3C4880CE-3A69-4F5B-AF62-FAC21366EAB9}" name="Column15878"/>
    <tableColumn id="15898" xr3:uid="{5338A7D1-6A90-4908-B73C-32FAF107981D}" name="Column15879"/>
    <tableColumn id="15899" xr3:uid="{1A563000-E0B0-4F72-85DE-A9512BD634EA}" name="Column15880"/>
    <tableColumn id="15900" xr3:uid="{42402020-8292-4634-BF65-A8FB9C077D6C}" name="Column15881"/>
    <tableColumn id="15901" xr3:uid="{F4275A32-B8B6-43F0-9AF6-65AF21181ADE}" name="Column15882"/>
    <tableColumn id="15902" xr3:uid="{58192A2F-1C95-4489-B7A3-839E8DFBB601}" name="Column15883"/>
    <tableColumn id="15903" xr3:uid="{077E5733-9A5D-47AC-A47C-7B66D6149AE3}" name="Column15884"/>
    <tableColumn id="15904" xr3:uid="{A7D3BF78-45F3-4E09-B168-490A9BC40EB0}" name="Column15885"/>
    <tableColumn id="15905" xr3:uid="{D88EE30C-392D-43B7-9301-3B6F39ACA64F}" name="Column15886"/>
    <tableColumn id="15906" xr3:uid="{DB1E96F7-61A2-4D00-B012-69B3DC9408F2}" name="Column15887"/>
    <tableColumn id="15907" xr3:uid="{DB8C6942-9CCD-45E6-8700-DD08FFD0514D}" name="Column15888"/>
    <tableColumn id="15908" xr3:uid="{A91B05E2-ABCD-48BA-BC70-D1281C61EDE8}" name="Column15889"/>
    <tableColumn id="15909" xr3:uid="{30CE5540-15C8-4177-B06D-15E6255C7C50}" name="Column15890"/>
    <tableColumn id="15910" xr3:uid="{38C942F8-C5DF-43D0-BB4F-42BBD123EE17}" name="Column15891"/>
    <tableColumn id="15911" xr3:uid="{4E6B6D23-9108-49F7-9ECA-06A7FB78766D}" name="Column15892"/>
    <tableColumn id="15912" xr3:uid="{E0E08C21-6458-463E-BFE3-BA5922859A47}" name="Column15893"/>
    <tableColumn id="15913" xr3:uid="{20F2ECFB-C8FB-4CEF-BA98-CDF12291A240}" name="Column15894"/>
    <tableColumn id="15914" xr3:uid="{A8645237-A794-4AB8-910A-206EFB57C9D4}" name="Column15895"/>
    <tableColumn id="15915" xr3:uid="{2C511610-7222-4F2A-B877-7B8FC3999484}" name="Column15896"/>
    <tableColumn id="15916" xr3:uid="{48524CB0-E214-4B6F-9289-092C13944034}" name="Column15897"/>
    <tableColumn id="15917" xr3:uid="{E069B460-9E16-4208-9B08-CD53A5CC34E4}" name="Column15898"/>
    <tableColumn id="15918" xr3:uid="{DE277F9B-E033-4E44-8201-E47C4C910433}" name="Column15899"/>
    <tableColumn id="15919" xr3:uid="{A134AFA7-C9FD-49A5-B903-B5673C41071B}" name="Column15900"/>
    <tableColumn id="15920" xr3:uid="{7A87FF04-7A44-422D-BF33-71210FCD25BA}" name="Column15901"/>
    <tableColumn id="15921" xr3:uid="{E30587C2-B8E6-49E1-9078-2A50D4143624}" name="Column15902"/>
    <tableColumn id="15922" xr3:uid="{321A381D-DBE9-4B62-9E20-B23B0011CA5D}" name="Column15903"/>
    <tableColumn id="15923" xr3:uid="{DD2165AA-1AB2-4A44-B1FC-42F3033FD17A}" name="Column15904"/>
    <tableColumn id="15924" xr3:uid="{F547FEB0-482B-408C-A464-EF713001ACCD}" name="Column15905"/>
    <tableColumn id="15925" xr3:uid="{54A885BF-02BD-4F96-B915-2F4A6DDB9532}" name="Column15906"/>
    <tableColumn id="15926" xr3:uid="{F9C21DFC-00E2-4AAB-BFFB-F2E220DCDB9D}" name="Column15907"/>
    <tableColumn id="15927" xr3:uid="{1F0BB2F9-5F12-4764-9654-9CA0FF2E739F}" name="Column15908"/>
    <tableColumn id="15928" xr3:uid="{33ECBEFF-E9B1-4D82-BA97-C66BBB1BD40B}" name="Column15909"/>
    <tableColumn id="15929" xr3:uid="{040CB0D6-8C75-4927-BB6A-EEF37F2150BF}" name="Column15910"/>
    <tableColumn id="15930" xr3:uid="{30D259A9-CF5B-4AAA-9BA1-40DCA5893821}" name="Column15911"/>
    <tableColumn id="15931" xr3:uid="{0230C508-FA45-4DC3-800A-8113DAF5AAC5}" name="Column15912"/>
    <tableColumn id="15932" xr3:uid="{7D9B90DD-F597-46C1-A00C-D5201C63625C}" name="Column15913"/>
    <tableColumn id="15933" xr3:uid="{647C5A07-7571-4E4E-9259-EFCF656EF721}" name="Column15914"/>
    <tableColumn id="15934" xr3:uid="{1DC57AC1-92A8-44B8-9BB8-22CF8D1AE7A3}" name="Column15915"/>
    <tableColumn id="15935" xr3:uid="{5255DDB8-E72F-4A5A-9FB3-60C2A8F3D247}" name="Column15916"/>
    <tableColumn id="15936" xr3:uid="{2FE41242-3C42-4708-82A3-006D18BB58E8}" name="Column15917"/>
    <tableColumn id="15937" xr3:uid="{AEEE92C4-F9EE-4592-9A28-69D71C355AF5}" name="Column15918"/>
    <tableColumn id="15938" xr3:uid="{0B0BD679-1DFE-4645-A730-D79309604563}" name="Column15919"/>
    <tableColumn id="15939" xr3:uid="{B1EC9C21-357A-4B17-9CB5-9217C201D98D}" name="Column15920"/>
    <tableColumn id="15940" xr3:uid="{0C3CA99D-0815-4F8A-975C-268D0B1B1923}" name="Column15921"/>
    <tableColumn id="15941" xr3:uid="{79C4E98A-D671-44CB-95AA-142516A4119A}" name="Column15922"/>
    <tableColumn id="15942" xr3:uid="{C272C717-917E-4DC1-A322-57362A61D572}" name="Column15923"/>
    <tableColumn id="15943" xr3:uid="{FE15AC6B-4062-46C0-9127-066522803618}" name="Column15924"/>
    <tableColumn id="15944" xr3:uid="{B7E975DA-5357-4D58-8D91-C27722DB1056}" name="Column15925"/>
    <tableColumn id="15945" xr3:uid="{0541D5D7-9A0C-4B6C-9378-CF2B9CDCC393}" name="Column15926"/>
    <tableColumn id="15946" xr3:uid="{AD41E074-43F5-46BF-99EF-58593BBA2153}" name="Column15927"/>
    <tableColumn id="15947" xr3:uid="{20A43F62-6A44-4CC7-8AB5-50FB1A9C3328}" name="Column15928"/>
    <tableColumn id="15948" xr3:uid="{CAC76CC0-3CBA-49A8-9C36-BEFAE011FACB}" name="Column15929"/>
    <tableColumn id="15949" xr3:uid="{B2B88062-B956-443A-8AF1-9E3371BBF767}" name="Column15930"/>
    <tableColumn id="15950" xr3:uid="{D4AACFDB-D9F1-4A3A-975C-24FFC08454C3}" name="Column15931"/>
    <tableColumn id="15951" xr3:uid="{A34E39A0-4EF5-4D12-9039-7E991637D577}" name="Column15932"/>
    <tableColumn id="15952" xr3:uid="{54D83066-B4A8-4158-828F-386A3C7FAE7B}" name="Column15933"/>
    <tableColumn id="15953" xr3:uid="{AEE85B8E-3815-49D1-B33F-8FF51D9A94FC}" name="Column15934"/>
    <tableColumn id="15954" xr3:uid="{20AF9D95-609E-44B8-87E3-C54CA32297BF}" name="Column15935"/>
    <tableColumn id="15955" xr3:uid="{14EB1166-F027-4BC3-96F5-563237E77001}" name="Column15936"/>
    <tableColumn id="15956" xr3:uid="{CA7F1F26-D9F0-43DF-86F6-2C182AD681ED}" name="Column15937"/>
    <tableColumn id="15957" xr3:uid="{1E709E69-F7E0-42A8-91A8-F8A58622766A}" name="Column15938"/>
    <tableColumn id="15958" xr3:uid="{94AF0A3C-7489-4D28-AD9C-DB35E2451EEB}" name="Column15939"/>
    <tableColumn id="15959" xr3:uid="{52567524-933C-4653-B282-2D01200B0568}" name="Column15940"/>
    <tableColumn id="15960" xr3:uid="{B839C3BC-36E0-4BA9-A132-19AAD66ACA60}" name="Column15941"/>
    <tableColumn id="15961" xr3:uid="{DA5F8CD0-872C-44C5-9525-B3E6B61B99CF}" name="Column15942"/>
    <tableColumn id="15962" xr3:uid="{92A44F48-68C1-45C7-8C39-ACDEDD619A3B}" name="Column15943"/>
    <tableColumn id="15963" xr3:uid="{E252E272-C3F9-43EE-A72E-90E90DD43F4F}" name="Column15944"/>
    <tableColumn id="15964" xr3:uid="{F1CE61CC-1711-48E1-98C2-66A23AA939D9}" name="Column15945"/>
    <tableColumn id="15965" xr3:uid="{D77A920E-2338-4F9D-8BF7-4C4A379200AC}" name="Column15946"/>
    <tableColumn id="15966" xr3:uid="{4FA3237D-CB7C-47B6-8B4E-469DAC59A29F}" name="Column15947"/>
    <tableColumn id="15967" xr3:uid="{831F7F17-1191-4BE4-BA42-B712D8979CCA}" name="Column15948"/>
    <tableColumn id="15968" xr3:uid="{C29DDEBF-0748-4D37-A4EF-5177F503391A}" name="Column15949"/>
    <tableColumn id="15969" xr3:uid="{1805549F-5871-4EC6-959D-F56BA357E349}" name="Column15950"/>
    <tableColumn id="15970" xr3:uid="{1EBDD932-8B03-407D-A9CD-943D8C6BB53B}" name="Column15951"/>
    <tableColumn id="15971" xr3:uid="{0D3D3651-D56D-46DB-97C4-BB51ADACAAED}" name="Column15952"/>
    <tableColumn id="15972" xr3:uid="{B479A6AB-3815-4584-BA9E-F87A79A1C455}" name="Column15953"/>
    <tableColumn id="15973" xr3:uid="{D4849BFD-752B-4302-A09B-5C819FD5CC39}" name="Column15954"/>
    <tableColumn id="15974" xr3:uid="{B683FB2E-B137-4883-A161-33C2E2F5100D}" name="Column15955"/>
    <tableColumn id="15975" xr3:uid="{8FBF950E-2A53-47B5-9469-7444D3FCEDAA}" name="Column15956"/>
    <tableColumn id="15976" xr3:uid="{2E72C531-E1EC-42E0-9625-89587B10D9DB}" name="Column15957"/>
    <tableColumn id="15977" xr3:uid="{83A7AC03-FD8E-4BA7-9C0F-EBC0DAC26747}" name="Column15958"/>
    <tableColumn id="15978" xr3:uid="{57393C51-5EE8-4BFA-B2D7-52A470DF103C}" name="Column15959"/>
    <tableColumn id="15979" xr3:uid="{9F717105-B63A-4F57-ABE7-9CFA1007F795}" name="Column15960"/>
    <tableColumn id="15980" xr3:uid="{FBF86B38-6BD3-43EA-90EB-168647549B56}" name="Column15961"/>
    <tableColumn id="15981" xr3:uid="{E278201C-E7A5-44B2-AA84-BAABBDC827DD}" name="Column15962"/>
    <tableColumn id="15982" xr3:uid="{E2A9322F-074F-4732-96DE-A27E4952153F}" name="Column15963"/>
    <tableColumn id="15983" xr3:uid="{B80B3988-C5F6-4223-83B7-5AE65B5EE2EA}" name="Column15964"/>
    <tableColumn id="15984" xr3:uid="{0D7088A0-4D24-49C4-80FC-3DE40407F1AC}" name="Column15965"/>
    <tableColumn id="15985" xr3:uid="{3AA99101-8C3C-49B1-BD26-9ED2910DDE68}" name="Column15966"/>
    <tableColumn id="15986" xr3:uid="{7C15A70B-C436-41C6-933E-FE82BFCEC0E9}" name="Column15967"/>
    <tableColumn id="15987" xr3:uid="{650AB6FD-E9BD-4116-A536-9739E84AF391}" name="Column15968"/>
    <tableColumn id="15988" xr3:uid="{B8F6FF85-E433-4D6E-B24D-5E51D8EB0C92}" name="Column15969"/>
    <tableColumn id="15989" xr3:uid="{7C43B993-E700-446F-BA97-063B3E2A5EA9}" name="Column15970"/>
    <tableColumn id="15990" xr3:uid="{CB0E23D8-C57E-4E2D-A7FE-9C6602B825D7}" name="Column15971"/>
    <tableColumn id="15991" xr3:uid="{91646C65-2130-4445-A64E-3D57B769EC99}" name="Column15972"/>
    <tableColumn id="15992" xr3:uid="{F0446147-E6DE-4E9F-821C-2A35D47A37EB}" name="Column15973"/>
    <tableColumn id="15993" xr3:uid="{EA4180D5-25DA-427F-8723-6F0482CC22CF}" name="Column15974"/>
    <tableColumn id="15994" xr3:uid="{CBB95E0A-270A-4B9E-B347-266A89531DA1}" name="Column15975"/>
    <tableColumn id="15995" xr3:uid="{9487A5A2-942F-47D3-85CB-112B08EA1C74}" name="Column15976"/>
    <tableColumn id="15996" xr3:uid="{555453AF-3725-4D49-8BEA-8D62EADD0574}" name="Column15977"/>
    <tableColumn id="15997" xr3:uid="{B361FE1A-E0EF-47E2-856E-906BA6EAD064}" name="Column15978"/>
    <tableColumn id="15998" xr3:uid="{C5C8A88B-9451-4462-950D-230DE3E293AA}" name="Column15979"/>
    <tableColumn id="15999" xr3:uid="{281B3F1E-D1DA-46F0-AF2A-0F197CCC7873}" name="Column15980"/>
    <tableColumn id="16000" xr3:uid="{8F4345D6-8D99-4C35-A100-EAD0025B5061}" name="Column15981"/>
    <tableColumn id="16001" xr3:uid="{BA90EFFD-0058-476F-B970-F7C4D8F462C3}" name="Column15982"/>
    <tableColumn id="16002" xr3:uid="{86D8D0DA-4FA5-458A-AD24-7DB914D96C54}" name="Column15983"/>
    <tableColumn id="16003" xr3:uid="{651E443F-F909-454E-A143-017BA298CE0E}" name="Column15984"/>
    <tableColumn id="16004" xr3:uid="{E0F5987A-7209-4B96-B64C-F461000D8E04}" name="Column15985"/>
    <tableColumn id="16005" xr3:uid="{F14E50C3-BEA5-4128-B776-0040186C63CD}" name="Column15986"/>
    <tableColumn id="16006" xr3:uid="{A68E48DE-E079-4020-BAFA-F40A44171971}" name="Column15987"/>
    <tableColumn id="16007" xr3:uid="{F47FBF60-B3D6-4488-AB44-41AD77073F71}" name="Column15988"/>
    <tableColumn id="16008" xr3:uid="{9C04373E-4238-45FD-8AC7-B019D7490020}" name="Column15989"/>
    <tableColumn id="16009" xr3:uid="{CA878148-3220-4FB0-B293-576A4FD50EB1}" name="Column15990"/>
    <tableColumn id="16010" xr3:uid="{C4C9103D-5589-4D02-8C8C-2E27992261B4}" name="Column15991"/>
    <tableColumn id="16011" xr3:uid="{3AED122A-4DE1-49C9-A9CE-12B0FCBC639E}" name="Column15992"/>
    <tableColumn id="16012" xr3:uid="{8ED74046-D542-4659-AA1E-7B530799E1E7}" name="Column15993"/>
    <tableColumn id="16013" xr3:uid="{4024B67D-5B97-4423-B0A5-68BB0A4B540A}" name="Column15994"/>
    <tableColumn id="16014" xr3:uid="{B6F22174-D8CA-4BBB-9D92-E5518FFDBF64}" name="Column15995"/>
    <tableColumn id="16015" xr3:uid="{12DAB347-8928-4C4D-B26C-86B49D7989DF}" name="Column15996"/>
    <tableColumn id="16016" xr3:uid="{D144AEE6-2D15-434F-93E5-3E69E62672C8}" name="Column15997"/>
    <tableColumn id="16017" xr3:uid="{01046A2A-E10C-44C2-8A8E-2C64956D81F6}" name="Column15998"/>
    <tableColumn id="16018" xr3:uid="{5D25FF87-AA30-4B3E-B559-0D0D5402239C}" name="Column15999"/>
    <tableColumn id="16019" xr3:uid="{8F95C3C4-25C8-42CC-9CC7-9441D7D925EE}" name="Column16000"/>
    <tableColumn id="16020" xr3:uid="{02E529D2-829C-47B9-B88F-360E4FD68998}" name="Column16001"/>
    <tableColumn id="16021" xr3:uid="{9290F82A-A35F-4EA9-8564-DDE09E299DE5}" name="Column16002"/>
    <tableColumn id="16022" xr3:uid="{A412DD25-B9E4-4C17-A5AA-A9ED81514CAF}" name="Column16003"/>
    <tableColumn id="16023" xr3:uid="{C8DBF7D1-DD2F-4E35-9E5B-6F36B2C714F4}" name="Column16004"/>
    <tableColumn id="16024" xr3:uid="{C585D0EE-EB8F-4075-BF7E-AFB02DE240DB}" name="Column16005"/>
    <tableColumn id="16025" xr3:uid="{63064165-46EA-4B87-A6EC-7C00891492B6}" name="Column16006"/>
    <tableColumn id="16026" xr3:uid="{123E6D8C-DFC7-4ED0-8ABE-B3A790587C11}" name="Column16007"/>
    <tableColumn id="16027" xr3:uid="{970BA043-B11F-4B48-95DF-CAB941ACE556}" name="Column16008"/>
    <tableColumn id="16028" xr3:uid="{54D59663-F085-416B-97EF-E11FDFB5043C}" name="Column16009"/>
    <tableColumn id="16029" xr3:uid="{C0D68042-B35A-4577-A39F-CAEFDF415039}" name="Column16010"/>
    <tableColumn id="16030" xr3:uid="{F76955A5-86EF-427D-950C-066672741692}" name="Column16011"/>
    <tableColumn id="16031" xr3:uid="{62943FFD-3031-4B3D-8D2B-59D1128B87D6}" name="Column16012"/>
    <tableColumn id="16032" xr3:uid="{E874C440-D82D-42D2-873A-7E5374E74A46}" name="Column16013"/>
    <tableColumn id="16033" xr3:uid="{6C85D12C-9791-4606-8E4D-A5BCA1063F4D}" name="Column16014"/>
    <tableColumn id="16034" xr3:uid="{118E5BE1-0084-446A-BA12-73726B2F5B22}" name="Column16015"/>
    <tableColumn id="16035" xr3:uid="{26132640-BCD8-4FA6-895F-06EF64B30202}" name="Column16016"/>
    <tableColumn id="16036" xr3:uid="{A1CBC3FA-08FF-44A5-8250-893BD3C5C49F}" name="Column16017"/>
    <tableColumn id="16037" xr3:uid="{2674B99E-DFDB-4FCC-B8CE-0D054D1E02C7}" name="Column16018"/>
    <tableColumn id="16038" xr3:uid="{672B89BE-ED39-43E5-A619-D48E381321D0}" name="Column16019"/>
    <tableColumn id="16039" xr3:uid="{DB6B6EFB-1EC3-462A-A91B-F78D3F837733}" name="Column16020"/>
    <tableColumn id="16040" xr3:uid="{4F96713E-EA31-40C5-8664-B8A4024E7D24}" name="Column16021"/>
    <tableColumn id="16041" xr3:uid="{52875A19-FD61-4BA8-9432-DBB6095BFCF4}" name="Column16022"/>
    <tableColumn id="16042" xr3:uid="{C91BD50C-2317-4F24-9E76-FBA59D8840EB}" name="Column16023"/>
    <tableColumn id="16043" xr3:uid="{FC3560B7-5885-4C89-B2A7-AE57027F695F}" name="Column16024"/>
    <tableColumn id="16044" xr3:uid="{4C4C816F-8B21-4E84-A724-3B51E6E6243A}" name="Column16025"/>
    <tableColumn id="16045" xr3:uid="{942318A6-CF0D-4366-A24B-D4868774B120}" name="Column16026"/>
    <tableColumn id="16046" xr3:uid="{4575E46F-0752-4D51-BB62-0C8226251F3C}" name="Column16027"/>
    <tableColumn id="16047" xr3:uid="{54D16C00-1C63-4932-8E0F-6F8686F08679}" name="Column16028"/>
    <tableColumn id="16048" xr3:uid="{1F8841E4-3898-4B14-ABBB-0AA804A46AC3}" name="Column16029"/>
    <tableColumn id="16049" xr3:uid="{BE20F491-5668-49A4-B958-037E39200B46}" name="Column16030"/>
    <tableColumn id="16050" xr3:uid="{A7BF1DC7-DCCF-4E55-9658-6A0CD4657532}" name="Column16031"/>
    <tableColumn id="16051" xr3:uid="{82902A6E-65D9-4075-8CA5-D7754B03A4F8}" name="Column16032"/>
    <tableColumn id="16052" xr3:uid="{4920BA72-0EF3-419E-8F4C-83551584F687}" name="Column16033"/>
    <tableColumn id="16053" xr3:uid="{6E4090C6-0B32-4109-B2E4-202DA3D24FA3}" name="Column16034"/>
    <tableColumn id="16054" xr3:uid="{029376C0-6A71-463B-868A-32FD2C54524F}" name="Column16035"/>
    <tableColumn id="16055" xr3:uid="{BDDD30DB-768C-429C-BAE7-59BE9B9712D6}" name="Column16036"/>
    <tableColumn id="16056" xr3:uid="{7C2CA7B5-F6D8-4108-8C94-9E13F516C8B7}" name="Column16037"/>
    <tableColumn id="16057" xr3:uid="{E60924D0-870D-43D9-8E4D-BEFDC200AF0C}" name="Column16038"/>
    <tableColumn id="16058" xr3:uid="{8B4167B3-C8EE-464F-AF4A-BFF5C1FA2221}" name="Column16039"/>
    <tableColumn id="16059" xr3:uid="{525A28AD-5759-424F-AF22-488D092F498D}" name="Column16040"/>
    <tableColumn id="16060" xr3:uid="{029059FE-F2A3-48D9-9A82-9D10719393EB}" name="Column16041"/>
    <tableColumn id="16061" xr3:uid="{710D5E2A-B336-4B81-99C5-4E9B2C58B6DD}" name="Column16042"/>
    <tableColumn id="16062" xr3:uid="{39DCC428-6541-453B-9BE2-99AC9B2DA753}" name="Column16043"/>
    <tableColumn id="16063" xr3:uid="{03A6371E-1689-4CDA-AEC6-7A4E7A3B3187}" name="Column16044"/>
    <tableColumn id="16064" xr3:uid="{3D276B73-0A02-4155-8B1C-CD4D86CAEA53}" name="Column16045"/>
    <tableColumn id="16065" xr3:uid="{16086149-5D64-4B3D-BB7A-B6004BDCF2C5}" name="Column16046"/>
    <tableColumn id="16066" xr3:uid="{6E2F7498-FF2F-4FD0-85DC-1E253E0578F7}" name="Column16047"/>
    <tableColumn id="16067" xr3:uid="{C53DB021-128D-4244-9BFE-8D45A8005CA8}" name="Column16048"/>
    <tableColumn id="16068" xr3:uid="{5C0F1000-4C7A-4829-B795-84871FE62AEB}" name="Column16049"/>
    <tableColumn id="16069" xr3:uid="{16ADC88C-F568-4126-BBE7-4A451D776952}" name="Column16050"/>
    <tableColumn id="16070" xr3:uid="{3FA34E69-1135-48F8-9B98-1835277DA521}" name="Column16051"/>
    <tableColumn id="16071" xr3:uid="{9DE4927E-F5A6-443E-8E51-A277C5E3252B}" name="Column16052"/>
    <tableColumn id="16072" xr3:uid="{29A5FD61-2DE6-4E08-A1BF-91BC72D73AD5}" name="Column16053"/>
    <tableColumn id="16073" xr3:uid="{786A2E07-0252-48DC-A95E-966D570836E3}" name="Column16054"/>
    <tableColumn id="16074" xr3:uid="{612B99EB-74F4-4F0C-8A01-E86B409559F3}" name="Column16055"/>
    <tableColumn id="16075" xr3:uid="{946EFEBA-C341-4A46-9F47-D3F578342916}" name="Column16056"/>
    <tableColumn id="16076" xr3:uid="{109B0E57-CCA5-4179-A437-6CCFC7D6846F}" name="Column16057"/>
    <tableColumn id="16077" xr3:uid="{43472D4B-2F06-4375-ACA3-F9CBC1DAE86B}" name="Column16058"/>
    <tableColumn id="16078" xr3:uid="{820E4DC1-0C45-4AAB-8545-56745C70BFFF}" name="Column16059"/>
    <tableColumn id="16079" xr3:uid="{59791B01-47AA-46F1-AD2F-9776FB6C4843}" name="Column16060"/>
    <tableColumn id="16080" xr3:uid="{A9392083-CBBB-4448-A7FD-C0DE1F2E05B5}" name="Column16061"/>
    <tableColumn id="16081" xr3:uid="{F6585214-CDE8-4E7D-A44D-9977FA596E42}" name="Column16062"/>
    <tableColumn id="16082" xr3:uid="{22E54946-7580-4D84-86AE-7BB66DB27598}" name="Column16063"/>
    <tableColumn id="16083" xr3:uid="{5A2E1D52-1992-4C78-B930-94C62CD60397}" name="Column16064"/>
    <tableColumn id="16084" xr3:uid="{3D85B715-4BA7-4068-8B97-5872A06CB389}" name="Column16065"/>
    <tableColumn id="16085" xr3:uid="{CE95DE4C-CA9D-4812-9962-2D36C5117996}" name="Column16066"/>
    <tableColumn id="16086" xr3:uid="{0E22C1FE-3D08-45A8-A429-E768600D8C6F}" name="Column16067"/>
    <tableColumn id="16087" xr3:uid="{AEF2AA29-D7A4-48E0-91B3-193EFED4828F}" name="Column16068"/>
    <tableColumn id="16088" xr3:uid="{5F6876F0-FD4C-46F8-97E9-9F3A2C1E9F1C}" name="Column16069"/>
    <tableColumn id="16089" xr3:uid="{92A3DCB9-B7FB-45D3-BBB5-BE453732A86E}" name="Column16070"/>
    <tableColumn id="16090" xr3:uid="{1125343A-7091-42EA-9D0A-43FDECEFA87E}" name="Column16071"/>
    <tableColumn id="16091" xr3:uid="{18BCD821-DC99-40A1-A939-425DE51D01E5}" name="Column16072"/>
    <tableColumn id="16092" xr3:uid="{FD3D9721-0896-47F3-AF7E-9AD097FB0BEB}" name="Column16073"/>
    <tableColumn id="16093" xr3:uid="{9690B346-3B79-403D-95C0-AB3E749E7BFF}" name="Column16074"/>
    <tableColumn id="16094" xr3:uid="{C56C2B45-23E1-4FF5-B661-A7AD2D55251E}" name="Column16075"/>
    <tableColumn id="16095" xr3:uid="{04F7385C-1965-4735-BC17-39EBADDC3F0C}" name="Column16076"/>
    <tableColumn id="16096" xr3:uid="{F0A7B142-FD11-41DF-961E-962A40924B57}" name="Column16077"/>
    <tableColumn id="16097" xr3:uid="{B015E4F4-A470-469C-8736-C3AB5326843C}" name="Column16078"/>
    <tableColumn id="16098" xr3:uid="{285F4842-28F3-4A68-94C7-8150B06660B4}" name="Column16079"/>
    <tableColumn id="16099" xr3:uid="{C601C309-4C4F-4A15-BFCE-D80CA5830E51}" name="Column16080"/>
    <tableColumn id="16100" xr3:uid="{EB555128-43D9-4C54-A040-6B86D617893C}" name="Column16081"/>
    <tableColumn id="16101" xr3:uid="{7E7B1F42-4D92-484A-8DBC-450552158FC0}" name="Column16082"/>
    <tableColumn id="16102" xr3:uid="{7E75B357-8F09-4BF8-945E-CF2D20797EF1}" name="Column16083"/>
    <tableColumn id="16103" xr3:uid="{285C2854-471A-4141-8482-42014957235A}" name="Column16084"/>
    <tableColumn id="16104" xr3:uid="{D16CB601-9C15-4829-9BD8-118A20B72E7D}" name="Column16085"/>
    <tableColumn id="16105" xr3:uid="{371291D7-5578-4C9E-941D-A076F0D0C366}" name="Column16086"/>
    <tableColumn id="16106" xr3:uid="{5FB31225-8505-475D-BFFB-AC213063AD4C}" name="Column16087"/>
    <tableColumn id="16107" xr3:uid="{88DDCB8C-D150-48B6-A2E8-3A6D4B8FE465}" name="Column16088"/>
    <tableColumn id="16108" xr3:uid="{52C54ECE-8F17-466C-979E-6C61F52038E3}" name="Column16089"/>
    <tableColumn id="16109" xr3:uid="{50E40832-AAEB-4836-BA60-2EBE5703DA39}" name="Column16090"/>
    <tableColumn id="16110" xr3:uid="{BC3D1C24-0B21-4961-9830-6B63AB29FBB4}" name="Column16091"/>
    <tableColumn id="16111" xr3:uid="{F36AB6A1-1FAA-46BE-8956-CE8D485261B7}" name="Column16092"/>
    <tableColumn id="16112" xr3:uid="{EB8E8F52-ED75-4211-B494-2D0B5BBAC751}" name="Column16093"/>
    <tableColumn id="16113" xr3:uid="{540F5685-D203-4B91-865C-D7A8D2639D13}" name="Column16094"/>
    <tableColumn id="16114" xr3:uid="{BC9A01D4-C9B1-43DC-956D-553B3184944A}" name="Column16095"/>
    <tableColumn id="16115" xr3:uid="{39779063-071A-4258-8043-E597734FA03E}" name="Column16096"/>
    <tableColumn id="16116" xr3:uid="{266E8004-118E-457C-9C45-D7039E73F907}" name="Column16097"/>
    <tableColumn id="16117" xr3:uid="{EB99C51F-F035-458C-B9F5-E4BB39298E19}" name="Column16098"/>
    <tableColumn id="16118" xr3:uid="{3AE3BFEB-3E7E-4B2B-B1EB-FE59BAD6F086}" name="Column16099"/>
    <tableColumn id="16119" xr3:uid="{F2CA2C20-00D0-4805-B42B-37AD1E4253E6}" name="Column16100"/>
    <tableColumn id="16120" xr3:uid="{FBD0FC57-8004-4509-8B85-44C06F11409A}" name="Column16101"/>
    <tableColumn id="16121" xr3:uid="{1BFEEAEB-7378-4558-B703-CA588FF25D60}" name="Column16102"/>
    <tableColumn id="16122" xr3:uid="{7AD4DD5A-9F94-40F0-A5F0-0E784E8D5922}" name="Column16103"/>
    <tableColumn id="16123" xr3:uid="{FA99DA9F-8743-4768-B20E-A951B61C657F}" name="Column16104"/>
    <tableColumn id="16124" xr3:uid="{6975D223-8F5A-4882-B3CC-08A47DEDC9DB}" name="Column16105"/>
    <tableColumn id="16125" xr3:uid="{60AB6783-6CD3-4137-91B9-042A1C157CE8}" name="Column16106"/>
    <tableColumn id="16126" xr3:uid="{453B770F-1C73-4D22-A36D-72B42CB06185}" name="Column16107"/>
    <tableColumn id="16127" xr3:uid="{CC2613E6-C68C-43F8-9BEE-33692ED41BB4}" name="Column16108"/>
    <tableColumn id="16128" xr3:uid="{EB0B42DC-3A93-4237-99F1-8318F1A7D250}" name="Column16109"/>
    <tableColumn id="16129" xr3:uid="{E43AFC44-0592-418F-B33B-053976AA25EE}" name="Column16110"/>
    <tableColumn id="16130" xr3:uid="{8A6FD041-EB9F-433B-B905-B700C2DACE8C}" name="Column16111"/>
    <tableColumn id="16131" xr3:uid="{52F7426F-16FF-4AEC-8C3E-535EC657E1FC}" name="Column16112"/>
    <tableColumn id="16132" xr3:uid="{1455C446-683C-4B2B-B4C3-7560091F3FC1}" name="Column16113"/>
    <tableColumn id="16133" xr3:uid="{95B4C5E7-04E1-4BA8-9A69-AD75B99FB710}" name="Column16114"/>
    <tableColumn id="16134" xr3:uid="{118C75C8-71FA-492B-ABDC-D66F5EBBDA4C}" name="Column16115"/>
    <tableColumn id="16135" xr3:uid="{4C012692-19EB-47CB-8FC5-D2564ED1B548}" name="Column16116"/>
    <tableColumn id="16136" xr3:uid="{B2E5F708-1090-4107-AD73-0C3EB77F3440}" name="Column16117"/>
    <tableColumn id="16137" xr3:uid="{096E33D5-6027-4557-9036-39DEC746E7E6}" name="Column16118"/>
    <tableColumn id="16138" xr3:uid="{2ADA5726-D839-44EC-9E63-D0BF92C5A537}" name="Column16119"/>
    <tableColumn id="16139" xr3:uid="{24938397-380D-4BA8-894D-B193452A0357}" name="Column16120"/>
    <tableColumn id="16140" xr3:uid="{3779E8E7-3620-4541-B408-5722AA79D576}" name="Column16121"/>
    <tableColumn id="16141" xr3:uid="{71899D57-E3EC-4528-8376-87CE65E4E3F1}" name="Column16122"/>
    <tableColumn id="16142" xr3:uid="{E63937EB-E3EC-4586-B4C4-91F311CD151F}" name="Column16123"/>
    <tableColumn id="16143" xr3:uid="{4B5233D0-5FBD-4467-A850-A2DECB90DB4F}" name="Column16124"/>
    <tableColumn id="16144" xr3:uid="{EBD5D38A-2913-469D-B951-7915D8B3ACF2}" name="Column16125"/>
    <tableColumn id="16145" xr3:uid="{A6DD34ED-891F-482D-9506-9987377C860B}" name="Column16126"/>
    <tableColumn id="16146" xr3:uid="{673896EB-9D56-445B-8680-BE357B17ED3C}" name="Column16127"/>
    <tableColumn id="16147" xr3:uid="{92535558-EE1F-4DB3-98FF-EB610107783A}" name="Column16128"/>
    <tableColumn id="16148" xr3:uid="{DBACC31A-FCE6-45A0-973A-1DA162CCA62F}" name="Column16129"/>
    <tableColumn id="16149" xr3:uid="{7ECE0526-B422-470F-AA87-13BE870E4127}" name="Column16130"/>
    <tableColumn id="16150" xr3:uid="{B280403B-15A6-4A2A-A017-AB16F8F4EC7A}" name="Column16131"/>
    <tableColumn id="16151" xr3:uid="{2EC2E28D-AB3C-419C-81FD-13E67E4B34DC}" name="Column16132"/>
    <tableColumn id="16152" xr3:uid="{6619D936-5F38-444D-B7B4-15D479B7A9A2}" name="Column16133"/>
    <tableColumn id="16153" xr3:uid="{DEECF412-BD14-4E20-8325-DB0F7D3CBDB2}" name="Column16134"/>
    <tableColumn id="16154" xr3:uid="{2F0700AC-F657-450B-95CB-0D93CF555E10}" name="Column16135"/>
    <tableColumn id="16155" xr3:uid="{1CD3EF73-B1ED-4F2B-B646-D16601A344A6}" name="Column16136"/>
    <tableColumn id="16156" xr3:uid="{C3154846-9E76-435E-913F-FB6451D82BE5}" name="Column16137"/>
    <tableColumn id="16157" xr3:uid="{49C0C062-4999-42D8-B064-E02F6F0D98BC}" name="Column16138"/>
    <tableColumn id="16158" xr3:uid="{348ED717-6D34-439E-8132-DEEFECDD5462}" name="Column16139"/>
    <tableColumn id="16159" xr3:uid="{1CD739DB-270A-4EA8-8770-B5DB186EDE31}" name="Column16140"/>
    <tableColumn id="16160" xr3:uid="{B31EC8C1-416C-43CA-A804-CC4064703629}" name="Column16141"/>
    <tableColumn id="16161" xr3:uid="{EFB259B0-11E3-4D45-89F1-BBCCCC087E0B}" name="Column16142"/>
    <tableColumn id="16162" xr3:uid="{0AF4F50F-5EA1-4BDC-861D-88FCE19D5B85}" name="Column16143"/>
    <tableColumn id="16163" xr3:uid="{AF6B2928-4282-44E4-9A4C-3D50DCE30BEE}" name="Column16144"/>
    <tableColumn id="16164" xr3:uid="{7E61847A-BC04-4DD4-A34A-81F25F016BAD}" name="Column16145"/>
    <tableColumn id="16165" xr3:uid="{EC368CE1-58B1-4A27-AC29-92D38C0AD9C5}" name="Column16146"/>
    <tableColumn id="16166" xr3:uid="{D021AD3F-37A7-4268-B30D-3826ACD64041}" name="Column16147"/>
    <tableColumn id="16167" xr3:uid="{19F1BA42-070E-4B48-B87E-CE6268D5595D}" name="Column16148"/>
    <tableColumn id="16168" xr3:uid="{EBB7FE28-CA1C-4328-82E4-FF244F3B69C1}" name="Column16149"/>
    <tableColumn id="16169" xr3:uid="{DDF2E85F-E82E-496E-8DB4-55329996DCA7}" name="Column16150"/>
    <tableColumn id="16170" xr3:uid="{C5939504-9D02-47C3-875C-272E85B39B1F}" name="Column16151"/>
    <tableColumn id="16171" xr3:uid="{7C08699C-E40B-4B67-A950-0B5DA30A6905}" name="Column16152"/>
    <tableColumn id="16172" xr3:uid="{A38D47D3-4E5A-45A4-B000-01567B629DA3}" name="Column16153"/>
    <tableColumn id="16173" xr3:uid="{901CD69A-9D25-4EC6-9D1F-08700E96B726}" name="Column16154"/>
    <tableColumn id="16174" xr3:uid="{B93B5C8F-62C8-4DDA-9C4A-75060CCF095D}" name="Column16155"/>
    <tableColumn id="16175" xr3:uid="{9E741D67-BB43-4C08-B998-C6370E0DC96D}" name="Column16156"/>
    <tableColumn id="16176" xr3:uid="{C725E844-9D7C-4FC7-A924-01BA6E171048}" name="Column16157"/>
    <tableColumn id="16177" xr3:uid="{E1A065C1-E385-4A8A-99F3-F4938AEB674E}" name="Column16158"/>
    <tableColumn id="16178" xr3:uid="{19C14829-0671-4BF3-B1C9-E56695249A61}" name="Column16159"/>
    <tableColumn id="16179" xr3:uid="{89475F78-A8B3-4269-BB4D-905FC1D65CC3}" name="Column16160"/>
    <tableColumn id="16180" xr3:uid="{8D1BFDC6-4CC3-4BC7-AF13-C7FBF7C9B89C}" name="Column16161"/>
    <tableColumn id="16181" xr3:uid="{079EFDC2-2705-4771-B21D-8AF381EEE761}" name="Column16162"/>
    <tableColumn id="16182" xr3:uid="{E8382B29-B628-49BC-995D-E81F716739E7}" name="Column16163"/>
    <tableColumn id="16183" xr3:uid="{06C4FEF0-A3FC-4309-A66E-E07E913EE1C7}" name="Column16164"/>
    <tableColumn id="16184" xr3:uid="{872901AF-9BEA-406D-B0F5-F5E374223048}" name="Column16165"/>
    <tableColumn id="16185" xr3:uid="{4BBD3A0C-0306-4BE5-A68F-6278532B0EDF}" name="Column16166"/>
    <tableColumn id="16186" xr3:uid="{6573E060-A38E-4922-BBEE-DA49F7478528}" name="Column16167"/>
    <tableColumn id="16187" xr3:uid="{18638B09-7331-4070-A93E-377B1CA136C7}" name="Column16168"/>
    <tableColumn id="16188" xr3:uid="{58B37852-5649-4094-9343-386D273627DE}" name="Column16169"/>
    <tableColumn id="16189" xr3:uid="{4366B151-9358-4644-A537-5E9E3F79E1EB}" name="Column16170"/>
    <tableColumn id="16190" xr3:uid="{0886D41D-9825-4CFC-91A6-3254A4A470A8}" name="Column16171"/>
    <tableColumn id="16191" xr3:uid="{DBAD2E61-1B5D-43B2-936F-CB5B338D43FE}" name="Column16172"/>
    <tableColumn id="16192" xr3:uid="{F0DEA1D3-4526-4025-A19E-77FC58F4CAFC}" name="Column16173"/>
    <tableColumn id="16193" xr3:uid="{CF62472A-4F31-4A21-B2E6-15816C565B9A}" name="Column16174"/>
    <tableColumn id="16194" xr3:uid="{11F6A7B1-BD8C-48F9-8AF5-2F016CA39CCD}" name="Column16175"/>
    <tableColumn id="16195" xr3:uid="{9F6297EE-8D83-491F-923A-65CF53B13F3E}" name="Column16176"/>
    <tableColumn id="16196" xr3:uid="{090B7FBE-21C0-4282-98C1-5E9614C00B42}" name="Column16177"/>
    <tableColumn id="16197" xr3:uid="{047E016D-BF6B-4C27-9816-7A18D657A7FB}" name="Column16178"/>
    <tableColumn id="16198" xr3:uid="{B673E565-548D-4D67-AEE0-ACDD429A27FE}" name="Column16179"/>
    <tableColumn id="16199" xr3:uid="{5064DFC3-0BBF-4FDF-AFE8-BE6B159860B6}" name="Column16180"/>
    <tableColumn id="16200" xr3:uid="{BA870081-B7FA-4C96-95B1-3DF0553C2151}" name="Column16181"/>
    <tableColumn id="16201" xr3:uid="{9CEBBDB7-8703-45A9-8ACB-4ED4687D37B7}" name="Column16182"/>
    <tableColumn id="16202" xr3:uid="{459933FA-985B-46B2-9CA5-6373C93B02CC}" name="Column16183"/>
    <tableColumn id="16203" xr3:uid="{965CB8EB-8BC4-479F-98E6-88099D6DB24B}" name="Column16184"/>
    <tableColumn id="16204" xr3:uid="{52C8BEA3-3A57-4786-89CD-D6C81D24002C}" name="Column16185"/>
    <tableColumn id="16205" xr3:uid="{ECDA348D-E182-464C-9A75-C54E432D288B}" name="Column16186"/>
    <tableColumn id="16206" xr3:uid="{B9879807-2B38-4727-A3DF-1BE9887A923D}" name="Column16187"/>
    <tableColumn id="16207" xr3:uid="{161EAB46-00A9-456F-9F6D-68DC62BD84C9}" name="Column16188"/>
    <tableColumn id="16208" xr3:uid="{370846C3-622D-4389-9376-9B71F662667E}" name="Column16189"/>
    <tableColumn id="16209" xr3:uid="{2CDB1ED3-7308-4081-AC9A-B19EAA390249}" name="Column16190"/>
    <tableColumn id="16210" xr3:uid="{0B424A59-11FE-44CA-8BE6-192315A72749}" name="Column16191"/>
    <tableColumn id="16211" xr3:uid="{6FF159F5-747E-40C9-93AC-C05112BFEAFB}" name="Column16192"/>
    <tableColumn id="16212" xr3:uid="{8180360A-EFB1-4F44-B58F-0CE1ADF5C6F9}" name="Column16193"/>
    <tableColumn id="16213" xr3:uid="{1E837B96-92D4-4513-AB5F-30CC538EB32E}" name="Column16194"/>
    <tableColumn id="16214" xr3:uid="{31B2B2D2-7713-4E72-B5FD-D8FDE82DC1D8}" name="Column16195"/>
    <tableColumn id="16215" xr3:uid="{15829DC1-CA18-4646-9CC3-2E1886557FB2}" name="Column16196"/>
    <tableColumn id="16216" xr3:uid="{0E1CEA70-6862-4C0E-9D8E-EA3D42C1D0D2}" name="Column16197"/>
    <tableColumn id="16217" xr3:uid="{D8C73C4A-E0CB-4DC5-B418-59768B1E53CD}" name="Column16198"/>
    <tableColumn id="16218" xr3:uid="{09F6B229-3050-460E-BEA0-143DB514219E}" name="Column16199"/>
    <tableColumn id="16219" xr3:uid="{FB68C640-D04B-4028-A006-238D0363F7C7}" name="Column16200"/>
    <tableColumn id="16220" xr3:uid="{DE242984-B8EB-439D-ACC9-EA237C55900B}" name="Column16201"/>
    <tableColumn id="16221" xr3:uid="{41C48A49-FF49-42CA-842D-DB7E5806B494}" name="Column16202"/>
    <tableColumn id="16222" xr3:uid="{A399888E-5AD7-45CD-96C0-7BDF52CE7174}" name="Column16203"/>
    <tableColumn id="16223" xr3:uid="{2F7E5309-5E9C-4642-986E-DF02889BB82C}" name="Column16204"/>
    <tableColumn id="16224" xr3:uid="{F81A18CC-5ADC-4ABA-B17B-DAE487C00CD9}" name="Column16205"/>
    <tableColumn id="16225" xr3:uid="{7877C469-7A09-4521-810F-84E369656A7E}" name="Column16206"/>
    <tableColumn id="16226" xr3:uid="{6662771F-C3BA-4FFA-AF94-E57C24E52DF1}" name="Column16207"/>
    <tableColumn id="16227" xr3:uid="{DFA6493D-0ABD-4BF8-B546-C9C67F0E147C}" name="Column16208"/>
    <tableColumn id="16228" xr3:uid="{B0C54D98-AD24-484F-8E7E-2D697FB3D193}" name="Column16209"/>
    <tableColumn id="16229" xr3:uid="{6AD31311-34AC-439E-9255-B2F92C7DAAB6}" name="Column16210"/>
    <tableColumn id="16230" xr3:uid="{9B390DFD-AFB3-415E-8A37-2C88F709C38D}" name="Column16211"/>
    <tableColumn id="16231" xr3:uid="{900178B5-C23F-41FB-91FD-5926E5951125}" name="Column16212"/>
    <tableColumn id="16232" xr3:uid="{5ADE8E0E-6692-4ED1-A2F1-5F5C5438B1EB}" name="Column16213"/>
    <tableColumn id="16233" xr3:uid="{34508FF0-15A6-452D-8FFB-A81A1D43DA6F}" name="Column16214"/>
    <tableColumn id="16234" xr3:uid="{5E48F855-2A42-4592-9E89-CC7EBEC4A0B9}" name="Column16215"/>
    <tableColumn id="16235" xr3:uid="{B10BF56D-447E-41E9-AA46-E2EEB0AC6BDF}" name="Column16216"/>
    <tableColumn id="16236" xr3:uid="{5E324FDC-94D4-4EC7-A7DB-72DFA8AA52EB}" name="Column16217"/>
    <tableColumn id="16237" xr3:uid="{9E363BAF-0F00-4107-B78E-BCFCFAB4718F}" name="Column16218"/>
    <tableColumn id="16238" xr3:uid="{E9F92430-3B77-48AB-92F1-A60110DF5E80}" name="Column16219"/>
    <tableColumn id="16239" xr3:uid="{2D18A830-4F3F-4D17-B4FF-8901D92DB8E9}" name="Column16220"/>
    <tableColumn id="16240" xr3:uid="{34E5CE8B-27BC-4700-904B-28133480D0BD}" name="Column16221"/>
    <tableColumn id="16241" xr3:uid="{31A418C2-8431-4809-8620-D2B4EA0747D5}" name="Column16222"/>
    <tableColumn id="16242" xr3:uid="{E22D1E3E-A0C5-4CB9-98DD-B8B3FB8550BE}" name="Column16223"/>
    <tableColumn id="16243" xr3:uid="{0B65BF6C-05CB-4010-A711-77D1273BDA66}" name="Column16224"/>
    <tableColumn id="16244" xr3:uid="{A6E9E66E-7C48-47D8-A49F-6B91E15DEA39}" name="Column16225"/>
    <tableColumn id="16245" xr3:uid="{69EA96C8-1A45-4476-AFFD-14F951DDA223}" name="Column16226"/>
    <tableColumn id="16246" xr3:uid="{2580DD0E-808A-44F8-8101-74B9F44E57D0}" name="Column16227"/>
    <tableColumn id="16247" xr3:uid="{6705607C-298B-4EA5-8B16-770FEF1A893B}" name="Column16228"/>
    <tableColumn id="16248" xr3:uid="{0852DCB3-0166-4096-98A7-1E60B2B316BC}" name="Column16229"/>
    <tableColumn id="16249" xr3:uid="{06560E81-96C7-44FA-BD92-853DBB055BA3}" name="Column16230"/>
    <tableColumn id="16250" xr3:uid="{4BAFC9BB-1A11-4C0B-A611-C764459BCD7E}" name="Column16231"/>
    <tableColumn id="16251" xr3:uid="{543BECFD-683F-473F-B1A3-62E90CDC4D5B}" name="Column16232"/>
    <tableColumn id="16252" xr3:uid="{D1D0178F-70F5-47ED-9658-60B9B2E72790}" name="Column16233"/>
    <tableColumn id="16253" xr3:uid="{487706AB-B0C1-4B09-AA5F-DE808B38AE6B}" name="Column16234"/>
    <tableColumn id="16254" xr3:uid="{77BC6A61-7E1E-4180-A218-D47CA9DD82C4}" name="Column16235"/>
    <tableColumn id="16255" xr3:uid="{632C796E-CBCD-44EA-B4C9-9A6E0FB9FDC3}" name="Column16236"/>
    <tableColumn id="16256" xr3:uid="{328CE760-FA5A-4706-B46B-B025ED9765C1}" name="Column16237"/>
    <tableColumn id="16257" xr3:uid="{8FBFF364-E2A1-4876-AFA1-A46E2D75C9D7}" name="Column16238"/>
    <tableColumn id="16258" xr3:uid="{79DBFCD2-6CAA-49D9-8AC1-B0243F5E0D2E}" name="Column16239"/>
    <tableColumn id="16259" xr3:uid="{7F0F2030-7C58-4959-B50F-9116B82ACD68}" name="Column16240"/>
    <tableColumn id="16260" xr3:uid="{FEBFDD7B-D0C4-44CA-91F2-9219D44ADE75}" name="Column16241"/>
    <tableColumn id="16261" xr3:uid="{EBDFD536-4A6D-4275-B153-94AC891AF6ED}" name="Column16242"/>
    <tableColumn id="16262" xr3:uid="{6370C68A-4E79-499C-B1D9-45E280CBB4C7}" name="Column16243"/>
    <tableColumn id="16263" xr3:uid="{110095C5-5514-4D57-B245-6ACAB4058C04}" name="Column16244"/>
    <tableColumn id="16264" xr3:uid="{4FC75D9E-FAFB-4AB6-8545-55E6FB3C3BA7}" name="Column16245"/>
    <tableColumn id="16265" xr3:uid="{70035264-4A46-4567-95C4-DE5CC13F02D4}" name="Column16246"/>
    <tableColumn id="16266" xr3:uid="{706F090B-6054-45BC-BB33-8C15395C56BD}" name="Column16247"/>
    <tableColumn id="16267" xr3:uid="{B8D1EA83-A0AD-43FD-9E6E-7495ACD90062}" name="Column16248"/>
    <tableColumn id="16268" xr3:uid="{8A3C7708-565D-475E-89E4-EC23ADA42EFB}" name="Column16249"/>
    <tableColumn id="16269" xr3:uid="{AAC42948-E600-4F36-9681-D679114A5D13}" name="Column16250"/>
    <tableColumn id="16270" xr3:uid="{E5E3A3C1-2C18-44E7-AA60-F4E87D7669E9}" name="Column16251"/>
    <tableColumn id="16271" xr3:uid="{EC31C43D-B98F-48E6-B538-BEE1AAF5D831}" name="Column16252"/>
    <tableColumn id="16272" xr3:uid="{03481429-7302-43FE-B24F-FE577E2AF2EC}" name="Column16253"/>
    <tableColumn id="16273" xr3:uid="{0A2C5C60-C891-4EB5-B8CB-686401456021}" name="Column16254"/>
    <tableColumn id="16274" xr3:uid="{7D29AD11-3706-4769-AD89-679A5F39FB5A}" name="Column16255"/>
    <tableColumn id="16275" xr3:uid="{8CE7F1CA-2207-4914-B5BA-009427F8C159}" name="Column16256"/>
    <tableColumn id="16276" xr3:uid="{A2F27854-A975-4156-B2B3-F9106C850169}" name="Column16257"/>
    <tableColumn id="16277" xr3:uid="{2C687EDE-FDFD-4AB2-ABA1-0C40A24AC98E}" name="Column16258"/>
    <tableColumn id="16278" xr3:uid="{C8756515-765D-4270-A14A-5384D6685533}" name="Column16259"/>
    <tableColumn id="16279" xr3:uid="{4F575CDF-113A-45D4-90C4-DAC4C9BEE7C2}" name="Column16260"/>
    <tableColumn id="16280" xr3:uid="{7E5952B9-68DF-47AC-9D0C-0F017C902486}" name="Column16261"/>
    <tableColumn id="16281" xr3:uid="{5B4AEE3A-FEA6-4E45-AAE7-E1ECC076407F}" name="Column16262"/>
    <tableColumn id="16282" xr3:uid="{3CB51C48-3ECB-4A0F-90C4-C16E3D0DE86D}" name="Column16263"/>
    <tableColumn id="16283" xr3:uid="{C831D77C-5722-4611-8406-4F5B9D348A58}" name="Column16264"/>
    <tableColumn id="16284" xr3:uid="{7235B22B-1EA3-4F38-9F25-B3F7DA81074F}" name="Column16265"/>
    <tableColumn id="16285" xr3:uid="{4844440A-703B-43A4-997A-436072D78976}" name="Column16266"/>
    <tableColumn id="16286" xr3:uid="{645AAC7D-98CE-45BF-BBD1-1F7D40BDDF5E}" name="Column16267"/>
    <tableColumn id="16287" xr3:uid="{37179675-A70E-4E1E-B09B-163DF267B70F}" name="Column16268"/>
    <tableColumn id="16288" xr3:uid="{F3720FDA-C1DC-427F-8940-F950A84A0749}" name="Column16269"/>
    <tableColumn id="16289" xr3:uid="{B602ED26-725B-44F7-ACE5-91D0131BE8B5}" name="Column16270"/>
    <tableColumn id="16290" xr3:uid="{994FDB39-C32F-4A16-88B5-C332E6B77CCD}" name="Column16271"/>
    <tableColumn id="16291" xr3:uid="{C78A8EC9-22AB-41C3-84D6-47A8A0CC45FA}" name="Column16272"/>
    <tableColumn id="16292" xr3:uid="{5BD3305A-28BC-4FDA-B7A1-E1739A0950CC}" name="Column16273"/>
    <tableColumn id="16293" xr3:uid="{AC51E423-87CE-4001-A361-86B608DA4D49}" name="Column16274"/>
    <tableColumn id="16294" xr3:uid="{8C66A751-8142-410F-A6D6-845FFEBFE039}" name="Column16275"/>
    <tableColumn id="16295" xr3:uid="{7014CFDF-9790-4873-8802-AD33A343AFA9}" name="Column16276"/>
    <tableColumn id="16296" xr3:uid="{13D0F16C-795B-4DF5-BD4D-14D52FA548EA}" name="Column16277"/>
    <tableColumn id="16297" xr3:uid="{AC151D55-BD16-4BB2-9C6B-C75E865E187C}" name="Column16278"/>
    <tableColumn id="16298" xr3:uid="{194FF859-B495-4E5E-BDBB-C46D333D2AE7}" name="Column16279"/>
    <tableColumn id="16299" xr3:uid="{D53587A2-86BB-418E-A0D8-AAFF800C43B4}" name="Column16280"/>
    <tableColumn id="16300" xr3:uid="{7925EBB0-71F2-4294-9B63-FC895C0A268A}" name="Column16281"/>
    <tableColumn id="16301" xr3:uid="{4FE716B3-72CB-4FEF-A258-A7F60C4FDCEF}" name="Column16282"/>
    <tableColumn id="16302" xr3:uid="{6BE75753-8541-4B9E-A55A-7BEB5A3D78F8}" name="Column16283"/>
    <tableColumn id="16303" xr3:uid="{1CE2C390-F536-4BD1-BF91-F68ECCB0C6CA}" name="Column16284"/>
    <tableColumn id="16304" xr3:uid="{BAA7F10D-AEFE-47E0-A23B-4A52D2CE6300}" name="Column16285"/>
    <tableColumn id="16305" xr3:uid="{344B89F2-C77B-4232-B16C-5C599CC51D50}" name="Column16286"/>
    <tableColumn id="16306" xr3:uid="{6968DF1F-23A6-4CE1-AC41-6AAF94F2433D}" name="Column16287"/>
    <tableColumn id="16307" xr3:uid="{CE135B8D-9B2B-46BD-8636-0E8EE31CB8B7}" name="Column16288"/>
    <tableColumn id="16308" xr3:uid="{6FE5C80D-97D4-453B-9B30-90B173E7282C}" name="Column16289"/>
    <tableColumn id="16309" xr3:uid="{4855AF2D-F0AD-4711-AD44-19753FB35013}" name="Column16290"/>
    <tableColumn id="16310" xr3:uid="{0CAA0923-2D54-471B-83A3-E6121E6FDC99}" name="Column16291"/>
    <tableColumn id="16311" xr3:uid="{70E7AD28-A466-4C49-95CD-F41F0217131A}" name="Column16292"/>
    <tableColumn id="16312" xr3:uid="{C0C30257-BBE6-49D0-90B8-0AF41EB4EF04}" name="Column16293"/>
    <tableColumn id="16313" xr3:uid="{E5831A06-54FB-411C-8970-63D31F3B2068}" name="Column16294"/>
    <tableColumn id="16314" xr3:uid="{598C3ED4-7B1A-4AD2-A6AC-7AC4F864CB19}" name="Column16295"/>
    <tableColumn id="16315" xr3:uid="{B024C381-15CA-44BE-9506-ECF935590498}" name="Column16296"/>
    <tableColumn id="16316" xr3:uid="{05B24072-E565-47C6-99A7-69810A1EC9F3}" name="Column16297"/>
    <tableColumn id="16317" xr3:uid="{C3670FA7-804E-45C8-B9E4-DDC7FEC7C3BC}" name="Column16298"/>
    <tableColumn id="16318" xr3:uid="{92BB158C-8B84-4F39-8B6A-A19815602717}" name="Column16299"/>
    <tableColumn id="16319" xr3:uid="{1FAA1EFD-B343-46A8-B5AC-E0D99DBDD465}" name="Column16300"/>
    <tableColumn id="16320" xr3:uid="{5EEE7F00-4CCD-4111-B7D7-FFA174167D52}" name="Column16301"/>
    <tableColumn id="16321" xr3:uid="{DFF9E8FE-B49B-4D4F-A7D5-B07F6B6ECCB4}" name="Column16302"/>
    <tableColumn id="16322" xr3:uid="{8B78948F-EFFD-40A6-9B6E-C76688013B53}" name="Column16303"/>
    <tableColumn id="16323" xr3:uid="{143907D6-76AF-4F3C-A35C-082C792287D9}" name="Column16304"/>
    <tableColumn id="16324" xr3:uid="{EC2A2145-C582-4BD7-8194-FDBB5D0A7FBB}" name="Column16305"/>
    <tableColumn id="16325" xr3:uid="{981075B2-8DA0-47CF-81EF-C802CA7BFFCE}" name="Column16306"/>
    <tableColumn id="16326" xr3:uid="{248F85EE-A6FB-46E1-845B-0E3FB76B7233}" name="Column16307"/>
    <tableColumn id="16327" xr3:uid="{5C33C2DB-1D07-4439-AAA8-40A3E2D8598D}" name="Column16308"/>
    <tableColumn id="16328" xr3:uid="{4B610A24-001A-497F-8770-EE44248E29DB}" name="Column16309"/>
    <tableColumn id="16329" xr3:uid="{ACB4FF81-AA50-40B7-B36E-19CD5E825842}" name="Column16310"/>
    <tableColumn id="16330" xr3:uid="{9A930EA0-354D-4750-8A2A-7153F201A116}" name="Column16311"/>
    <tableColumn id="16331" xr3:uid="{B8A1C5A2-B7F7-4F4E-BDD4-F777D3488459}" name="Column16312"/>
    <tableColumn id="16332" xr3:uid="{EA58C379-5BB0-4237-81D0-7FED9DCA18D6}" name="Column16313"/>
    <tableColumn id="16333" xr3:uid="{67192A2D-D87A-4F42-95B8-58CD11F95CD4}" name="Column16314"/>
    <tableColumn id="16334" xr3:uid="{14D1AA9A-B2DC-4F56-9C7C-E973F92D6930}" name="Column16315"/>
    <tableColumn id="16335" xr3:uid="{96DF5498-C152-4BCF-A8BD-91D911CD0A86}" name="Column16316"/>
    <tableColumn id="16336" xr3:uid="{390A5C06-6211-4320-9C98-2705C5345E4A}" name="Column16317"/>
    <tableColumn id="16337" xr3:uid="{DF39F8A1-1CD8-4CB4-802C-0C7A40067C4E}" name="Column16318"/>
    <tableColumn id="16338" xr3:uid="{D3D46741-D2A3-4F33-A060-6228F5874DD3}" name="Column16319"/>
    <tableColumn id="16339" xr3:uid="{B5F8F740-43A3-4AD5-BC96-750F0A3FE2C3}" name="Column16320"/>
    <tableColumn id="16340" xr3:uid="{A7393C8D-8E5E-4ECC-92F1-C9094FFE2855}" name="Column16321"/>
    <tableColumn id="16341" xr3:uid="{46763571-748C-4282-892E-FBD2811BF76F}" name="Column16322"/>
    <tableColumn id="16342" xr3:uid="{42B1EF4A-FBC3-4F75-9A4E-E218FBBB67D4}" name="Column16323"/>
    <tableColumn id="16343" xr3:uid="{C974E178-0ADB-46F1-B745-C3BED194C171}" name="Column16324"/>
    <tableColumn id="16344" xr3:uid="{8038F73A-1AD5-4C20-B6C1-3F103B17B695}" name="Column16325"/>
    <tableColumn id="16345" xr3:uid="{8B218983-89FB-43C8-9CE7-760175B61B1C}" name="Column16326"/>
    <tableColumn id="16346" xr3:uid="{AA528C96-1450-4450-B4D4-FD8787436134}" name="Column16327"/>
    <tableColumn id="16347" xr3:uid="{7C64AB4A-6F70-4316-83A5-2FC5F26580C9}" name="Column16328"/>
    <tableColumn id="16348" xr3:uid="{8FEB649B-DCA1-4DB0-99F4-E64665150334}" name="Column16329"/>
    <tableColumn id="16349" xr3:uid="{46CC159F-9A5C-4F3A-A9EE-9472F0DFFF35}" name="Column16330"/>
    <tableColumn id="16350" xr3:uid="{9FA4E631-5C32-4247-9278-A07BB0C36A5A}" name="Column16331"/>
    <tableColumn id="16351" xr3:uid="{35C20F9A-936B-429C-9C93-31C3CCDB1529}" name="Column16332"/>
    <tableColumn id="16352" xr3:uid="{F50F9FF1-4F50-402B-8FDA-7064A1D7AE28}" name="Column16333"/>
    <tableColumn id="16353" xr3:uid="{41FED1AF-A05E-4C9B-BA91-34DF354A458B}" name="Column16334"/>
    <tableColumn id="16354" xr3:uid="{0EFC7532-B247-4660-A256-4A3A3F2D68AC}" name="Column16335"/>
    <tableColumn id="16355" xr3:uid="{F3CA5266-0597-4980-BB04-3A76E0C380CB}" name="Column16336"/>
    <tableColumn id="16356" xr3:uid="{EEC27179-4F78-427A-BE1B-2F46E9BB2361}" name="Column16337"/>
    <tableColumn id="16357" xr3:uid="{F1BF0BF1-511D-4050-AE57-DD6426E9F1B3}" name="Column16338"/>
    <tableColumn id="16358" xr3:uid="{195216C5-E9D8-481E-B827-966F74908888}" name="Column16339"/>
    <tableColumn id="16359" xr3:uid="{8E25E337-B9D6-4927-860E-25AE1F017F91}" name="Column16340"/>
    <tableColumn id="16360" xr3:uid="{46A64140-1F18-4B87-AA4C-30F8DAF0F370}" name="Column16341"/>
    <tableColumn id="16361" xr3:uid="{C1C49024-B1A9-4C6B-A131-5DC3D2AD6EE4}" name="Column16342"/>
    <tableColumn id="16362" xr3:uid="{8FF03F0A-CC91-44DC-81B5-D60F58ACFCAF}" name="Column16343"/>
    <tableColumn id="16363" xr3:uid="{E068F822-4367-47F9-AFBF-5BA2EDF470C2}" name="Column16344"/>
    <tableColumn id="16364" xr3:uid="{B75331B8-1C1A-4B5D-A735-951CB9CA78B2}" name="Column16345"/>
    <tableColumn id="16365" xr3:uid="{807FA389-B991-40EF-9F8D-2A34DC909F59}" name="Column16346"/>
    <tableColumn id="16366" xr3:uid="{7DC517C8-BD19-45D4-B2A1-5883B2936B84}" name="Column16347"/>
    <tableColumn id="16367" xr3:uid="{E42882B2-40E1-472D-81C0-C08B83741945}" name="Column16348"/>
    <tableColumn id="16368" xr3:uid="{414EB8D5-1838-4907-AFF5-80EA6FEF89E5}" name="Column16349"/>
    <tableColumn id="16369" xr3:uid="{38F2E5C2-69F3-4749-9ECF-39B46156053C}" name="Column16350"/>
    <tableColumn id="16370" xr3:uid="{09939837-36C3-4959-B647-27ADDFD9CDD9}" name="Column16351"/>
    <tableColumn id="16371" xr3:uid="{F8BD15D6-A06F-4091-9D32-F87AD5868DE5}" name="Column16352"/>
    <tableColumn id="16372" xr3:uid="{9013E7F9-6B7F-41AD-B782-054559D303B4}" name="Column16353"/>
    <tableColumn id="16373" xr3:uid="{9F88EA74-47AB-459E-AB07-79E6279D47DD}" name="Column16354"/>
    <tableColumn id="16374" xr3:uid="{3847BCBF-AB11-4DF4-BE3A-FF16F3B97424}" name="Column16355"/>
    <tableColumn id="16375" xr3:uid="{A7778258-DDB1-48BA-8107-27A0A582544C}" name="Column16356"/>
    <tableColumn id="16376" xr3:uid="{FCF6FF35-DF75-4A01-96C5-DAA7DE93AE6F}" name="Column16357"/>
    <tableColumn id="16377" xr3:uid="{F6CA2368-6E6B-452E-B4D6-BEABDEF0E439}" name="Column16358"/>
    <tableColumn id="16378" xr3:uid="{BC317052-0B49-47A7-B562-401C6C268926}" name="Column16359"/>
    <tableColumn id="16379" xr3:uid="{CB885182-8060-4FB8-A14E-D20E4819F9B8}" name="Column16360"/>
    <tableColumn id="16380" xr3:uid="{CB9EB0B4-A44A-4679-A601-E8571EBB614F}" name="Column16361"/>
    <tableColumn id="16381" xr3:uid="{C93F06E8-C2C7-49F6-9863-59CF77C41251}" name="Column16362"/>
    <tableColumn id="16382" xr3:uid="{02AA785E-8162-45E2-AFC6-157BD41A9C67}" name="Column16363"/>
    <tableColumn id="16383" xr3:uid="{D97828D2-0DFA-402A-8A64-5C267B6DC21D}" name="Column16364"/>
    <tableColumn id="16384" xr3:uid="{C19B240A-527C-41D4-B9D9-1335C6B1D611}" name="Column1636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leetcode.com/problems/smallest-divisible-digit-product-i/" TargetMode="External"/><Relationship Id="rId18" Type="http://schemas.openxmlformats.org/officeDocument/2006/relationships/hyperlink" Target="https://leetcode.com/problems/longest-substring-of-one-repeating-character/" TargetMode="External"/><Relationship Id="rId26" Type="http://schemas.openxmlformats.org/officeDocument/2006/relationships/hyperlink" Target="https://leetcode.com/problems/removing-minimum-and-maximum-from-array/" TargetMode="External"/><Relationship Id="rId3" Type="http://schemas.openxmlformats.org/officeDocument/2006/relationships/hyperlink" Target="https://leetcode.com/problems/maximum-product-of-two-elements-in-an-array/" TargetMode="External"/><Relationship Id="rId21" Type="http://schemas.openxmlformats.org/officeDocument/2006/relationships/hyperlink" Target="https://leetcode.com/problems/group-anagrams/" TargetMode="External"/><Relationship Id="rId34" Type="http://schemas.openxmlformats.org/officeDocument/2006/relationships/table" Target="../tables/table1.xml"/><Relationship Id="rId7" Type="http://schemas.openxmlformats.org/officeDocument/2006/relationships/hyperlink" Target="https://leetcode.com/problems/minimum-number-of-pushes-to-type-word-ii" TargetMode="External"/><Relationship Id="rId12" Type="http://schemas.openxmlformats.org/officeDocument/2006/relationships/hyperlink" Target="https://leetcode.com/problems/find-missing-elements/" TargetMode="External"/><Relationship Id="rId17" Type="http://schemas.openxmlformats.org/officeDocument/2006/relationships/hyperlink" Target="https://leetcode.com/problems/range-sum-query-immutable/" TargetMode="External"/><Relationship Id="rId25" Type="http://schemas.openxmlformats.org/officeDocument/2006/relationships/hyperlink" Target="https://leetcode.com/problems/valid-palindrome/" TargetMode="External"/><Relationship Id="rId33" Type="http://schemas.openxmlformats.org/officeDocument/2006/relationships/printerSettings" Target="../printerSettings/printerSettings1.bin"/><Relationship Id="rId2" Type="http://schemas.openxmlformats.org/officeDocument/2006/relationships/hyperlink" Target="https://www.youtube.com/watch?v=-SWrz90jCUM" TargetMode="External"/><Relationship Id="rId16" Type="http://schemas.openxmlformats.org/officeDocument/2006/relationships/hyperlink" Target="https://leetcode.com/problems/length-of-longest-subarray-with-at-most-k-frequency/" TargetMode="External"/><Relationship Id="rId20" Type="http://schemas.openxmlformats.org/officeDocument/2006/relationships/hyperlink" Target="https://leetcode.com/problems/stone-game-ix/" TargetMode="External"/><Relationship Id="rId29" Type="http://schemas.openxmlformats.org/officeDocument/2006/relationships/hyperlink" Target="https://leetcode.com/problems/longest-substring-without-repeating-characters/" TargetMode="External"/><Relationship Id="rId1" Type="http://schemas.openxmlformats.org/officeDocument/2006/relationships/hyperlink" Target="https://leetcode.com/problems/subarray-sum-equals-k/" TargetMode="External"/><Relationship Id="rId6" Type="http://schemas.openxmlformats.org/officeDocument/2006/relationships/hyperlink" Target="https://leetcode.com/problems/minimum-number-of-pushes-to-type-word-i" TargetMode="External"/><Relationship Id="rId11" Type="http://schemas.openxmlformats.org/officeDocument/2006/relationships/hyperlink" Target="https://leetcode.com/problems/majority-element/" TargetMode="External"/><Relationship Id="rId24" Type="http://schemas.openxmlformats.org/officeDocument/2006/relationships/hyperlink" Target="https://leetcode.com/problems/minimum-size-subarray-sum/" TargetMode="External"/><Relationship Id="rId32" Type="http://schemas.openxmlformats.org/officeDocument/2006/relationships/hyperlink" Target="https://leetcode.com/problems/daily-temperatures/" TargetMode="External"/><Relationship Id="rId5" Type="http://schemas.openxmlformats.org/officeDocument/2006/relationships/hyperlink" Target="https://leetcode.com/problems/smallest-palindromic-rearrangement-ii/" TargetMode="External"/><Relationship Id="rId15" Type="http://schemas.openxmlformats.org/officeDocument/2006/relationships/hyperlink" Target="https://leetcode.com/problems/smallest-missing-integer-greater-than-sequential-prefix-sum/" TargetMode="External"/><Relationship Id="rId23" Type="http://schemas.openxmlformats.org/officeDocument/2006/relationships/hyperlink" Target="https://leetcode.com/problems/shortest-and-lexicographically-smallest-beautiful-string/" TargetMode="External"/><Relationship Id="rId28" Type="http://schemas.openxmlformats.org/officeDocument/2006/relationships/hyperlink" Target="https://leetcode.com/problems/count-nodes-equal-to-average-of-subtree/" TargetMode="External"/><Relationship Id="rId10" Type="http://schemas.openxmlformats.org/officeDocument/2006/relationships/hyperlink" Target="https://leetcode.com/problems/valid-anagram/" TargetMode="External"/><Relationship Id="rId19" Type="http://schemas.openxmlformats.org/officeDocument/2006/relationships/hyperlink" Target="https://leetcode.com/problems/longest-subsequence-with-non-zero-bitwise-xor/" TargetMode="External"/><Relationship Id="rId31" Type="http://schemas.openxmlformats.org/officeDocument/2006/relationships/hyperlink" Target="https://leetcode.com/problems/longest-valid-parentheses/" TargetMode="External"/><Relationship Id="rId4" Type="http://schemas.openxmlformats.org/officeDocument/2006/relationships/hyperlink" Target="https://leetcode.com/problems/smallest-palindromic-rearrangement-i/" TargetMode="External"/><Relationship Id="rId9" Type="http://schemas.openxmlformats.org/officeDocument/2006/relationships/hyperlink" Target="https://leetcode.com/problems/stone-game/" TargetMode="External"/><Relationship Id="rId14" Type="http://schemas.openxmlformats.org/officeDocument/2006/relationships/hyperlink" Target="https://leetcode.com/problems/stone-game-iv/" TargetMode="External"/><Relationship Id="rId22" Type="http://schemas.openxmlformats.org/officeDocument/2006/relationships/hyperlink" Target="https://leetcode.com/problems/top-k-frequent-elements/" TargetMode="External"/><Relationship Id="rId27" Type="http://schemas.openxmlformats.org/officeDocument/2006/relationships/hyperlink" Target="https://leetcode.com/problems/count-commas-in-range-ii/" TargetMode="External"/><Relationship Id="rId30" Type="http://schemas.openxmlformats.org/officeDocument/2006/relationships/hyperlink" Target="https://leetcode.com/problems/valid-parentheses/" TargetMode="External"/><Relationship Id="rId8" Type="http://schemas.openxmlformats.org/officeDocument/2006/relationships/hyperlink" Target="https://leetcode.com/problems/predict-the-winn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hyperlink" Target="https://leetcode.com/problems/classes-with-at-least-5-students/" TargetMode="External"/><Relationship Id="rId2" Type="http://schemas.openxmlformats.org/officeDocument/2006/relationships/hyperlink" Target="https://leetcode.com/problems/article-views-i/" TargetMode="External"/><Relationship Id="rId1" Type="http://schemas.openxmlformats.org/officeDocument/2006/relationships/hyperlink" Target="https://leetcode.com/problems/recyclable-and-low-fat-products/" TargetMode="External"/><Relationship Id="rId5" Type="http://schemas.openxmlformats.org/officeDocument/2006/relationships/table" Target="../tables/table3.xml"/><Relationship Id="rId4" Type="http://schemas.openxmlformats.org/officeDocument/2006/relationships/hyperlink" Target="https://leetcode.com/problems/customer-placing-the-largest-number-of-or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82"/>
  <sheetViews>
    <sheetView workbookViewId="0">
      <selection activeCell="F7" sqref="F7"/>
    </sheetView>
  </sheetViews>
  <sheetFormatPr defaultRowHeight="13.8"/>
  <cols>
    <col min="1" max="1" width="5" customWidth="1"/>
    <col min="2" max="2" width="29.8984375" customWidth="1"/>
    <col min="3" max="3" width="25.19921875" customWidth="1"/>
    <col min="4" max="4" width="18" customWidth="1"/>
    <col min="5" max="5" width="24" customWidth="1"/>
    <col min="6" max="6" width="11" customWidth="1"/>
    <col min="7" max="7" width="13" customWidth="1"/>
    <col min="8" max="10" width="34" customWidth="1"/>
    <col min="11" max="11" width="23.19921875" customWidth="1"/>
    <col min="12" max="12" width="14" customWidth="1"/>
    <col min="13" max="13" width="12" customWidth="1"/>
    <col min="14" max="14" width="13" customWidth="1"/>
    <col min="15" max="16" width="15" customWidth="1"/>
    <col min="17" max="17" width="13" customWidth="1"/>
    <col min="18" max="18" width="58.19921875" customWidth="1"/>
    <col min="19" max="19" width="41.19921875" customWidth="1"/>
  </cols>
  <sheetData>
    <row r="1" spans="1:19" ht="21">
      <c r="A1" s="35" t="s">
        <v>0</v>
      </c>
      <c r="B1" s="35"/>
      <c r="C1" s="35"/>
      <c r="D1" s="35"/>
      <c r="E1" s="35"/>
      <c r="F1" s="35"/>
      <c r="G1" s="35"/>
      <c r="H1" s="35"/>
      <c r="I1" s="35"/>
      <c r="J1" s="35"/>
      <c r="K1" s="35"/>
      <c r="L1" s="35"/>
      <c r="M1" s="35"/>
      <c r="N1" s="35"/>
      <c r="O1" s="35"/>
      <c r="P1" s="35"/>
      <c r="Q1" s="35"/>
      <c r="R1" s="35"/>
      <c r="S1" s="35"/>
    </row>
    <row r="2" spans="1:19" ht="28.8" customHeight="1">
      <c r="A2" s="33" t="s">
        <v>1</v>
      </c>
      <c r="B2" s="34"/>
      <c r="C2" s="34"/>
      <c r="D2" s="34"/>
      <c r="E2" s="34"/>
      <c r="F2" s="34"/>
      <c r="G2" s="34"/>
      <c r="H2" s="34"/>
      <c r="I2" s="34"/>
      <c r="J2" s="34"/>
      <c r="K2" s="34"/>
      <c r="L2" s="34"/>
      <c r="M2" s="34"/>
      <c r="N2" s="34"/>
      <c r="O2" s="34"/>
      <c r="P2" s="34"/>
      <c r="Q2" s="34"/>
      <c r="R2" s="34"/>
    </row>
    <row r="3" spans="1:19" ht="27.6">
      <c r="A3" s="6" t="s">
        <v>2</v>
      </c>
      <c r="B3" s="6" t="s">
        <v>3</v>
      </c>
      <c r="C3" s="6" t="s">
        <v>4</v>
      </c>
      <c r="D3" s="6" t="s">
        <v>5</v>
      </c>
      <c r="E3" s="6" t="s">
        <v>6</v>
      </c>
      <c r="F3" s="6" t="s">
        <v>7</v>
      </c>
      <c r="G3" s="6" t="s">
        <v>8</v>
      </c>
      <c r="H3" s="6" t="s">
        <v>9</v>
      </c>
      <c r="I3" s="6" t="s">
        <v>10</v>
      </c>
      <c r="J3" s="6" t="s">
        <v>11</v>
      </c>
      <c r="K3" s="6" t="s">
        <v>12</v>
      </c>
      <c r="L3" s="6" t="s">
        <v>13</v>
      </c>
      <c r="M3" s="6" t="s">
        <v>14</v>
      </c>
      <c r="N3" s="6" t="s">
        <v>15</v>
      </c>
      <c r="O3" s="6" t="s">
        <v>16</v>
      </c>
      <c r="P3" s="6" t="s">
        <v>17</v>
      </c>
      <c r="Q3" s="6" t="s">
        <v>18</v>
      </c>
      <c r="R3" s="6" t="s">
        <v>19</v>
      </c>
      <c r="S3" s="6" t="s">
        <v>20</v>
      </c>
    </row>
    <row r="4" spans="1:19" ht="27.6">
      <c r="A4" s="7">
        <f t="shared" ref="A4:A67" si="0">IF(B4="","",ROW()-3)</f>
        <v>1</v>
      </c>
      <c r="B4" s="5" t="s">
        <v>21</v>
      </c>
      <c r="C4" s="8" t="s">
        <v>22</v>
      </c>
      <c r="D4" s="5" t="s">
        <v>23</v>
      </c>
      <c r="E4" s="5" t="s">
        <v>24</v>
      </c>
      <c r="F4" s="7" t="s">
        <v>25</v>
      </c>
      <c r="G4" s="9">
        <v>46205</v>
      </c>
      <c r="H4" s="5" t="s">
        <v>26</v>
      </c>
      <c r="I4" s="5" t="s">
        <v>27</v>
      </c>
      <c r="J4" s="5" t="s">
        <v>28</v>
      </c>
      <c r="K4" s="5" t="s">
        <v>29</v>
      </c>
      <c r="L4" s="5" t="s">
        <v>29</v>
      </c>
      <c r="M4" s="5" t="s">
        <v>30</v>
      </c>
      <c r="N4" s="9" t="s">
        <v>31</v>
      </c>
      <c r="O4" s="9">
        <f ca="1">IF(OR($B4="",$N4&lt;&gt;"Yes",$G4="",$M4=""),"",IF(AND(ISNUMBER($P4),$P4&lt;=TODAY()),$P4+IF($M4="Low",3,IF($M4="Medium",7,21)),$G4+IF($M4="Low",2,IF($M4="Medium",5,14))))</f>
        <v>46265</v>
      </c>
      <c r="P4" s="9">
        <v>46244</v>
      </c>
      <c r="Q4" s="5" t="s">
        <v>32</v>
      </c>
      <c r="R4" s="5"/>
    </row>
    <row r="5" spans="1:19" ht="41.4">
      <c r="A5" s="7">
        <f t="shared" si="0"/>
        <v>2</v>
      </c>
      <c r="B5" s="5" t="s">
        <v>33</v>
      </c>
      <c r="C5" s="8" t="s">
        <v>34</v>
      </c>
      <c r="D5" s="5" t="s">
        <v>23</v>
      </c>
      <c r="E5" s="5" t="s">
        <v>35</v>
      </c>
      <c r="F5" s="7" t="s">
        <v>25</v>
      </c>
      <c r="G5" s="9">
        <v>46205</v>
      </c>
      <c r="H5" s="5" t="s">
        <v>36</v>
      </c>
      <c r="I5" s="5" t="s">
        <v>37</v>
      </c>
      <c r="J5" s="5" t="s">
        <v>38</v>
      </c>
      <c r="K5" s="5" t="s">
        <v>29</v>
      </c>
      <c r="L5" s="5" t="s">
        <v>39</v>
      </c>
      <c r="M5" s="5" t="s">
        <v>30</v>
      </c>
      <c r="N5" s="9" t="s">
        <v>31</v>
      </c>
      <c r="O5" s="9">
        <f ca="1">IF(OR($B5="",$N5&lt;&gt;"Yes",$G5="",$M5=""),"",IF(AND(ISNUMBER($P5),$P5&lt;=TODAY()),$P5+IF($M5="Low",3,IF($M5="Medium",7,21)),$G5+IF($M5="Low",2,IF($M5="Medium",5,14))))</f>
        <v>46267</v>
      </c>
      <c r="P5" s="9">
        <v>46246</v>
      </c>
      <c r="Q5" s="5" t="s">
        <v>40</v>
      </c>
      <c r="R5" s="5" t="s">
        <v>41</v>
      </c>
    </row>
    <row r="6" spans="1:19" ht="27.6">
      <c r="A6" s="7">
        <f t="shared" si="0"/>
        <v>3</v>
      </c>
      <c r="B6" s="5" t="s">
        <v>42</v>
      </c>
      <c r="C6" s="8" t="s">
        <v>43</v>
      </c>
      <c r="D6" s="5" t="s">
        <v>44</v>
      </c>
      <c r="E6" s="5" t="s">
        <v>45</v>
      </c>
      <c r="F6" s="7" t="s">
        <v>25</v>
      </c>
      <c r="G6" s="9">
        <v>46205</v>
      </c>
      <c r="H6" s="5" t="s">
        <v>46</v>
      </c>
      <c r="I6" s="5" t="s">
        <v>47</v>
      </c>
      <c r="J6" s="5" t="s">
        <v>48</v>
      </c>
      <c r="K6" s="5" t="s">
        <v>39</v>
      </c>
      <c r="L6" s="5" t="s">
        <v>39</v>
      </c>
      <c r="M6" s="5" t="s">
        <v>30</v>
      </c>
      <c r="N6" s="9" t="s">
        <v>31</v>
      </c>
      <c r="O6" s="9">
        <f t="shared" ref="O6:O66" ca="1" si="1">IF(OR($B6="",$N6&lt;&gt;"Yes",$G6="",$M6=""),"",IF(AND(ISNUMBER($P6),$P6&lt;=TODAY()),$P6+IF($M6="Low",3,IF($M6="Medium",7,21)),$G6+IF($M6="Low",2,IF($M6="Medium",5,14))))</f>
        <v>46271</v>
      </c>
      <c r="P6" s="9">
        <v>46250</v>
      </c>
      <c r="Q6" s="5" t="s">
        <v>40</v>
      </c>
      <c r="R6" s="5"/>
    </row>
    <row r="7" spans="1:19" ht="41.4">
      <c r="A7" s="7">
        <f t="shared" si="0"/>
        <v>4</v>
      </c>
      <c r="B7" s="5" t="s">
        <v>49</v>
      </c>
      <c r="C7" s="8" t="s">
        <v>50</v>
      </c>
      <c r="D7" s="5" t="s">
        <v>44</v>
      </c>
      <c r="E7" s="5" t="s">
        <v>51</v>
      </c>
      <c r="F7" s="7" t="s">
        <v>52</v>
      </c>
      <c r="G7" s="9">
        <v>46205</v>
      </c>
      <c r="H7" s="5" t="s">
        <v>53</v>
      </c>
      <c r="I7" s="5" t="s">
        <v>54</v>
      </c>
      <c r="J7" s="5" t="s">
        <v>55</v>
      </c>
      <c r="K7" s="5" t="s">
        <v>56</v>
      </c>
      <c r="L7" s="5" t="s">
        <v>39</v>
      </c>
      <c r="M7" s="5" t="s">
        <v>52</v>
      </c>
      <c r="N7" s="9" t="s">
        <v>31</v>
      </c>
      <c r="O7" s="9">
        <f t="shared" ca="1" si="1"/>
        <v>46219</v>
      </c>
      <c r="P7" s="9">
        <v>46212</v>
      </c>
      <c r="Q7" s="5" t="s">
        <v>40</v>
      </c>
      <c r="R7" s="5" t="s">
        <v>57</v>
      </c>
    </row>
    <row r="8" spans="1:19" ht="27.6">
      <c r="A8" s="7">
        <f t="shared" si="0"/>
        <v>5</v>
      </c>
      <c r="B8" s="5" t="s">
        <v>58</v>
      </c>
      <c r="C8" s="8" t="s">
        <v>59</v>
      </c>
      <c r="D8" s="5" t="s">
        <v>44</v>
      </c>
      <c r="E8" s="5" t="s">
        <v>60</v>
      </c>
      <c r="F8" s="7" t="s">
        <v>25</v>
      </c>
      <c r="G8" s="9">
        <v>46205</v>
      </c>
      <c r="H8" s="5" t="s">
        <v>61</v>
      </c>
      <c r="I8" s="5" t="s">
        <v>62</v>
      </c>
      <c r="J8" s="5" t="s">
        <v>63</v>
      </c>
      <c r="K8" s="5" t="s">
        <v>64</v>
      </c>
      <c r="L8" s="5" t="s">
        <v>39</v>
      </c>
      <c r="M8" s="5" t="s">
        <v>30</v>
      </c>
      <c r="N8" s="9" t="s">
        <v>31</v>
      </c>
      <c r="O8" s="9">
        <f t="shared" ca="1" si="1"/>
        <v>46233</v>
      </c>
      <c r="P8" s="9">
        <v>46212</v>
      </c>
      <c r="Q8" s="5" t="s">
        <v>40</v>
      </c>
      <c r="R8" s="5"/>
    </row>
    <row r="9" spans="1:19" ht="41.4">
      <c r="A9" s="7">
        <f t="shared" si="0"/>
        <v>6</v>
      </c>
      <c r="B9" s="5" t="s">
        <v>65</v>
      </c>
      <c r="C9" s="22" t="s">
        <v>66</v>
      </c>
      <c r="D9" s="5" t="s">
        <v>23</v>
      </c>
      <c r="E9" s="5" t="s">
        <v>67</v>
      </c>
      <c r="F9" s="7" t="s">
        <v>52</v>
      </c>
      <c r="G9" s="9">
        <v>46205</v>
      </c>
      <c r="H9" s="5" t="s">
        <v>68</v>
      </c>
      <c r="I9" s="5" t="s">
        <v>69</v>
      </c>
      <c r="J9" s="5" t="s">
        <v>70</v>
      </c>
      <c r="K9" s="5" t="s">
        <v>29</v>
      </c>
      <c r="L9" s="5" t="s">
        <v>29</v>
      </c>
      <c r="M9" s="5" t="s">
        <v>52</v>
      </c>
      <c r="N9" s="9" t="s">
        <v>31</v>
      </c>
      <c r="O9" s="9">
        <f t="shared" ca="1" si="1"/>
        <v>46219</v>
      </c>
      <c r="P9" s="9">
        <v>46212</v>
      </c>
      <c r="Q9" s="5" t="s">
        <v>40</v>
      </c>
      <c r="R9" s="5"/>
      <c r="S9" s="23" t="s">
        <v>71</v>
      </c>
    </row>
    <row r="10" spans="1:19" ht="41.4">
      <c r="A10" s="7">
        <f t="shared" si="0"/>
        <v>7</v>
      </c>
      <c r="B10" s="5" t="s">
        <v>72</v>
      </c>
      <c r="C10" s="8" t="s">
        <v>73</v>
      </c>
      <c r="D10" s="5" t="s">
        <v>74</v>
      </c>
      <c r="E10" s="5" t="s">
        <v>75</v>
      </c>
      <c r="F10" s="7" t="s">
        <v>52</v>
      </c>
      <c r="G10" s="9">
        <v>46205</v>
      </c>
      <c r="H10" s="5" t="s">
        <v>76</v>
      </c>
      <c r="I10" s="5" t="s">
        <v>77</v>
      </c>
      <c r="J10" s="5" t="s">
        <v>78</v>
      </c>
      <c r="K10" s="5" t="s">
        <v>29</v>
      </c>
      <c r="L10" s="5" t="s">
        <v>39</v>
      </c>
      <c r="M10" s="5" t="s">
        <v>52</v>
      </c>
      <c r="N10" s="9" t="s">
        <v>31</v>
      </c>
      <c r="O10" s="9">
        <f t="shared" ca="1" si="1"/>
        <v>46214</v>
      </c>
      <c r="P10" s="9">
        <v>46207</v>
      </c>
      <c r="Q10" s="5" t="s">
        <v>40</v>
      </c>
      <c r="R10" s="5"/>
    </row>
    <row r="11" spans="1:19" ht="27.6">
      <c r="A11" s="7">
        <f t="shared" si="0"/>
        <v>8</v>
      </c>
      <c r="B11" s="5" t="s">
        <v>79</v>
      </c>
      <c r="C11" s="17" t="s">
        <v>80</v>
      </c>
      <c r="D11" s="5" t="s">
        <v>23</v>
      </c>
      <c r="E11" s="5" t="s">
        <v>81</v>
      </c>
      <c r="F11" s="7" t="s">
        <v>25</v>
      </c>
      <c r="G11" s="9">
        <v>46207</v>
      </c>
      <c r="H11" s="5" t="s">
        <v>82</v>
      </c>
      <c r="I11" s="5" t="s">
        <v>83</v>
      </c>
      <c r="J11" s="5" t="s">
        <v>84</v>
      </c>
      <c r="K11" s="5" t="s">
        <v>29</v>
      </c>
      <c r="L11" s="5" t="s">
        <v>29</v>
      </c>
      <c r="M11" s="5" t="s">
        <v>30</v>
      </c>
      <c r="N11" s="9" t="s">
        <v>31</v>
      </c>
      <c r="O11" s="9">
        <f t="shared" ca="1" si="1"/>
        <v>46235</v>
      </c>
      <c r="P11" s="9">
        <v>46214</v>
      </c>
      <c r="Q11" s="5" t="s">
        <v>32</v>
      </c>
      <c r="R11" s="5" t="s">
        <v>85</v>
      </c>
    </row>
    <row r="12" spans="1:19" ht="41.4">
      <c r="A12" s="7">
        <f t="shared" si="0"/>
        <v>9</v>
      </c>
      <c r="B12" s="5" t="s">
        <v>86</v>
      </c>
      <c r="C12" s="8" t="s">
        <v>87</v>
      </c>
      <c r="D12" s="5" t="s">
        <v>88</v>
      </c>
      <c r="E12" s="5" t="s">
        <v>89</v>
      </c>
      <c r="F12" s="7" t="s">
        <v>25</v>
      </c>
      <c r="G12" s="9">
        <v>46208</v>
      </c>
      <c r="H12" s="5" t="s">
        <v>90</v>
      </c>
      <c r="I12" s="5" t="s">
        <v>91</v>
      </c>
      <c r="J12" s="5" t="s">
        <v>92</v>
      </c>
      <c r="K12" s="5" t="s">
        <v>29</v>
      </c>
      <c r="L12" s="5" t="s">
        <v>39</v>
      </c>
      <c r="M12" s="5" t="s">
        <v>30</v>
      </c>
      <c r="N12" s="9" t="s">
        <v>31</v>
      </c>
      <c r="O12" s="9">
        <f t="shared" ca="1" si="1"/>
        <v>46236</v>
      </c>
      <c r="P12" s="9">
        <v>46215</v>
      </c>
      <c r="Q12" s="5" t="s">
        <v>32</v>
      </c>
      <c r="R12" s="5" t="s">
        <v>93</v>
      </c>
    </row>
    <row r="13" spans="1:19" ht="27.6">
      <c r="A13" s="7">
        <f t="shared" si="0"/>
        <v>10</v>
      </c>
      <c r="B13" s="5" t="s">
        <v>94</v>
      </c>
      <c r="C13" s="8" t="s">
        <v>95</v>
      </c>
      <c r="D13" s="5" t="s">
        <v>23</v>
      </c>
      <c r="E13" s="5" t="s">
        <v>96</v>
      </c>
      <c r="F13" s="7" t="s">
        <v>25</v>
      </c>
      <c r="G13" s="9">
        <v>46208</v>
      </c>
      <c r="H13" s="5" t="s">
        <v>97</v>
      </c>
      <c r="I13" s="5" t="s">
        <v>98</v>
      </c>
      <c r="J13" s="5" t="s">
        <v>99</v>
      </c>
      <c r="K13" s="5" t="s">
        <v>29</v>
      </c>
      <c r="L13" s="5" t="s">
        <v>39</v>
      </c>
      <c r="M13" s="5" t="s">
        <v>30</v>
      </c>
      <c r="N13" s="9" t="s">
        <v>31</v>
      </c>
      <c r="O13" s="9">
        <f t="shared" ca="1" si="1"/>
        <v>46236</v>
      </c>
      <c r="P13" s="9">
        <v>46215</v>
      </c>
      <c r="Q13" s="5" t="s">
        <v>32</v>
      </c>
      <c r="R13" s="5" t="s">
        <v>100</v>
      </c>
    </row>
    <row r="14" spans="1:19">
      <c r="A14" s="7">
        <f t="shared" si="0"/>
        <v>11</v>
      </c>
      <c r="B14" s="5" t="s">
        <v>101</v>
      </c>
      <c r="C14" s="8"/>
      <c r="D14" s="5"/>
      <c r="E14" s="5"/>
      <c r="F14" s="7"/>
      <c r="G14" s="9">
        <v>46209</v>
      </c>
      <c r="H14" s="5"/>
      <c r="I14" s="5"/>
      <c r="J14" s="5"/>
      <c r="K14" s="5"/>
      <c r="L14" s="5"/>
      <c r="M14" s="5"/>
      <c r="N14" s="9" t="s">
        <v>31</v>
      </c>
      <c r="O14" s="9" t="str">
        <f t="shared" ca="1" si="1"/>
        <v/>
      </c>
      <c r="P14" s="9"/>
      <c r="Q14" s="5" t="s">
        <v>40</v>
      </c>
      <c r="R14" s="5"/>
    </row>
    <row r="15" spans="1:19" ht="27.6">
      <c r="A15" s="7">
        <f t="shared" si="0"/>
        <v>12</v>
      </c>
      <c r="B15" s="5" t="s">
        <v>102</v>
      </c>
      <c r="C15" s="8"/>
      <c r="D15" s="5"/>
      <c r="E15" s="5"/>
      <c r="F15" s="7"/>
      <c r="G15" s="9">
        <v>46209</v>
      </c>
      <c r="H15" s="5"/>
      <c r="I15" s="5"/>
      <c r="J15" s="5"/>
      <c r="K15" s="5"/>
      <c r="L15" s="5"/>
      <c r="M15" s="5"/>
      <c r="N15" s="9" t="s">
        <v>31</v>
      </c>
      <c r="O15" s="9" t="str">
        <f t="shared" ca="1" si="1"/>
        <v/>
      </c>
      <c r="P15" s="9"/>
      <c r="Q15" s="5" t="s">
        <v>40</v>
      </c>
      <c r="R15" s="5"/>
    </row>
    <row r="16" spans="1:19">
      <c r="A16" s="7">
        <f t="shared" si="0"/>
        <v>13</v>
      </c>
      <c r="B16" s="5" t="s">
        <v>103</v>
      </c>
      <c r="C16" s="8"/>
      <c r="D16" s="5"/>
      <c r="E16" s="5"/>
      <c r="F16" s="7"/>
      <c r="G16" s="9">
        <v>46210</v>
      </c>
      <c r="H16" s="5"/>
      <c r="I16" s="5"/>
      <c r="J16" s="5"/>
      <c r="K16" s="5"/>
      <c r="L16" s="5"/>
      <c r="M16" s="5"/>
      <c r="N16" s="9" t="s">
        <v>31</v>
      </c>
      <c r="O16" s="9" t="str">
        <f t="shared" ca="1" si="1"/>
        <v/>
      </c>
      <c r="P16" s="9"/>
      <c r="Q16" s="5" t="s">
        <v>40</v>
      </c>
      <c r="R16" s="5"/>
    </row>
    <row r="17" spans="1:19" ht="41.4">
      <c r="A17" s="7">
        <f t="shared" si="0"/>
        <v>14</v>
      </c>
      <c r="B17" s="5" t="s">
        <v>104</v>
      </c>
      <c r="C17" s="8" t="s">
        <v>105</v>
      </c>
      <c r="D17" s="5" t="s">
        <v>106</v>
      </c>
      <c r="E17" s="5" t="s">
        <v>107</v>
      </c>
      <c r="F17" s="7" t="s">
        <v>52</v>
      </c>
      <c r="G17" s="9">
        <v>46211</v>
      </c>
      <c r="H17" s="5" t="s">
        <v>108</v>
      </c>
      <c r="I17" s="5" t="s">
        <v>109</v>
      </c>
      <c r="J17" s="5" t="s">
        <v>110</v>
      </c>
      <c r="K17" s="5" t="s">
        <v>111</v>
      </c>
      <c r="L17" s="5" t="s">
        <v>29</v>
      </c>
      <c r="M17" s="5" t="s">
        <v>112</v>
      </c>
      <c r="N17" s="9" t="s">
        <v>31</v>
      </c>
      <c r="O17" s="9">
        <f t="shared" ca="1" si="1"/>
        <v>46213</v>
      </c>
      <c r="P17" s="9"/>
      <c r="Q17" s="5" t="s">
        <v>113</v>
      </c>
      <c r="R17" s="5" t="s">
        <v>114</v>
      </c>
    </row>
    <row r="18" spans="1:19" ht="41.4">
      <c r="A18" s="7">
        <f t="shared" si="0"/>
        <v>15</v>
      </c>
      <c r="B18" s="5" t="s">
        <v>115</v>
      </c>
      <c r="C18" s="17" t="s">
        <v>116</v>
      </c>
      <c r="D18" s="5" t="s">
        <v>117</v>
      </c>
      <c r="E18" s="5" t="s">
        <v>118</v>
      </c>
      <c r="F18" s="7" t="s">
        <v>52</v>
      </c>
      <c r="G18" s="9">
        <v>46212</v>
      </c>
      <c r="H18" s="5" t="s">
        <v>119</v>
      </c>
      <c r="I18" s="5" t="s">
        <v>120</v>
      </c>
      <c r="J18" s="5" t="s">
        <v>121</v>
      </c>
      <c r="K18" s="5" t="s">
        <v>111</v>
      </c>
      <c r="L18" s="5" t="s">
        <v>29</v>
      </c>
      <c r="M18" s="5" t="s">
        <v>112</v>
      </c>
      <c r="N18" s="9" t="s">
        <v>31</v>
      </c>
      <c r="O18" s="9">
        <f t="shared" ca="1" si="1"/>
        <v>46222</v>
      </c>
      <c r="P18" s="9">
        <v>46219</v>
      </c>
      <c r="Q18" s="5" t="s">
        <v>40</v>
      </c>
      <c r="R18" s="5" t="s">
        <v>122</v>
      </c>
    </row>
    <row r="19" spans="1:19" ht="41.4">
      <c r="A19" s="7">
        <f t="shared" si="0"/>
        <v>16</v>
      </c>
      <c r="B19" s="5" t="s">
        <v>123</v>
      </c>
      <c r="C19" s="17" t="s">
        <v>124</v>
      </c>
      <c r="D19" s="5"/>
      <c r="E19" s="5"/>
      <c r="F19" s="7" t="s">
        <v>52</v>
      </c>
      <c r="G19" s="9">
        <v>46222</v>
      </c>
      <c r="H19" s="5"/>
      <c r="I19" s="5"/>
      <c r="J19" s="5"/>
      <c r="K19" s="5"/>
      <c r="L19" s="5"/>
      <c r="M19" s="5"/>
      <c r="N19" s="9"/>
      <c r="O19" s="9" t="str">
        <f t="shared" ca="1" si="1"/>
        <v/>
      </c>
      <c r="P19" s="9"/>
      <c r="Q19" s="5"/>
      <c r="R19" s="5"/>
    </row>
    <row r="20" spans="1:19" ht="41.4">
      <c r="A20" s="7">
        <f t="shared" si="0"/>
        <v>17</v>
      </c>
      <c r="B20" s="5" t="s">
        <v>125</v>
      </c>
      <c r="C20" s="22" t="s">
        <v>126</v>
      </c>
      <c r="D20" s="5" t="s">
        <v>23</v>
      </c>
      <c r="E20" s="5" t="s">
        <v>127</v>
      </c>
      <c r="F20" s="7" t="s">
        <v>25</v>
      </c>
      <c r="G20" s="9">
        <v>46230</v>
      </c>
      <c r="H20" s="5" t="s">
        <v>128</v>
      </c>
      <c r="I20" s="5" t="s">
        <v>129</v>
      </c>
      <c r="J20" s="5" t="s">
        <v>130</v>
      </c>
      <c r="K20" s="5" t="s">
        <v>29</v>
      </c>
      <c r="L20" s="5" t="s">
        <v>39</v>
      </c>
      <c r="M20" s="5" t="s">
        <v>30</v>
      </c>
      <c r="N20" s="9" t="s">
        <v>31</v>
      </c>
      <c r="O20" s="9">
        <f t="shared" ca="1" si="1"/>
        <v>46244</v>
      </c>
      <c r="P20" s="9"/>
      <c r="Q20" s="5" t="s">
        <v>32</v>
      </c>
      <c r="R20" s="5"/>
    </row>
    <row r="21" spans="1:19" ht="41.4">
      <c r="A21" s="7">
        <f t="shared" si="0"/>
        <v>18</v>
      </c>
      <c r="B21" s="5" t="s">
        <v>131</v>
      </c>
      <c r="C21" s="22" t="s">
        <v>132</v>
      </c>
      <c r="D21" s="5" t="s">
        <v>133</v>
      </c>
      <c r="E21" s="5" t="s">
        <v>134</v>
      </c>
      <c r="F21" s="7" t="s">
        <v>25</v>
      </c>
      <c r="G21" s="9">
        <v>46232</v>
      </c>
      <c r="H21" s="5" t="s">
        <v>135</v>
      </c>
      <c r="I21" s="5" t="s">
        <v>136</v>
      </c>
      <c r="J21" s="5" t="s">
        <v>137</v>
      </c>
      <c r="K21" s="5" t="s">
        <v>138</v>
      </c>
      <c r="L21" s="5" t="s">
        <v>29</v>
      </c>
      <c r="M21" s="5" t="s">
        <v>52</v>
      </c>
      <c r="N21" s="9" t="s">
        <v>31</v>
      </c>
      <c r="O21" s="9">
        <f t="shared" ca="1" si="1"/>
        <v>46237</v>
      </c>
      <c r="P21" s="9"/>
      <c r="Q21" s="5" t="s">
        <v>113</v>
      </c>
      <c r="R21" s="5"/>
    </row>
    <row r="22" spans="1:19" ht="41.4">
      <c r="A22" s="7">
        <f t="shared" si="0"/>
        <v>19</v>
      </c>
      <c r="B22" s="5" t="s">
        <v>139</v>
      </c>
      <c r="C22" s="22" t="s">
        <v>140</v>
      </c>
      <c r="D22" s="5"/>
      <c r="E22" s="5"/>
      <c r="F22" s="7"/>
      <c r="G22" s="9"/>
      <c r="H22" s="5"/>
      <c r="I22" s="5"/>
      <c r="J22" s="5"/>
      <c r="K22" s="5"/>
      <c r="L22" s="5"/>
      <c r="M22" s="5"/>
      <c r="N22" s="9"/>
      <c r="O22" s="9" t="str">
        <f t="shared" ca="1" si="1"/>
        <v/>
      </c>
      <c r="P22" s="9"/>
      <c r="Q22" s="5"/>
      <c r="R22" s="5"/>
    </row>
    <row r="23" spans="1:19" ht="41.4">
      <c r="A23" s="7">
        <f t="shared" si="0"/>
        <v>20</v>
      </c>
      <c r="B23" s="5" t="s">
        <v>141</v>
      </c>
      <c r="C23" s="22" t="s">
        <v>142</v>
      </c>
      <c r="D23" s="5" t="s">
        <v>143</v>
      </c>
      <c r="E23" s="5" t="s">
        <v>144</v>
      </c>
      <c r="F23" s="7" t="s">
        <v>25</v>
      </c>
      <c r="G23" s="9">
        <v>46234</v>
      </c>
      <c r="H23" s="5" t="s">
        <v>145</v>
      </c>
      <c r="I23" s="5" t="s">
        <v>146</v>
      </c>
      <c r="J23" s="5" t="s">
        <v>147</v>
      </c>
      <c r="K23" s="5" t="s">
        <v>29</v>
      </c>
      <c r="L23" s="5" t="s">
        <v>39</v>
      </c>
      <c r="M23" s="5" t="s">
        <v>52</v>
      </c>
      <c r="N23" s="9" t="s">
        <v>31</v>
      </c>
      <c r="O23" s="9">
        <f t="shared" ca="1" si="1"/>
        <v>46239</v>
      </c>
      <c r="P23" s="9"/>
      <c r="Q23" s="5" t="s">
        <v>113</v>
      </c>
      <c r="R23" s="5" t="s">
        <v>148</v>
      </c>
      <c r="S23" s="3"/>
    </row>
    <row r="24" spans="1:19" ht="35.25" customHeight="1">
      <c r="A24" s="7">
        <f t="shared" si="0"/>
        <v>21</v>
      </c>
      <c r="B24" s="5" t="s">
        <v>149</v>
      </c>
      <c r="C24" s="22" t="s">
        <v>150</v>
      </c>
      <c r="D24" s="5" t="s">
        <v>151</v>
      </c>
      <c r="E24" s="5" t="s">
        <v>152</v>
      </c>
      <c r="F24" s="7" t="s">
        <v>52</v>
      </c>
      <c r="G24" s="9">
        <v>46234</v>
      </c>
      <c r="H24" s="5" t="s">
        <v>153</v>
      </c>
      <c r="I24" s="5" t="s">
        <v>154</v>
      </c>
      <c r="J24" s="5" t="s">
        <v>155</v>
      </c>
      <c r="K24" s="5" t="s">
        <v>156</v>
      </c>
      <c r="L24" s="5" t="s">
        <v>39</v>
      </c>
      <c r="M24" s="5" t="s">
        <v>52</v>
      </c>
      <c r="N24" s="9" t="s">
        <v>31</v>
      </c>
      <c r="O24" s="9">
        <f t="shared" ca="1" si="1"/>
        <v>46239</v>
      </c>
      <c r="P24" s="9"/>
      <c r="Q24" s="5" t="s">
        <v>113</v>
      </c>
      <c r="R24" s="5" t="s">
        <v>157</v>
      </c>
    </row>
    <row r="25" spans="1:19" ht="41.4">
      <c r="A25" s="7">
        <f t="shared" si="0"/>
        <v>22</v>
      </c>
      <c r="B25" s="5" t="s">
        <v>158</v>
      </c>
      <c r="C25" s="22" t="s">
        <v>159</v>
      </c>
      <c r="D25" s="5" t="s">
        <v>160</v>
      </c>
      <c r="E25" s="5" t="s">
        <v>161</v>
      </c>
      <c r="F25" s="7" t="s">
        <v>52</v>
      </c>
      <c r="G25" s="9">
        <v>46235</v>
      </c>
      <c r="H25" s="5" t="s">
        <v>162</v>
      </c>
      <c r="I25" s="5" t="s">
        <v>163</v>
      </c>
      <c r="J25" s="5" t="s">
        <v>164</v>
      </c>
      <c r="K25" s="5" t="s">
        <v>165</v>
      </c>
      <c r="L25" s="5" t="s">
        <v>166</v>
      </c>
      <c r="M25" s="5" t="s">
        <v>112</v>
      </c>
      <c r="N25" s="9" t="s">
        <v>31</v>
      </c>
      <c r="O25" s="9">
        <f t="shared" ca="1" si="1"/>
        <v>46237</v>
      </c>
      <c r="P25" s="9"/>
      <c r="Q25" s="5" t="s">
        <v>113</v>
      </c>
      <c r="R25" s="5" t="s">
        <v>167</v>
      </c>
    </row>
    <row r="26" spans="1:19" ht="41.4">
      <c r="A26" s="7">
        <f t="shared" si="0"/>
        <v>23</v>
      </c>
      <c r="B26" s="5" t="s">
        <v>168</v>
      </c>
      <c r="C26" s="22" t="s">
        <v>169</v>
      </c>
      <c r="D26" s="5" t="s">
        <v>160</v>
      </c>
      <c r="E26" s="5" t="s">
        <v>170</v>
      </c>
      <c r="F26" s="7" t="s">
        <v>52</v>
      </c>
      <c r="G26" s="9">
        <v>46235</v>
      </c>
      <c r="H26" s="5" t="s">
        <v>171</v>
      </c>
      <c r="I26" s="5" t="s">
        <v>172</v>
      </c>
      <c r="J26" s="5" t="s">
        <v>173</v>
      </c>
      <c r="K26" s="5" t="s">
        <v>166</v>
      </c>
      <c r="L26" s="5" t="s">
        <v>166</v>
      </c>
      <c r="M26" s="5" t="s">
        <v>52</v>
      </c>
      <c r="N26" s="9" t="s">
        <v>31</v>
      </c>
      <c r="O26" s="9">
        <f t="shared" ca="1" si="1"/>
        <v>46257</v>
      </c>
      <c r="P26" s="9">
        <v>46250</v>
      </c>
      <c r="Q26" s="5" t="s">
        <v>40</v>
      </c>
      <c r="R26" s="5" t="s">
        <v>174</v>
      </c>
    </row>
    <row r="27" spans="1:19" ht="27.6">
      <c r="A27" s="7">
        <f t="shared" si="0"/>
        <v>24</v>
      </c>
      <c r="B27" s="5" t="s">
        <v>175</v>
      </c>
      <c r="C27" s="22" t="s">
        <v>176</v>
      </c>
      <c r="D27" s="5" t="s">
        <v>177</v>
      </c>
      <c r="E27" s="5" t="s">
        <v>178</v>
      </c>
      <c r="F27" s="7" t="s">
        <v>25</v>
      </c>
      <c r="G27" s="9">
        <v>46235</v>
      </c>
      <c r="H27" s="5" t="s">
        <v>179</v>
      </c>
      <c r="I27" s="5" t="s">
        <v>180</v>
      </c>
      <c r="J27" s="5" t="s">
        <v>181</v>
      </c>
      <c r="K27" s="5" t="s">
        <v>29</v>
      </c>
      <c r="L27" s="5" t="s">
        <v>39</v>
      </c>
      <c r="M27" s="5" t="s">
        <v>30</v>
      </c>
      <c r="N27" s="9" t="s">
        <v>31</v>
      </c>
      <c r="O27" s="9">
        <f t="shared" ca="1" si="1"/>
        <v>46274</v>
      </c>
      <c r="P27" s="9">
        <v>46253</v>
      </c>
      <c r="Q27" s="5" t="s">
        <v>32</v>
      </c>
      <c r="R27" s="5" t="s">
        <v>182</v>
      </c>
    </row>
    <row r="28" spans="1:19" ht="27.6">
      <c r="A28" s="7">
        <f t="shared" si="0"/>
        <v>25</v>
      </c>
      <c r="B28" s="5" t="s">
        <v>183</v>
      </c>
      <c r="C28" s="22" t="s">
        <v>184</v>
      </c>
      <c r="D28" s="5" t="s">
        <v>177</v>
      </c>
      <c r="E28" s="5" t="s">
        <v>178</v>
      </c>
      <c r="F28" s="7" t="s">
        <v>25</v>
      </c>
      <c r="G28" s="9">
        <v>46235</v>
      </c>
      <c r="H28" s="5" t="s">
        <v>185</v>
      </c>
      <c r="I28" s="5" t="s">
        <v>186</v>
      </c>
      <c r="J28" s="5" t="s">
        <v>187</v>
      </c>
      <c r="K28" s="5" t="s">
        <v>29</v>
      </c>
      <c r="L28" s="5" t="s">
        <v>29</v>
      </c>
      <c r="M28" s="5" t="s">
        <v>30</v>
      </c>
      <c r="N28" s="9" t="s">
        <v>31</v>
      </c>
      <c r="O28" s="9">
        <f t="shared" ca="1" si="1"/>
        <v>46249</v>
      </c>
      <c r="P28" s="9"/>
      <c r="Q28" s="5" t="s">
        <v>32</v>
      </c>
      <c r="R28" s="5" t="s">
        <v>188</v>
      </c>
    </row>
    <row r="29" spans="1:19">
      <c r="A29" s="7">
        <f t="shared" si="0"/>
        <v>26</v>
      </c>
      <c r="B29" s="5" t="s">
        <v>189</v>
      </c>
      <c r="C29" s="5"/>
      <c r="D29" s="5"/>
      <c r="E29" s="5"/>
      <c r="F29" s="7"/>
      <c r="G29" s="9"/>
      <c r="H29" s="5"/>
      <c r="I29" s="5"/>
      <c r="J29" s="5"/>
      <c r="K29" s="5"/>
      <c r="L29" s="5"/>
      <c r="M29" s="5"/>
      <c r="N29" s="9"/>
      <c r="O29" s="9" t="str">
        <f t="shared" ca="1" si="1"/>
        <v/>
      </c>
      <c r="P29" s="9"/>
      <c r="Q29" s="5"/>
      <c r="R29" s="5"/>
    </row>
    <row r="30" spans="1:19" ht="27.6">
      <c r="A30" s="7">
        <f t="shared" si="0"/>
        <v>27</v>
      </c>
      <c r="B30" s="5" t="s">
        <v>190</v>
      </c>
      <c r="C30" s="22" t="s">
        <v>191</v>
      </c>
      <c r="D30" s="5"/>
      <c r="E30" s="5"/>
      <c r="F30" s="7"/>
      <c r="G30" s="9"/>
      <c r="H30" s="5"/>
      <c r="I30" s="5"/>
      <c r="J30" s="5"/>
      <c r="K30" s="5"/>
      <c r="L30" s="5"/>
      <c r="M30" s="5"/>
      <c r="N30" s="9"/>
      <c r="O30" s="9" t="str">
        <f t="shared" ca="1" si="1"/>
        <v/>
      </c>
      <c r="P30" s="9"/>
      <c r="Q30" s="5"/>
      <c r="R30" s="5"/>
    </row>
    <row r="31" spans="1:19" ht="41.4">
      <c r="A31" s="7">
        <f t="shared" si="0"/>
        <v>28</v>
      </c>
      <c r="B31" s="5" t="s">
        <v>192</v>
      </c>
      <c r="C31" s="22" t="s">
        <v>193</v>
      </c>
      <c r="D31" s="5"/>
      <c r="E31" s="5" t="s">
        <v>194</v>
      </c>
      <c r="F31" s="7" t="s">
        <v>25</v>
      </c>
      <c r="G31" s="9">
        <v>46240</v>
      </c>
      <c r="H31" s="5" t="s">
        <v>195</v>
      </c>
      <c r="I31" s="5" t="s">
        <v>196</v>
      </c>
      <c r="J31" s="5" t="s">
        <v>197</v>
      </c>
      <c r="K31" s="5" t="s">
        <v>198</v>
      </c>
      <c r="L31" s="5" t="s">
        <v>39</v>
      </c>
      <c r="M31" s="5" t="s">
        <v>52</v>
      </c>
      <c r="N31" s="9" t="s">
        <v>31</v>
      </c>
      <c r="O31" s="9">
        <f t="shared" ca="1" si="1"/>
        <v>46245</v>
      </c>
      <c r="P31" s="9"/>
      <c r="Q31" s="5"/>
      <c r="R31" s="5" t="s">
        <v>199</v>
      </c>
    </row>
    <row r="32" spans="1:19" ht="27.6">
      <c r="A32" s="7">
        <f t="shared" si="0"/>
        <v>29</v>
      </c>
      <c r="B32" s="5" t="s">
        <v>200</v>
      </c>
      <c r="C32" s="22" t="s">
        <v>201</v>
      </c>
      <c r="D32" s="5" t="s">
        <v>202</v>
      </c>
      <c r="E32" s="5" t="s">
        <v>203</v>
      </c>
      <c r="F32" s="7" t="s">
        <v>204</v>
      </c>
      <c r="G32" s="9">
        <v>46244</v>
      </c>
      <c r="H32" s="5" t="s">
        <v>205</v>
      </c>
      <c r="I32" s="5" t="s">
        <v>206</v>
      </c>
      <c r="J32" s="5" t="s">
        <v>207</v>
      </c>
      <c r="K32" s="5" t="s">
        <v>208</v>
      </c>
      <c r="L32" s="5" t="s">
        <v>29</v>
      </c>
      <c r="M32" s="5" t="s">
        <v>52</v>
      </c>
      <c r="N32" s="9" t="s">
        <v>31</v>
      </c>
      <c r="O32" s="9">
        <f t="shared" ca="1" si="1"/>
        <v>46249</v>
      </c>
      <c r="P32" s="9"/>
      <c r="Q32" s="5" t="s">
        <v>113</v>
      </c>
      <c r="R32" s="5" t="s">
        <v>209</v>
      </c>
    </row>
    <row r="33" spans="1:18" ht="55.2">
      <c r="A33" s="7">
        <f t="shared" si="0"/>
        <v>30</v>
      </c>
      <c r="B33" s="5" t="s">
        <v>210</v>
      </c>
      <c r="C33" s="22" t="s">
        <v>211</v>
      </c>
      <c r="D33" s="5" t="s">
        <v>212</v>
      </c>
      <c r="E33" s="5" t="s">
        <v>213</v>
      </c>
      <c r="F33" s="7" t="s">
        <v>25</v>
      </c>
      <c r="G33" s="9">
        <v>46245</v>
      </c>
      <c r="H33" s="5" t="s">
        <v>214</v>
      </c>
      <c r="I33" s="5" t="s">
        <v>215</v>
      </c>
      <c r="J33" s="5" t="s">
        <v>216</v>
      </c>
      <c r="K33" s="5" t="s">
        <v>29</v>
      </c>
      <c r="L33" s="5" t="s">
        <v>29</v>
      </c>
      <c r="M33" s="5" t="s">
        <v>30</v>
      </c>
      <c r="N33" s="9" t="s">
        <v>31</v>
      </c>
      <c r="O33" s="9">
        <f t="shared" ca="1" si="1"/>
        <v>46259</v>
      </c>
      <c r="P33" s="9"/>
      <c r="Q33" s="5" t="s">
        <v>113</v>
      </c>
      <c r="R33" s="5" t="s">
        <v>217</v>
      </c>
    </row>
    <row r="34" spans="1:18" ht="41.4">
      <c r="A34" s="7">
        <f t="shared" si="0"/>
        <v>31</v>
      </c>
      <c r="B34" s="5" t="s">
        <v>218</v>
      </c>
      <c r="C34" s="22" t="s">
        <v>219</v>
      </c>
      <c r="D34" s="5"/>
      <c r="E34" s="5" t="s">
        <v>220</v>
      </c>
      <c r="F34" s="7" t="s">
        <v>52</v>
      </c>
      <c r="G34" s="9">
        <v>46246</v>
      </c>
      <c r="H34" s="5" t="s">
        <v>221</v>
      </c>
      <c r="I34" s="5" t="s">
        <v>222</v>
      </c>
      <c r="J34" s="5" t="s">
        <v>223</v>
      </c>
      <c r="K34" s="5" t="s">
        <v>29</v>
      </c>
      <c r="L34" s="5" t="s">
        <v>29</v>
      </c>
      <c r="M34" s="5" t="s">
        <v>52</v>
      </c>
      <c r="N34" s="9" t="s">
        <v>31</v>
      </c>
      <c r="O34" s="9">
        <f t="shared" ca="1" si="1"/>
        <v>46251</v>
      </c>
      <c r="P34" s="9"/>
      <c r="Q34" s="5" t="s">
        <v>113</v>
      </c>
      <c r="R34" s="5" t="s">
        <v>224</v>
      </c>
    </row>
    <row r="35" spans="1:18" ht="27.6">
      <c r="A35" s="7">
        <f t="shared" si="0"/>
        <v>32</v>
      </c>
      <c r="B35" s="26" t="s">
        <v>225</v>
      </c>
      <c r="C35" s="22" t="s">
        <v>226</v>
      </c>
      <c r="D35" s="5"/>
      <c r="E35" s="5" t="s">
        <v>227</v>
      </c>
      <c r="F35" s="7" t="s">
        <v>25</v>
      </c>
      <c r="G35" s="9">
        <v>46246</v>
      </c>
      <c r="H35" s="5" t="s">
        <v>228</v>
      </c>
      <c r="I35" s="5" t="s">
        <v>229</v>
      </c>
      <c r="J35" s="5"/>
      <c r="K35" s="5" t="s">
        <v>230</v>
      </c>
      <c r="L35" s="5" t="s">
        <v>29</v>
      </c>
      <c r="M35" s="5" t="s">
        <v>52</v>
      </c>
      <c r="N35" s="9" t="s">
        <v>31</v>
      </c>
      <c r="O35" s="9">
        <f ca="1">IF(OR($C35="",$N35&lt;&gt;"Yes",$G35="",$M35=""),"",IF(AND(ISNUMBER($P35),$P35&lt;=TODAY()),$P35+IF($M35="Low",3,IF($M35="Medium",7,21)),$G35+IF($M35="Low",2,IF($M35="Medium",5,14))))</f>
        <v>46251</v>
      </c>
      <c r="P35" s="9"/>
      <c r="Q35" s="5" t="s">
        <v>113</v>
      </c>
      <c r="R35" s="5" t="s">
        <v>231</v>
      </c>
    </row>
    <row r="36" spans="1:18" ht="41.4">
      <c r="A36" s="7">
        <f t="shared" si="0"/>
        <v>33</v>
      </c>
      <c r="B36" s="5" t="s">
        <v>232</v>
      </c>
      <c r="C36" s="22" t="s">
        <v>233</v>
      </c>
      <c r="D36" s="5"/>
      <c r="E36" s="5"/>
      <c r="F36" s="7"/>
      <c r="G36" s="9"/>
      <c r="H36" s="5"/>
      <c r="I36" s="5"/>
      <c r="J36" s="5"/>
      <c r="K36" s="5"/>
      <c r="L36" s="5"/>
      <c r="M36" s="5"/>
      <c r="N36" s="9"/>
      <c r="O36" s="9" t="str">
        <f t="shared" ca="1" si="1"/>
        <v/>
      </c>
      <c r="P36" s="9"/>
      <c r="Q36" s="5"/>
      <c r="R36" s="5"/>
    </row>
    <row r="37" spans="1:18" ht="41.4">
      <c r="A37" s="7">
        <f t="shared" si="0"/>
        <v>34</v>
      </c>
      <c r="B37" s="5" t="s">
        <v>234</v>
      </c>
      <c r="C37" s="22" t="s">
        <v>235</v>
      </c>
      <c r="D37" s="5" t="s">
        <v>236</v>
      </c>
      <c r="E37" s="5"/>
      <c r="F37" s="7" t="s">
        <v>52</v>
      </c>
      <c r="G37" s="9">
        <v>46249</v>
      </c>
      <c r="H37" s="5" t="s">
        <v>237</v>
      </c>
      <c r="I37" s="5" t="s">
        <v>238</v>
      </c>
      <c r="J37" s="5" t="s">
        <v>239</v>
      </c>
      <c r="K37" s="5" t="s">
        <v>29</v>
      </c>
      <c r="L37" s="5" t="s">
        <v>39</v>
      </c>
      <c r="M37" s="5" t="s">
        <v>52</v>
      </c>
      <c r="N37" s="9" t="s">
        <v>31</v>
      </c>
      <c r="O37" s="9">
        <f t="shared" ca="1" si="1"/>
        <v>46254</v>
      </c>
      <c r="P37" s="9"/>
      <c r="Q37" s="5" t="s">
        <v>113</v>
      </c>
      <c r="R37" s="5" t="s">
        <v>240</v>
      </c>
    </row>
    <row r="38" spans="1:18" ht="27.6">
      <c r="A38" s="27">
        <f t="shared" si="0"/>
        <v>35</v>
      </c>
      <c r="B38" s="26" t="s">
        <v>241</v>
      </c>
      <c r="C38" s="28" t="s">
        <v>242</v>
      </c>
    </row>
    <row r="39" spans="1:18" ht="41.4">
      <c r="A39" s="7">
        <f t="shared" si="0"/>
        <v>36</v>
      </c>
      <c r="B39" s="5" t="s">
        <v>243</v>
      </c>
      <c r="C39" s="22" t="s">
        <v>244</v>
      </c>
      <c r="D39" s="5"/>
      <c r="E39" s="5" t="s">
        <v>245</v>
      </c>
      <c r="F39" s="7" t="s">
        <v>52</v>
      </c>
      <c r="G39" s="9">
        <v>46253</v>
      </c>
      <c r="H39" s="5" t="s">
        <v>246</v>
      </c>
      <c r="I39" s="5" t="s">
        <v>247</v>
      </c>
      <c r="J39" s="5" t="s">
        <v>248</v>
      </c>
      <c r="K39" s="5" t="s">
        <v>249</v>
      </c>
      <c r="L39" s="5" t="s">
        <v>250</v>
      </c>
      <c r="M39" s="5" t="s">
        <v>52</v>
      </c>
      <c r="N39" s="9" t="s">
        <v>31</v>
      </c>
      <c r="O39" s="9">
        <f t="shared" ca="1" si="1"/>
        <v>46258</v>
      </c>
      <c r="P39" s="9"/>
      <c r="Q39" s="5" t="s">
        <v>40</v>
      </c>
      <c r="R39" s="5" t="s">
        <v>251</v>
      </c>
    </row>
    <row r="40" spans="1:18" ht="41.4">
      <c r="A40" s="7">
        <f t="shared" si="0"/>
        <v>37</v>
      </c>
      <c r="B40" s="5" t="s">
        <v>252</v>
      </c>
      <c r="C40" s="5"/>
      <c r="E40" s="5" t="s">
        <v>253</v>
      </c>
      <c r="F40" s="7" t="s">
        <v>25</v>
      </c>
      <c r="G40" s="9">
        <v>46253</v>
      </c>
      <c r="H40" s="5" t="s">
        <v>254</v>
      </c>
      <c r="I40" s="5" t="s">
        <v>255</v>
      </c>
      <c r="J40" s="5" t="s">
        <v>256</v>
      </c>
      <c r="K40" s="5" t="s">
        <v>29</v>
      </c>
      <c r="L40" s="5" t="s">
        <v>29</v>
      </c>
      <c r="M40" s="5" t="s">
        <v>30</v>
      </c>
      <c r="N40" s="9" t="s">
        <v>31</v>
      </c>
      <c r="O40" s="9">
        <f t="shared" ca="1" si="1"/>
        <v>46267</v>
      </c>
      <c r="P40" s="9"/>
      <c r="Q40" s="5" t="s">
        <v>113</v>
      </c>
      <c r="R40" s="5" t="s">
        <v>257</v>
      </c>
    </row>
    <row r="41" spans="1:18" ht="41.4">
      <c r="A41" s="7">
        <f t="shared" si="0"/>
        <v>38</v>
      </c>
      <c r="B41" s="5" t="s">
        <v>16771</v>
      </c>
      <c r="C41" s="22" t="s">
        <v>16770</v>
      </c>
      <c r="D41" s="5"/>
      <c r="E41" s="5" t="s">
        <v>16772</v>
      </c>
      <c r="F41" s="7" t="s">
        <v>52</v>
      </c>
      <c r="G41" s="9">
        <v>46254</v>
      </c>
      <c r="H41" s="5" t="s">
        <v>16773</v>
      </c>
      <c r="I41" s="5" t="s">
        <v>16774</v>
      </c>
      <c r="J41" s="5" t="s">
        <v>16775</v>
      </c>
      <c r="K41" s="5" t="s">
        <v>138</v>
      </c>
      <c r="L41" s="5" t="s">
        <v>29</v>
      </c>
      <c r="M41" s="5" t="s">
        <v>52</v>
      </c>
      <c r="N41" s="9" t="s">
        <v>31</v>
      </c>
      <c r="O41" s="9">
        <f t="shared" ca="1" si="1"/>
        <v>46259</v>
      </c>
      <c r="P41" s="9"/>
      <c r="Q41" s="5" t="s">
        <v>40</v>
      </c>
      <c r="R41" s="5" t="s">
        <v>16776</v>
      </c>
    </row>
    <row r="42" spans="1:18" ht="55.2">
      <c r="A42" s="7">
        <f t="shared" si="0"/>
        <v>39</v>
      </c>
      <c r="B42" s="5" t="s">
        <v>16777</v>
      </c>
      <c r="C42" s="22" t="s">
        <v>16778</v>
      </c>
      <c r="D42" s="5"/>
      <c r="E42" s="5" t="s">
        <v>16779</v>
      </c>
      <c r="F42" s="7" t="s">
        <v>52</v>
      </c>
      <c r="G42" s="9">
        <v>46260</v>
      </c>
      <c r="H42" s="5" t="s">
        <v>16780</v>
      </c>
      <c r="I42" s="5" t="s">
        <v>16781</v>
      </c>
      <c r="J42" s="5" t="s">
        <v>16782</v>
      </c>
      <c r="K42" s="5" t="s">
        <v>16783</v>
      </c>
      <c r="L42" s="5" t="s">
        <v>29</v>
      </c>
      <c r="M42" s="5" t="s">
        <v>52</v>
      </c>
      <c r="N42" s="9" t="s">
        <v>31</v>
      </c>
      <c r="O42" s="9">
        <f t="shared" ca="1" si="1"/>
        <v>46265</v>
      </c>
      <c r="P42" s="9"/>
      <c r="Q42" s="5" t="s">
        <v>40</v>
      </c>
      <c r="R42" s="5" t="s">
        <v>16784</v>
      </c>
    </row>
    <row r="43" spans="1:18" ht="55.2">
      <c r="A43" s="7">
        <f t="shared" si="0"/>
        <v>40</v>
      </c>
      <c r="B43" s="5" t="s">
        <v>16785</v>
      </c>
      <c r="C43" s="22" t="s">
        <v>16786</v>
      </c>
      <c r="D43" s="5" t="s">
        <v>16789</v>
      </c>
      <c r="E43" s="5" t="s">
        <v>16787</v>
      </c>
      <c r="F43" s="7" t="s">
        <v>52</v>
      </c>
      <c r="G43" s="9">
        <v>46260</v>
      </c>
      <c r="H43" s="5" t="s">
        <v>16790</v>
      </c>
      <c r="I43" s="5" t="s">
        <v>16792</v>
      </c>
      <c r="J43" s="5" t="s">
        <v>16791</v>
      </c>
      <c r="K43" s="5" t="s">
        <v>29</v>
      </c>
      <c r="L43" s="5" t="s">
        <v>39</v>
      </c>
      <c r="M43" s="5" t="s">
        <v>52</v>
      </c>
      <c r="N43" s="9" t="s">
        <v>31</v>
      </c>
      <c r="O43" s="9">
        <f t="shared" ca="1" si="1"/>
        <v>46265</v>
      </c>
      <c r="P43" s="9"/>
      <c r="Q43" s="5" t="s">
        <v>113</v>
      </c>
      <c r="R43" s="5" t="s">
        <v>16788</v>
      </c>
    </row>
    <row r="44" spans="1:18" ht="41.4">
      <c r="A44" s="7">
        <f t="shared" si="0"/>
        <v>41</v>
      </c>
      <c r="B44" s="5" t="s">
        <v>16793</v>
      </c>
      <c r="C44" s="22" t="s">
        <v>16794</v>
      </c>
      <c r="D44" s="5" t="s">
        <v>16830</v>
      </c>
      <c r="E44" s="5" t="s">
        <v>16831</v>
      </c>
      <c r="F44" s="7" t="s">
        <v>25</v>
      </c>
      <c r="G44" s="9">
        <v>46262</v>
      </c>
      <c r="H44" s="5" t="s">
        <v>16795</v>
      </c>
      <c r="I44" s="5" t="s">
        <v>16796</v>
      </c>
      <c r="J44" s="5" t="s">
        <v>16797</v>
      </c>
      <c r="K44" s="5" t="s">
        <v>29</v>
      </c>
      <c r="L44" s="5" t="s">
        <v>39</v>
      </c>
      <c r="M44" s="5" t="s">
        <v>30</v>
      </c>
      <c r="N44" s="9" t="s">
        <v>31</v>
      </c>
      <c r="O44" s="9">
        <f t="shared" ca="1" si="1"/>
        <v>46296</v>
      </c>
      <c r="P44" s="9">
        <v>46275</v>
      </c>
      <c r="Q44" s="5" t="s">
        <v>40</v>
      </c>
      <c r="R44" s="5" t="s">
        <v>16798</v>
      </c>
    </row>
    <row r="45" spans="1:18" ht="41.4">
      <c r="A45" s="7">
        <f t="shared" si="0"/>
        <v>42</v>
      </c>
      <c r="B45" s="5" t="s">
        <v>16799</v>
      </c>
      <c r="C45" s="22" t="s">
        <v>16806</v>
      </c>
      <c r="D45" s="5" t="s">
        <v>16800</v>
      </c>
      <c r="E45" s="5" t="s">
        <v>16801</v>
      </c>
      <c r="F45" s="7" t="s">
        <v>52</v>
      </c>
      <c r="G45" s="9">
        <v>46264</v>
      </c>
      <c r="H45" s="5" t="s">
        <v>16802</v>
      </c>
      <c r="I45" s="5" t="s">
        <v>16803</v>
      </c>
      <c r="J45" s="5" t="s">
        <v>16804</v>
      </c>
      <c r="K45" s="5" t="s">
        <v>29</v>
      </c>
      <c r="L45" s="5" t="s">
        <v>39</v>
      </c>
      <c r="M45" s="5" t="s">
        <v>30</v>
      </c>
      <c r="N45" s="9" t="s">
        <v>31</v>
      </c>
      <c r="O45" s="9">
        <f t="shared" ca="1" si="1"/>
        <v>46278</v>
      </c>
      <c r="P45" s="9"/>
      <c r="Q45" s="5" t="s">
        <v>113</v>
      </c>
      <c r="R45" s="5" t="s">
        <v>16805</v>
      </c>
    </row>
    <row r="46" spans="1:18" ht="138">
      <c r="A46" s="7">
        <f t="shared" si="0"/>
        <v>43</v>
      </c>
      <c r="B46" s="5" t="s">
        <v>16808</v>
      </c>
      <c r="C46" s="22" t="s">
        <v>16807</v>
      </c>
      <c r="D46" s="5" t="s">
        <v>16809</v>
      </c>
      <c r="E46" s="5" t="s">
        <v>16810</v>
      </c>
      <c r="F46" s="7" t="s">
        <v>52</v>
      </c>
      <c r="G46" s="9">
        <v>46274</v>
      </c>
      <c r="H46" s="5" t="s">
        <v>16811</v>
      </c>
      <c r="I46" s="5" t="s">
        <v>16812</v>
      </c>
      <c r="J46" s="5" t="s">
        <v>16813</v>
      </c>
      <c r="K46" s="5" t="s">
        <v>16814</v>
      </c>
      <c r="L46" s="5" t="s">
        <v>39</v>
      </c>
      <c r="M46" s="5" t="s">
        <v>112</v>
      </c>
      <c r="N46" s="9" t="s">
        <v>31</v>
      </c>
      <c r="O46" s="9">
        <f t="shared" ca="1" si="1"/>
        <v>46276</v>
      </c>
      <c r="P46" s="9"/>
      <c r="Q46" s="5" t="s">
        <v>113</v>
      </c>
      <c r="R46" s="5" t="s">
        <v>16815</v>
      </c>
    </row>
    <row r="47" spans="1:18" ht="96.6">
      <c r="A47" s="7">
        <f t="shared" si="0"/>
        <v>44</v>
      </c>
      <c r="B47" s="5" t="s">
        <v>16817</v>
      </c>
      <c r="C47" s="22" t="s">
        <v>16816</v>
      </c>
      <c r="D47" s="5" t="s">
        <v>16818</v>
      </c>
      <c r="E47" s="5" t="s">
        <v>16819</v>
      </c>
      <c r="F47" s="7" t="s">
        <v>52</v>
      </c>
      <c r="G47" s="9">
        <v>46275</v>
      </c>
      <c r="H47" s="5" t="s">
        <v>16820</v>
      </c>
      <c r="I47" s="5" t="s">
        <v>16821</v>
      </c>
      <c r="J47" s="5" t="s">
        <v>16822</v>
      </c>
      <c r="K47" s="5" t="s">
        <v>29</v>
      </c>
      <c r="L47" s="5" t="s">
        <v>39</v>
      </c>
      <c r="M47" s="5" t="s">
        <v>52</v>
      </c>
      <c r="N47" s="9" t="s">
        <v>31</v>
      </c>
      <c r="O47" s="9">
        <f t="shared" ca="1" si="1"/>
        <v>46280</v>
      </c>
      <c r="P47" s="9"/>
      <c r="Q47" s="5" t="s">
        <v>113</v>
      </c>
      <c r="R47" s="5" t="s">
        <v>16823</v>
      </c>
    </row>
    <row r="48" spans="1:18" ht="96.6">
      <c r="A48" s="7">
        <f t="shared" si="0"/>
        <v>45</v>
      </c>
      <c r="B48" s="5" t="s">
        <v>16825</v>
      </c>
      <c r="C48" s="22" t="s">
        <v>16824</v>
      </c>
      <c r="D48" s="5" t="s">
        <v>16840</v>
      </c>
      <c r="E48" s="5" t="s">
        <v>16839</v>
      </c>
      <c r="F48" s="7" t="s">
        <v>52</v>
      </c>
      <c r="G48" s="9">
        <v>46275</v>
      </c>
      <c r="H48" s="5" t="s">
        <v>16838</v>
      </c>
      <c r="I48" s="5" t="s">
        <v>16826</v>
      </c>
      <c r="J48" s="5" t="s">
        <v>16827</v>
      </c>
      <c r="K48" s="5" t="s">
        <v>29</v>
      </c>
      <c r="L48" s="5" t="s">
        <v>16828</v>
      </c>
      <c r="M48" s="5" t="s">
        <v>30</v>
      </c>
      <c r="N48" s="9" t="s">
        <v>31</v>
      </c>
      <c r="O48" s="9">
        <f t="shared" ca="1" si="1"/>
        <v>46317</v>
      </c>
      <c r="P48" s="9">
        <v>46296</v>
      </c>
      <c r="Q48" s="5" t="s">
        <v>32</v>
      </c>
      <c r="R48" s="5" t="s">
        <v>16829</v>
      </c>
    </row>
    <row r="49" spans="1:18" ht="27.6">
      <c r="A49" s="7">
        <f t="shared" si="0"/>
        <v>46</v>
      </c>
      <c r="B49" s="5" t="s">
        <v>16832</v>
      </c>
      <c r="C49" s="22" t="s">
        <v>16837</v>
      </c>
      <c r="D49" s="5" t="s">
        <v>334</v>
      </c>
      <c r="E49" s="5" t="s">
        <v>16833</v>
      </c>
      <c r="F49" s="7" t="s">
        <v>25</v>
      </c>
      <c r="G49" s="9">
        <v>46296</v>
      </c>
      <c r="H49" s="5" t="s">
        <v>16834</v>
      </c>
      <c r="I49" s="5" t="s">
        <v>16835</v>
      </c>
      <c r="J49" s="5" t="s">
        <v>16836</v>
      </c>
      <c r="K49" s="5" t="s">
        <v>29</v>
      </c>
      <c r="L49" s="5" t="s">
        <v>29</v>
      </c>
      <c r="M49" s="5" t="s">
        <v>30</v>
      </c>
      <c r="N49" s="9" t="s">
        <v>31</v>
      </c>
      <c r="O49" s="9">
        <f t="shared" ca="1" si="1"/>
        <v>46310</v>
      </c>
      <c r="P49" s="9"/>
      <c r="Q49" s="5" t="s">
        <v>40</v>
      </c>
      <c r="R49" s="5"/>
    </row>
    <row r="50" spans="1:18" ht="55.2">
      <c r="A50" s="7">
        <f t="shared" si="0"/>
        <v>47</v>
      </c>
      <c r="B50" s="5" t="s">
        <v>16841</v>
      </c>
      <c r="C50" s="5"/>
      <c r="D50" s="5" t="s">
        <v>334</v>
      </c>
      <c r="E50" s="5" t="s">
        <v>16842</v>
      </c>
      <c r="F50" s="7" t="s">
        <v>52</v>
      </c>
      <c r="G50" s="9">
        <v>46298</v>
      </c>
      <c r="H50" s="5" t="s">
        <v>16843</v>
      </c>
      <c r="I50" s="5" t="s">
        <v>16844</v>
      </c>
      <c r="J50" s="5" t="s">
        <v>16845</v>
      </c>
      <c r="K50" s="5" t="s">
        <v>16846</v>
      </c>
      <c r="L50" s="5" t="s">
        <v>29</v>
      </c>
      <c r="M50" s="5" t="s">
        <v>52</v>
      </c>
      <c r="N50" s="9" t="s">
        <v>31</v>
      </c>
      <c r="O50" s="9">
        <f t="shared" ca="1" si="1"/>
        <v>46303</v>
      </c>
      <c r="P50" s="9"/>
      <c r="Q50" s="5" t="s">
        <v>113</v>
      </c>
      <c r="R50" s="5"/>
    </row>
    <row r="51" spans="1:18" ht="55.2">
      <c r="A51" s="7">
        <f t="shared" si="0"/>
        <v>48</v>
      </c>
      <c r="B51" s="5" t="s">
        <v>16854</v>
      </c>
      <c r="C51" s="22" t="s">
        <v>16847</v>
      </c>
      <c r="D51" s="5" t="s">
        <v>16848</v>
      </c>
      <c r="E51" s="5" t="s">
        <v>16849</v>
      </c>
      <c r="F51" s="7" t="s">
        <v>204</v>
      </c>
      <c r="G51" s="9">
        <v>46298</v>
      </c>
      <c r="H51" s="5" t="s">
        <v>16850</v>
      </c>
      <c r="I51" s="5" t="s">
        <v>16851</v>
      </c>
      <c r="J51" s="5" t="s">
        <v>16852</v>
      </c>
      <c r="K51" s="5" t="s">
        <v>29</v>
      </c>
      <c r="L51" s="5" t="s">
        <v>39</v>
      </c>
      <c r="M51" s="5" t="s">
        <v>52</v>
      </c>
      <c r="N51" s="9" t="s">
        <v>31</v>
      </c>
      <c r="O51" s="9">
        <f t="shared" ca="1" si="1"/>
        <v>46303</v>
      </c>
      <c r="P51" s="9"/>
      <c r="Q51" s="5" t="s">
        <v>113</v>
      </c>
      <c r="R51" s="5"/>
    </row>
    <row r="52" spans="1:18" ht="41.4">
      <c r="A52" s="7">
        <f t="shared" si="0"/>
        <v>49</v>
      </c>
      <c r="B52" s="5" t="s">
        <v>16859</v>
      </c>
      <c r="C52" s="22" t="s">
        <v>16853</v>
      </c>
      <c r="D52" s="5" t="s">
        <v>334</v>
      </c>
      <c r="E52" s="5" t="s">
        <v>16855</v>
      </c>
      <c r="F52" s="7" t="s">
        <v>52</v>
      </c>
      <c r="G52" s="9">
        <v>46304</v>
      </c>
      <c r="H52" s="5" t="s">
        <v>16856</v>
      </c>
      <c r="I52" s="5" t="s">
        <v>16857</v>
      </c>
      <c r="J52" s="5" t="s">
        <v>16858</v>
      </c>
      <c r="K52" s="5" t="s">
        <v>29</v>
      </c>
      <c r="L52" s="5" t="s">
        <v>29</v>
      </c>
      <c r="M52" s="5" t="s">
        <v>52</v>
      </c>
      <c r="N52" s="9" t="s">
        <v>31</v>
      </c>
      <c r="O52" s="9">
        <f t="shared" ca="1" si="1"/>
        <v>46309</v>
      </c>
      <c r="P52" s="9"/>
      <c r="Q52" s="5" t="s">
        <v>113</v>
      </c>
      <c r="R52" s="5"/>
    </row>
    <row r="53" spans="1:18">
      <c r="A53" s="7" t="str">
        <f t="shared" si="0"/>
        <v/>
      </c>
      <c r="B53" s="5"/>
      <c r="C53" s="5"/>
      <c r="D53" s="5"/>
      <c r="E53" s="5"/>
      <c r="F53" s="7"/>
      <c r="G53" s="9"/>
      <c r="H53" s="5"/>
      <c r="I53" s="5"/>
      <c r="J53" s="5"/>
      <c r="K53" s="5"/>
      <c r="L53" s="5"/>
      <c r="M53" s="5"/>
      <c r="N53" s="9"/>
      <c r="O53" s="9" t="str">
        <f t="shared" ca="1" si="1"/>
        <v/>
      </c>
      <c r="P53" s="9"/>
      <c r="Q53" s="5"/>
      <c r="R53" s="9"/>
    </row>
    <row r="54" spans="1:18">
      <c r="A54" s="7" t="str">
        <f t="shared" si="0"/>
        <v/>
      </c>
      <c r="B54" s="5"/>
      <c r="C54" s="5"/>
      <c r="D54" s="5"/>
      <c r="E54" s="5"/>
      <c r="F54" s="7"/>
      <c r="G54" s="9"/>
      <c r="H54" s="5"/>
      <c r="I54" s="5"/>
      <c r="J54" s="5"/>
      <c r="K54" s="5"/>
      <c r="L54" s="5"/>
      <c r="M54" s="5"/>
      <c r="N54" s="9"/>
      <c r="O54" s="9" t="str">
        <f t="shared" ca="1" si="1"/>
        <v/>
      </c>
      <c r="P54" s="9"/>
      <c r="Q54" s="5"/>
      <c r="R54" s="9"/>
    </row>
    <row r="55" spans="1:18">
      <c r="A55" s="7" t="str">
        <f t="shared" si="0"/>
        <v/>
      </c>
      <c r="B55" s="5"/>
      <c r="C55" s="5"/>
      <c r="D55" s="5"/>
      <c r="E55" s="5"/>
      <c r="F55" s="7"/>
      <c r="G55" s="9"/>
      <c r="H55" s="5"/>
      <c r="I55" s="5"/>
      <c r="J55" s="5"/>
      <c r="K55" s="5"/>
      <c r="L55" s="5"/>
      <c r="M55" s="5"/>
      <c r="N55" s="9"/>
      <c r="O55" s="9" t="str">
        <f t="shared" ca="1" si="1"/>
        <v/>
      </c>
      <c r="P55" s="9"/>
      <c r="Q55" s="5"/>
      <c r="R55" s="9"/>
    </row>
    <row r="56" spans="1:18">
      <c r="A56" s="7" t="str">
        <f t="shared" si="0"/>
        <v/>
      </c>
      <c r="B56" s="5"/>
      <c r="C56" s="5"/>
      <c r="D56" s="5"/>
      <c r="E56" s="5"/>
      <c r="F56" s="7"/>
      <c r="G56" s="9"/>
      <c r="H56" s="5"/>
      <c r="I56" s="5"/>
      <c r="J56" s="5"/>
      <c r="K56" s="5"/>
      <c r="L56" s="5"/>
      <c r="M56" s="5"/>
      <c r="N56" s="9"/>
      <c r="O56" s="9" t="str">
        <f t="shared" ca="1" si="1"/>
        <v/>
      </c>
      <c r="P56" s="9"/>
      <c r="Q56" s="5"/>
      <c r="R56" s="9"/>
    </row>
    <row r="57" spans="1:18">
      <c r="A57" s="7" t="str">
        <f t="shared" si="0"/>
        <v/>
      </c>
      <c r="B57" s="5"/>
      <c r="C57" s="5"/>
      <c r="D57" s="5"/>
      <c r="E57" s="5"/>
      <c r="F57" s="7"/>
      <c r="G57" s="9"/>
      <c r="H57" s="5"/>
      <c r="I57" s="5"/>
      <c r="J57" s="5"/>
      <c r="K57" s="5"/>
      <c r="L57" s="5"/>
      <c r="M57" s="5"/>
      <c r="N57" s="9"/>
      <c r="O57" s="9" t="str">
        <f t="shared" ca="1" si="1"/>
        <v/>
      </c>
      <c r="P57" s="9"/>
      <c r="Q57" s="5"/>
      <c r="R57" s="9"/>
    </row>
    <row r="58" spans="1:18">
      <c r="A58" s="7" t="str">
        <f t="shared" si="0"/>
        <v/>
      </c>
      <c r="B58" s="5"/>
      <c r="C58" s="5"/>
      <c r="D58" s="5"/>
      <c r="E58" s="5"/>
      <c r="F58" s="7"/>
      <c r="G58" s="9"/>
      <c r="H58" s="5"/>
      <c r="I58" s="5"/>
      <c r="J58" s="5"/>
      <c r="K58" s="5"/>
      <c r="L58" s="5"/>
      <c r="M58" s="5"/>
      <c r="N58" s="9"/>
      <c r="O58" s="9" t="str">
        <f t="shared" ca="1" si="1"/>
        <v/>
      </c>
      <c r="P58" s="9"/>
      <c r="Q58" s="5"/>
      <c r="R58" s="9"/>
    </row>
    <row r="59" spans="1:18">
      <c r="A59" s="7" t="str">
        <f t="shared" si="0"/>
        <v/>
      </c>
      <c r="B59" s="5"/>
      <c r="C59" s="5"/>
      <c r="D59" s="5"/>
      <c r="E59" s="5"/>
      <c r="F59" s="7"/>
      <c r="G59" s="9"/>
      <c r="H59" s="5"/>
      <c r="I59" s="5"/>
      <c r="J59" s="5"/>
      <c r="K59" s="5"/>
      <c r="L59" s="5"/>
      <c r="M59" s="5"/>
      <c r="N59" s="9"/>
      <c r="O59" s="9" t="str">
        <f t="shared" ca="1" si="1"/>
        <v/>
      </c>
      <c r="P59" s="9"/>
      <c r="Q59" s="5"/>
      <c r="R59" s="9"/>
    </row>
    <row r="60" spans="1:18">
      <c r="A60" s="7" t="str">
        <f t="shared" si="0"/>
        <v/>
      </c>
      <c r="B60" s="5"/>
      <c r="C60" s="5"/>
      <c r="D60" s="5"/>
      <c r="E60" s="5"/>
      <c r="F60" s="7"/>
      <c r="G60" s="9"/>
      <c r="H60" s="5"/>
      <c r="I60" s="5"/>
      <c r="J60" s="5"/>
      <c r="K60" s="5"/>
      <c r="L60" s="5"/>
      <c r="M60" s="5"/>
      <c r="N60" s="9"/>
      <c r="O60" s="9" t="str">
        <f t="shared" ca="1" si="1"/>
        <v/>
      </c>
      <c r="P60" s="9"/>
      <c r="Q60" s="5"/>
      <c r="R60" s="9"/>
    </row>
    <row r="61" spans="1:18">
      <c r="A61" s="7" t="str">
        <f t="shared" si="0"/>
        <v/>
      </c>
      <c r="B61" s="5"/>
      <c r="C61" s="5"/>
      <c r="D61" s="5"/>
      <c r="E61" s="5"/>
      <c r="F61" s="7"/>
      <c r="G61" s="9"/>
      <c r="H61" s="5"/>
      <c r="I61" s="5"/>
      <c r="J61" s="5"/>
      <c r="K61" s="5"/>
      <c r="L61" s="5"/>
      <c r="M61" s="5"/>
      <c r="N61" s="9"/>
      <c r="O61" s="9" t="str">
        <f t="shared" ca="1" si="1"/>
        <v/>
      </c>
      <c r="P61" s="9"/>
      <c r="Q61" s="5"/>
      <c r="R61" s="9"/>
    </row>
    <row r="62" spans="1:18">
      <c r="A62" s="7" t="str">
        <f t="shared" si="0"/>
        <v/>
      </c>
      <c r="B62" s="5"/>
      <c r="C62" s="5"/>
      <c r="D62" s="5"/>
      <c r="E62" s="5"/>
      <c r="F62" s="7"/>
      <c r="G62" s="9"/>
      <c r="H62" s="5"/>
      <c r="I62" s="5"/>
      <c r="J62" s="5"/>
      <c r="K62" s="5"/>
      <c r="L62" s="5"/>
      <c r="M62" s="5"/>
      <c r="N62" s="9"/>
      <c r="O62" s="9" t="str">
        <f t="shared" ca="1" si="1"/>
        <v/>
      </c>
      <c r="P62" s="9"/>
      <c r="Q62" s="5"/>
      <c r="R62" s="9"/>
    </row>
    <row r="63" spans="1:18">
      <c r="A63" s="7" t="str">
        <f t="shared" si="0"/>
        <v/>
      </c>
      <c r="B63" s="5"/>
      <c r="C63" s="5"/>
      <c r="D63" s="5"/>
      <c r="E63" s="5"/>
      <c r="F63" s="7"/>
      <c r="G63" s="9"/>
      <c r="H63" s="5"/>
      <c r="I63" s="5"/>
      <c r="J63" s="5"/>
      <c r="K63" s="5"/>
      <c r="L63" s="5"/>
      <c r="M63" s="5"/>
      <c r="N63" s="9"/>
      <c r="O63" s="9" t="str">
        <f t="shared" ca="1" si="1"/>
        <v/>
      </c>
      <c r="P63" s="9"/>
      <c r="Q63" s="5"/>
      <c r="R63" s="9"/>
    </row>
    <row r="64" spans="1:18">
      <c r="A64" s="7" t="str">
        <f t="shared" si="0"/>
        <v/>
      </c>
      <c r="B64" s="5"/>
      <c r="C64" s="5"/>
      <c r="D64" s="5"/>
      <c r="E64" s="5"/>
      <c r="F64" s="7"/>
      <c r="G64" s="9"/>
      <c r="H64" s="5"/>
      <c r="I64" s="5"/>
      <c r="J64" s="5"/>
      <c r="K64" s="5"/>
      <c r="L64" s="5"/>
      <c r="M64" s="5"/>
      <c r="N64" s="9"/>
      <c r="O64" s="9" t="str">
        <f t="shared" ca="1" si="1"/>
        <v/>
      </c>
      <c r="P64" s="9"/>
      <c r="Q64" s="5"/>
      <c r="R64" s="9"/>
    </row>
    <row r="65" spans="1:18">
      <c r="A65" s="7" t="str">
        <f t="shared" si="0"/>
        <v/>
      </c>
      <c r="B65" s="5"/>
      <c r="C65" s="5"/>
      <c r="D65" s="5"/>
      <c r="E65" s="5"/>
      <c r="F65" s="7"/>
      <c r="G65" s="9"/>
      <c r="H65" s="5"/>
      <c r="I65" s="5"/>
      <c r="J65" s="5"/>
      <c r="K65" s="5"/>
      <c r="L65" s="5"/>
      <c r="M65" s="5"/>
      <c r="N65" s="9"/>
      <c r="O65" s="9" t="str">
        <f t="shared" ca="1" si="1"/>
        <v/>
      </c>
      <c r="P65" s="9"/>
      <c r="Q65" s="5"/>
      <c r="R65" s="9"/>
    </row>
    <row r="66" spans="1:18">
      <c r="A66" s="7" t="str">
        <f t="shared" si="0"/>
        <v/>
      </c>
      <c r="B66" s="5"/>
      <c r="C66" s="5"/>
      <c r="D66" s="5"/>
      <c r="E66" s="5"/>
      <c r="F66" s="7"/>
      <c r="G66" s="9"/>
      <c r="H66" s="5"/>
      <c r="I66" s="5"/>
      <c r="J66" s="5"/>
      <c r="K66" s="5"/>
      <c r="L66" s="5"/>
      <c r="M66" s="5"/>
      <c r="N66" s="9"/>
      <c r="O66" s="9" t="str">
        <f t="shared" ca="1" si="1"/>
        <v/>
      </c>
      <c r="P66" s="9"/>
      <c r="Q66" s="5"/>
      <c r="R66" s="9"/>
    </row>
    <row r="67" spans="1:18">
      <c r="A67" s="7" t="str">
        <f t="shared" si="0"/>
        <v/>
      </c>
      <c r="B67" s="5"/>
      <c r="C67" s="5"/>
      <c r="D67" s="5"/>
      <c r="E67" s="5"/>
      <c r="F67" s="7"/>
      <c r="G67" s="9"/>
      <c r="H67" s="5"/>
      <c r="I67" s="5"/>
      <c r="J67" s="5"/>
      <c r="K67" s="5"/>
      <c r="L67" s="5"/>
      <c r="M67" s="5"/>
      <c r="N67" s="9"/>
      <c r="O67" s="9" t="str">
        <f t="shared" ref="O67:O130" ca="1" si="2">IF(OR($B67="",$N67&lt;&gt;"Yes",$G67="",$M67=""),"",IF(AND(ISNUMBER($P67),$P67&lt;=TODAY()),$P67+IF($M67="Low",3,IF($M67="Medium",7,21)),$G67+IF($M67="Low",2,IF($M67="Medium",5,14))))</f>
        <v/>
      </c>
      <c r="P67" s="9"/>
      <c r="Q67" s="5"/>
      <c r="R67" s="9"/>
    </row>
    <row r="68" spans="1:18">
      <c r="A68" s="7" t="str">
        <f t="shared" ref="A68:A131" si="3">IF(B68="","",ROW()-3)</f>
        <v/>
      </c>
      <c r="B68" s="5"/>
      <c r="C68" s="5"/>
      <c r="D68" s="5"/>
      <c r="E68" s="5"/>
      <c r="F68" s="7"/>
      <c r="G68" s="9"/>
      <c r="H68" s="5"/>
      <c r="I68" s="5"/>
      <c r="J68" s="5"/>
      <c r="K68" s="5"/>
      <c r="L68" s="5"/>
      <c r="M68" s="5"/>
      <c r="N68" s="9"/>
      <c r="O68" s="9" t="str">
        <f t="shared" ca="1" si="2"/>
        <v/>
      </c>
      <c r="P68" s="9"/>
      <c r="Q68" s="5"/>
      <c r="R68" s="9"/>
    </row>
    <row r="69" spans="1:18">
      <c r="A69" s="7" t="str">
        <f t="shared" si="3"/>
        <v/>
      </c>
      <c r="B69" s="5"/>
      <c r="C69" s="5"/>
      <c r="D69" s="5"/>
      <c r="E69" s="5"/>
      <c r="F69" s="7"/>
      <c r="G69" s="9"/>
      <c r="H69" s="5"/>
      <c r="I69" s="5"/>
      <c r="J69" s="5"/>
      <c r="K69" s="5"/>
      <c r="L69" s="5"/>
      <c r="M69" s="5"/>
      <c r="N69" s="9"/>
      <c r="O69" s="9" t="str">
        <f t="shared" ca="1" si="2"/>
        <v/>
      </c>
      <c r="P69" s="9"/>
      <c r="Q69" s="5"/>
      <c r="R69" s="9"/>
    </row>
    <row r="70" spans="1:18">
      <c r="A70" s="7" t="str">
        <f t="shared" si="3"/>
        <v/>
      </c>
      <c r="B70" s="5"/>
      <c r="C70" s="5"/>
      <c r="D70" s="5"/>
      <c r="E70" s="5"/>
      <c r="F70" s="7"/>
      <c r="G70" s="9"/>
      <c r="H70" s="5"/>
      <c r="I70" s="5"/>
      <c r="J70" s="5"/>
      <c r="K70" s="5"/>
      <c r="L70" s="5"/>
      <c r="M70" s="5"/>
      <c r="N70" s="9"/>
      <c r="O70" s="9" t="str">
        <f t="shared" ca="1" si="2"/>
        <v/>
      </c>
      <c r="P70" s="9"/>
      <c r="Q70" s="5"/>
      <c r="R70" s="9"/>
    </row>
    <row r="71" spans="1:18">
      <c r="A71" s="7" t="str">
        <f t="shared" si="3"/>
        <v/>
      </c>
      <c r="B71" s="5"/>
      <c r="C71" s="5"/>
      <c r="D71" s="5"/>
      <c r="E71" s="5"/>
      <c r="F71" s="7"/>
      <c r="G71" s="9"/>
      <c r="H71" s="5"/>
      <c r="I71" s="5"/>
      <c r="J71" s="5"/>
      <c r="K71" s="5"/>
      <c r="L71" s="5"/>
      <c r="M71" s="5"/>
      <c r="N71" s="9"/>
      <c r="O71" s="9" t="str">
        <f t="shared" ca="1" si="2"/>
        <v/>
      </c>
      <c r="P71" s="9"/>
      <c r="Q71" s="5"/>
      <c r="R71" s="9"/>
    </row>
    <row r="72" spans="1:18">
      <c r="A72" s="7" t="str">
        <f t="shared" si="3"/>
        <v/>
      </c>
      <c r="B72" s="5"/>
      <c r="C72" s="5"/>
      <c r="D72" s="5"/>
      <c r="E72" s="5"/>
      <c r="F72" s="7"/>
      <c r="G72" s="9"/>
      <c r="H72" s="5"/>
      <c r="I72" s="5"/>
      <c r="J72" s="5"/>
      <c r="K72" s="5"/>
      <c r="L72" s="5"/>
      <c r="M72" s="5"/>
      <c r="N72" s="9"/>
      <c r="O72" s="9" t="str">
        <f t="shared" ca="1" si="2"/>
        <v/>
      </c>
      <c r="P72" s="9"/>
      <c r="Q72" s="5"/>
      <c r="R72" s="9"/>
    </row>
    <row r="73" spans="1:18">
      <c r="A73" s="7" t="str">
        <f t="shared" si="3"/>
        <v/>
      </c>
      <c r="B73" s="5"/>
      <c r="C73" s="5"/>
      <c r="D73" s="5"/>
      <c r="E73" s="5"/>
      <c r="F73" s="7"/>
      <c r="G73" s="9"/>
      <c r="H73" s="5"/>
      <c r="I73" s="5"/>
      <c r="J73" s="5"/>
      <c r="K73" s="5"/>
      <c r="L73" s="5"/>
      <c r="M73" s="5"/>
      <c r="N73" s="9"/>
      <c r="O73" s="9" t="str">
        <f t="shared" ca="1" si="2"/>
        <v/>
      </c>
      <c r="P73" s="9"/>
      <c r="Q73" s="5"/>
      <c r="R73" s="9"/>
    </row>
    <row r="74" spans="1:18">
      <c r="A74" s="7" t="str">
        <f t="shared" si="3"/>
        <v/>
      </c>
      <c r="B74" s="5"/>
      <c r="C74" s="5"/>
      <c r="D74" s="5"/>
      <c r="E74" s="5"/>
      <c r="F74" s="7"/>
      <c r="G74" s="9"/>
      <c r="H74" s="5"/>
      <c r="I74" s="5"/>
      <c r="J74" s="5"/>
      <c r="K74" s="5"/>
      <c r="L74" s="5"/>
      <c r="M74" s="5"/>
      <c r="N74" s="9"/>
      <c r="O74" s="9" t="str">
        <f t="shared" ca="1" si="2"/>
        <v/>
      </c>
      <c r="P74" s="9"/>
      <c r="Q74" s="5"/>
      <c r="R74" s="9"/>
    </row>
    <row r="75" spans="1:18">
      <c r="A75" s="7" t="str">
        <f t="shared" si="3"/>
        <v/>
      </c>
      <c r="B75" s="5"/>
      <c r="C75" s="5"/>
      <c r="D75" s="5"/>
      <c r="E75" s="5"/>
      <c r="F75" s="7"/>
      <c r="G75" s="9"/>
      <c r="H75" s="5"/>
      <c r="I75" s="5"/>
      <c r="J75" s="5"/>
      <c r="K75" s="5"/>
      <c r="L75" s="5"/>
      <c r="M75" s="5"/>
      <c r="N75" s="9"/>
      <c r="O75" s="9" t="str">
        <f t="shared" ca="1" si="2"/>
        <v/>
      </c>
      <c r="P75" s="9"/>
      <c r="Q75" s="5"/>
      <c r="R75" s="9"/>
    </row>
    <row r="76" spans="1:18">
      <c r="A76" s="7" t="str">
        <f t="shared" si="3"/>
        <v/>
      </c>
      <c r="B76" s="5"/>
      <c r="C76" s="5"/>
      <c r="D76" s="5"/>
      <c r="E76" s="5"/>
      <c r="F76" s="7"/>
      <c r="G76" s="9"/>
      <c r="H76" s="5"/>
      <c r="I76" s="5"/>
      <c r="J76" s="5"/>
      <c r="K76" s="5"/>
      <c r="L76" s="5"/>
      <c r="M76" s="5"/>
      <c r="N76" s="9"/>
      <c r="O76" s="9" t="str">
        <f t="shared" ca="1" si="2"/>
        <v/>
      </c>
      <c r="P76" s="9"/>
      <c r="Q76" s="5"/>
      <c r="R76" s="9"/>
    </row>
    <row r="77" spans="1:18">
      <c r="A77" s="7" t="str">
        <f t="shared" si="3"/>
        <v/>
      </c>
      <c r="B77" s="5"/>
      <c r="C77" s="5"/>
      <c r="D77" s="5"/>
      <c r="E77" s="5"/>
      <c r="F77" s="7"/>
      <c r="G77" s="9"/>
      <c r="H77" s="5"/>
      <c r="I77" s="5"/>
      <c r="J77" s="5"/>
      <c r="K77" s="5"/>
      <c r="L77" s="5"/>
      <c r="M77" s="5"/>
      <c r="N77" s="9"/>
      <c r="O77" s="9" t="str">
        <f t="shared" ca="1" si="2"/>
        <v/>
      </c>
      <c r="P77" s="9"/>
      <c r="Q77" s="5"/>
      <c r="R77" s="9"/>
    </row>
    <row r="78" spans="1:18">
      <c r="A78" s="7" t="str">
        <f t="shared" si="3"/>
        <v/>
      </c>
      <c r="B78" s="5"/>
      <c r="C78" s="5"/>
      <c r="D78" s="5"/>
      <c r="E78" s="5"/>
      <c r="F78" s="7"/>
      <c r="G78" s="9"/>
      <c r="H78" s="5"/>
      <c r="I78" s="5"/>
      <c r="J78" s="5"/>
      <c r="K78" s="5"/>
      <c r="L78" s="5"/>
      <c r="M78" s="5"/>
      <c r="N78" s="9"/>
      <c r="O78" s="9" t="str">
        <f t="shared" ca="1" si="2"/>
        <v/>
      </c>
      <c r="P78" s="9"/>
      <c r="Q78" s="5"/>
      <c r="R78" s="9"/>
    </row>
    <row r="79" spans="1:18">
      <c r="A79" s="7" t="str">
        <f t="shared" si="3"/>
        <v/>
      </c>
      <c r="B79" s="5"/>
      <c r="C79" s="5"/>
      <c r="D79" s="5"/>
      <c r="E79" s="5"/>
      <c r="F79" s="7"/>
      <c r="G79" s="9"/>
      <c r="H79" s="5"/>
      <c r="I79" s="5"/>
      <c r="J79" s="5"/>
      <c r="K79" s="5"/>
      <c r="L79" s="5"/>
      <c r="M79" s="5"/>
      <c r="N79" s="9"/>
      <c r="O79" s="9" t="str">
        <f t="shared" ca="1" si="2"/>
        <v/>
      </c>
      <c r="P79" s="9"/>
      <c r="Q79" s="5"/>
      <c r="R79" s="9"/>
    </row>
    <row r="80" spans="1:18">
      <c r="A80" s="7" t="str">
        <f t="shared" si="3"/>
        <v/>
      </c>
      <c r="B80" s="5"/>
      <c r="C80" s="5"/>
      <c r="D80" s="5"/>
      <c r="E80" s="5"/>
      <c r="F80" s="7"/>
      <c r="G80" s="9"/>
      <c r="H80" s="5"/>
      <c r="I80" s="5"/>
      <c r="J80" s="5"/>
      <c r="K80" s="5"/>
      <c r="L80" s="5"/>
      <c r="M80" s="5"/>
      <c r="N80" s="9"/>
      <c r="O80" s="9" t="str">
        <f t="shared" ca="1" si="2"/>
        <v/>
      </c>
      <c r="P80" s="9"/>
      <c r="Q80" s="5"/>
      <c r="R80" s="9"/>
    </row>
    <row r="81" spans="1:18">
      <c r="A81" s="7" t="str">
        <f t="shared" si="3"/>
        <v/>
      </c>
      <c r="B81" s="5"/>
      <c r="C81" s="5"/>
      <c r="D81" s="5"/>
      <c r="E81" s="5"/>
      <c r="F81" s="7"/>
      <c r="G81" s="9"/>
      <c r="H81" s="5"/>
      <c r="I81" s="5"/>
      <c r="J81" s="5"/>
      <c r="K81" s="5"/>
      <c r="L81" s="5"/>
      <c r="M81" s="5"/>
      <c r="N81" s="9"/>
      <c r="O81" s="9" t="str">
        <f t="shared" ca="1" si="2"/>
        <v/>
      </c>
      <c r="P81" s="9"/>
      <c r="Q81" s="5"/>
      <c r="R81" s="9"/>
    </row>
    <row r="82" spans="1:18">
      <c r="A82" s="7" t="str">
        <f t="shared" si="3"/>
        <v/>
      </c>
      <c r="B82" s="5"/>
      <c r="C82" s="5"/>
      <c r="D82" s="5"/>
      <c r="E82" s="5"/>
      <c r="F82" s="7"/>
      <c r="G82" s="9"/>
      <c r="H82" s="5"/>
      <c r="I82" s="5"/>
      <c r="J82" s="5"/>
      <c r="K82" s="5"/>
      <c r="L82" s="5"/>
      <c r="M82" s="5"/>
      <c r="N82" s="9"/>
      <c r="O82" s="9" t="str">
        <f t="shared" ca="1" si="2"/>
        <v/>
      </c>
      <c r="P82" s="9"/>
      <c r="Q82" s="5"/>
      <c r="R82" s="9"/>
    </row>
    <row r="83" spans="1:18">
      <c r="A83" s="7" t="str">
        <f t="shared" si="3"/>
        <v/>
      </c>
      <c r="B83" s="5"/>
      <c r="C83" s="5"/>
      <c r="D83" s="5"/>
      <c r="E83" s="5"/>
      <c r="F83" s="7"/>
      <c r="G83" s="9"/>
      <c r="H83" s="5"/>
      <c r="I83" s="5"/>
      <c r="J83" s="5"/>
      <c r="K83" s="5"/>
      <c r="L83" s="5"/>
      <c r="M83" s="5"/>
      <c r="N83" s="9"/>
      <c r="O83" s="9" t="str">
        <f t="shared" ca="1" si="2"/>
        <v/>
      </c>
      <c r="P83" s="9"/>
      <c r="Q83" s="5"/>
      <c r="R83" s="9"/>
    </row>
    <row r="84" spans="1:18">
      <c r="A84" s="7" t="str">
        <f t="shared" si="3"/>
        <v/>
      </c>
      <c r="B84" s="5"/>
      <c r="C84" s="5"/>
      <c r="D84" s="5"/>
      <c r="E84" s="5"/>
      <c r="F84" s="7"/>
      <c r="G84" s="9"/>
      <c r="H84" s="5"/>
      <c r="I84" s="5"/>
      <c r="J84" s="5"/>
      <c r="K84" s="5"/>
      <c r="L84" s="5"/>
      <c r="M84" s="5"/>
      <c r="N84" s="9"/>
      <c r="O84" s="9" t="str">
        <f t="shared" ca="1" si="2"/>
        <v/>
      </c>
      <c r="P84" s="9"/>
      <c r="Q84" s="5"/>
      <c r="R84" s="9"/>
    </row>
    <row r="85" spans="1:18">
      <c r="A85" s="7" t="str">
        <f t="shared" si="3"/>
        <v/>
      </c>
      <c r="B85" s="5"/>
      <c r="C85" s="5"/>
      <c r="D85" s="5"/>
      <c r="E85" s="5"/>
      <c r="F85" s="7"/>
      <c r="G85" s="9"/>
      <c r="H85" s="5"/>
      <c r="I85" s="5"/>
      <c r="J85" s="5"/>
      <c r="K85" s="5"/>
      <c r="L85" s="5"/>
      <c r="M85" s="5"/>
      <c r="N85" s="9"/>
      <c r="O85" s="9" t="str">
        <f t="shared" ca="1" si="2"/>
        <v/>
      </c>
      <c r="P85" s="9"/>
      <c r="Q85" s="5"/>
      <c r="R85" s="9"/>
    </row>
    <row r="86" spans="1:18">
      <c r="A86" s="7" t="str">
        <f t="shared" si="3"/>
        <v/>
      </c>
      <c r="B86" s="5"/>
      <c r="C86" s="5"/>
      <c r="D86" s="5"/>
      <c r="E86" s="5"/>
      <c r="F86" s="7"/>
      <c r="G86" s="9"/>
      <c r="H86" s="5"/>
      <c r="I86" s="5"/>
      <c r="J86" s="5"/>
      <c r="K86" s="5"/>
      <c r="L86" s="5"/>
      <c r="M86" s="5"/>
      <c r="N86" s="9"/>
      <c r="O86" s="9" t="str">
        <f t="shared" ca="1" si="2"/>
        <v/>
      </c>
      <c r="P86" s="9"/>
      <c r="Q86" s="5"/>
      <c r="R86" s="9"/>
    </row>
    <row r="87" spans="1:18">
      <c r="A87" s="7" t="str">
        <f t="shared" si="3"/>
        <v/>
      </c>
      <c r="B87" s="5"/>
      <c r="C87" s="5"/>
      <c r="D87" s="5"/>
      <c r="E87" s="5"/>
      <c r="F87" s="7"/>
      <c r="G87" s="9"/>
      <c r="H87" s="5"/>
      <c r="I87" s="5"/>
      <c r="J87" s="5"/>
      <c r="K87" s="5"/>
      <c r="L87" s="5"/>
      <c r="M87" s="5"/>
      <c r="N87" s="9"/>
      <c r="O87" s="9" t="str">
        <f t="shared" ca="1" si="2"/>
        <v/>
      </c>
      <c r="P87" s="9"/>
      <c r="Q87" s="5"/>
      <c r="R87" s="9"/>
    </row>
    <row r="88" spans="1:18">
      <c r="A88" s="7" t="str">
        <f t="shared" si="3"/>
        <v/>
      </c>
      <c r="B88" s="5"/>
      <c r="C88" s="5"/>
      <c r="D88" s="5"/>
      <c r="E88" s="5"/>
      <c r="F88" s="7"/>
      <c r="G88" s="9"/>
      <c r="H88" s="5"/>
      <c r="I88" s="5"/>
      <c r="J88" s="5"/>
      <c r="K88" s="5"/>
      <c r="L88" s="5"/>
      <c r="M88" s="5"/>
      <c r="N88" s="9"/>
      <c r="O88" s="9" t="str">
        <f t="shared" ca="1" si="2"/>
        <v/>
      </c>
      <c r="P88" s="9"/>
      <c r="Q88" s="5"/>
      <c r="R88" s="9"/>
    </row>
    <row r="89" spans="1:18">
      <c r="A89" s="7" t="str">
        <f t="shared" si="3"/>
        <v/>
      </c>
      <c r="B89" s="5"/>
      <c r="C89" s="5"/>
      <c r="D89" s="5"/>
      <c r="E89" s="5"/>
      <c r="F89" s="7"/>
      <c r="G89" s="9"/>
      <c r="H89" s="5"/>
      <c r="I89" s="5"/>
      <c r="J89" s="5"/>
      <c r="K89" s="5"/>
      <c r="L89" s="5"/>
      <c r="M89" s="5"/>
      <c r="N89" s="9"/>
      <c r="O89" s="9" t="str">
        <f t="shared" ca="1" si="2"/>
        <v/>
      </c>
      <c r="P89" s="9"/>
      <c r="Q89" s="5"/>
      <c r="R89" s="9"/>
    </row>
    <row r="90" spans="1:18">
      <c r="A90" s="7" t="str">
        <f t="shared" si="3"/>
        <v/>
      </c>
      <c r="B90" s="5"/>
      <c r="C90" s="5"/>
      <c r="D90" s="5"/>
      <c r="E90" s="5"/>
      <c r="F90" s="7"/>
      <c r="G90" s="9"/>
      <c r="H90" s="5"/>
      <c r="I90" s="5"/>
      <c r="J90" s="5"/>
      <c r="K90" s="5"/>
      <c r="L90" s="5"/>
      <c r="M90" s="5"/>
      <c r="N90" s="9"/>
      <c r="O90" s="9" t="str">
        <f t="shared" ca="1" si="2"/>
        <v/>
      </c>
      <c r="P90" s="9"/>
      <c r="Q90" s="5"/>
      <c r="R90" s="9"/>
    </row>
    <row r="91" spans="1:18">
      <c r="A91" s="7" t="str">
        <f t="shared" si="3"/>
        <v/>
      </c>
      <c r="B91" s="5"/>
      <c r="C91" s="5"/>
      <c r="D91" s="5"/>
      <c r="E91" s="5"/>
      <c r="F91" s="7"/>
      <c r="G91" s="9"/>
      <c r="H91" s="5"/>
      <c r="I91" s="5"/>
      <c r="J91" s="5"/>
      <c r="K91" s="5"/>
      <c r="L91" s="5"/>
      <c r="M91" s="5"/>
      <c r="N91" s="9"/>
      <c r="O91" s="9" t="str">
        <f t="shared" ca="1" si="2"/>
        <v/>
      </c>
      <c r="P91" s="9"/>
      <c r="Q91" s="5"/>
      <c r="R91" s="9"/>
    </row>
    <row r="92" spans="1:18">
      <c r="A92" s="7" t="str">
        <f t="shared" si="3"/>
        <v/>
      </c>
      <c r="B92" s="5"/>
      <c r="C92" s="5"/>
      <c r="D92" s="5"/>
      <c r="E92" s="5"/>
      <c r="F92" s="7"/>
      <c r="G92" s="9"/>
      <c r="H92" s="5"/>
      <c r="I92" s="5"/>
      <c r="J92" s="5"/>
      <c r="K92" s="5"/>
      <c r="L92" s="5"/>
      <c r="M92" s="5"/>
      <c r="N92" s="9"/>
      <c r="O92" s="9" t="str">
        <f t="shared" ca="1" si="2"/>
        <v/>
      </c>
      <c r="P92" s="9"/>
      <c r="Q92" s="5"/>
      <c r="R92" s="9"/>
    </row>
    <row r="93" spans="1:18">
      <c r="A93" s="7" t="str">
        <f t="shared" si="3"/>
        <v/>
      </c>
      <c r="B93" s="5"/>
      <c r="C93" s="5"/>
      <c r="D93" s="5"/>
      <c r="E93" s="5"/>
      <c r="F93" s="7"/>
      <c r="G93" s="9"/>
      <c r="H93" s="5"/>
      <c r="I93" s="5"/>
      <c r="J93" s="5"/>
      <c r="K93" s="5"/>
      <c r="L93" s="5"/>
      <c r="M93" s="5"/>
      <c r="N93" s="9"/>
      <c r="O93" s="9" t="str">
        <f t="shared" ca="1" si="2"/>
        <v/>
      </c>
      <c r="P93" s="9"/>
      <c r="Q93" s="5"/>
      <c r="R93" s="9"/>
    </row>
    <row r="94" spans="1:18">
      <c r="A94" s="7" t="str">
        <f t="shared" si="3"/>
        <v/>
      </c>
      <c r="B94" s="5"/>
      <c r="C94" s="5"/>
      <c r="D94" s="5"/>
      <c r="E94" s="5"/>
      <c r="F94" s="7"/>
      <c r="G94" s="9"/>
      <c r="H94" s="5"/>
      <c r="I94" s="5"/>
      <c r="J94" s="5"/>
      <c r="K94" s="5"/>
      <c r="L94" s="5"/>
      <c r="M94" s="5"/>
      <c r="N94" s="9"/>
      <c r="O94" s="9" t="str">
        <f t="shared" ca="1" si="2"/>
        <v/>
      </c>
      <c r="P94" s="9"/>
      <c r="Q94" s="5"/>
      <c r="R94" s="9"/>
    </row>
    <row r="95" spans="1:18">
      <c r="A95" s="7" t="str">
        <f t="shared" si="3"/>
        <v/>
      </c>
      <c r="B95" s="5"/>
      <c r="C95" s="5"/>
      <c r="D95" s="5"/>
      <c r="E95" s="5"/>
      <c r="F95" s="7"/>
      <c r="G95" s="9"/>
      <c r="H95" s="5"/>
      <c r="I95" s="5"/>
      <c r="J95" s="5"/>
      <c r="K95" s="5"/>
      <c r="L95" s="5"/>
      <c r="M95" s="5"/>
      <c r="N95" s="9"/>
      <c r="O95" s="9" t="str">
        <f t="shared" ca="1" si="2"/>
        <v/>
      </c>
      <c r="P95" s="9"/>
      <c r="Q95" s="5"/>
      <c r="R95" s="9"/>
    </row>
    <row r="96" spans="1:18">
      <c r="A96" s="7" t="str">
        <f t="shared" si="3"/>
        <v/>
      </c>
      <c r="B96" s="5"/>
      <c r="C96" s="5"/>
      <c r="D96" s="5"/>
      <c r="E96" s="5"/>
      <c r="F96" s="7"/>
      <c r="G96" s="9"/>
      <c r="H96" s="5"/>
      <c r="I96" s="5"/>
      <c r="J96" s="5"/>
      <c r="K96" s="5"/>
      <c r="L96" s="5"/>
      <c r="M96" s="5"/>
      <c r="N96" s="9"/>
      <c r="O96" s="9" t="str">
        <f t="shared" ca="1" si="2"/>
        <v/>
      </c>
      <c r="P96" s="9"/>
      <c r="Q96" s="5"/>
      <c r="R96" s="9"/>
    </row>
    <row r="97" spans="1:18">
      <c r="A97" s="7" t="str">
        <f t="shared" si="3"/>
        <v/>
      </c>
      <c r="B97" s="5"/>
      <c r="C97" s="5"/>
      <c r="D97" s="5"/>
      <c r="E97" s="5"/>
      <c r="F97" s="7"/>
      <c r="G97" s="9"/>
      <c r="H97" s="5"/>
      <c r="I97" s="5"/>
      <c r="J97" s="5"/>
      <c r="K97" s="5"/>
      <c r="L97" s="5"/>
      <c r="M97" s="5"/>
      <c r="N97" s="9"/>
      <c r="O97" s="9" t="str">
        <f t="shared" ca="1" si="2"/>
        <v/>
      </c>
      <c r="P97" s="9"/>
      <c r="Q97" s="5"/>
      <c r="R97" s="9"/>
    </row>
    <row r="98" spans="1:18">
      <c r="A98" s="7" t="str">
        <f t="shared" si="3"/>
        <v/>
      </c>
      <c r="B98" s="5"/>
      <c r="C98" s="5"/>
      <c r="D98" s="5"/>
      <c r="E98" s="5"/>
      <c r="F98" s="7"/>
      <c r="G98" s="9"/>
      <c r="H98" s="5"/>
      <c r="I98" s="5"/>
      <c r="J98" s="5"/>
      <c r="K98" s="5"/>
      <c r="L98" s="5"/>
      <c r="M98" s="5"/>
      <c r="N98" s="9"/>
      <c r="O98" s="9" t="str">
        <f t="shared" ca="1" si="2"/>
        <v/>
      </c>
      <c r="P98" s="9"/>
      <c r="Q98" s="5"/>
      <c r="R98" s="9"/>
    </row>
    <row r="99" spans="1:18">
      <c r="A99" s="7" t="str">
        <f t="shared" si="3"/>
        <v/>
      </c>
      <c r="B99" s="5"/>
      <c r="C99" s="5"/>
      <c r="D99" s="5"/>
      <c r="E99" s="5"/>
      <c r="F99" s="7"/>
      <c r="G99" s="9"/>
      <c r="H99" s="5"/>
      <c r="I99" s="5"/>
      <c r="J99" s="5"/>
      <c r="K99" s="5"/>
      <c r="L99" s="5"/>
      <c r="M99" s="5"/>
      <c r="N99" s="9"/>
      <c r="O99" s="9" t="str">
        <f t="shared" ca="1" si="2"/>
        <v/>
      </c>
      <c r="P99" s="9"/>
      <c r="Q99" s="5"/>
      <c r="R99" s="9"/>
    </row>
    <row r="100" spans="1:18">
      <c r="A100" s="7" t="str">
        <f t="shared" si="3"/>
        <v/>
      </c>
      <c r="B100" s="5"/>
      <c r="C100" s="5"/>
      <c r="D100" s="5"/>
      <c r="E100" s="5"/>
      <c r="F100" s="7"/>
      <c r="G100" s="9"/>
      <c r="H100" s="5"/>
      <c r="I100" s="5"/>
      <c r="J100" s="5"/>
      <c r="K100" s="5"/>
      <c r="L100" s="5"/>
      <c r="M100" s="5"/>
      <c r="N100" s="9"/>
      <c r="O100" s="9" t="str">
        <f t="shared" ca="1" si="2"/>
        <v/>
      </c>
      <c r="P100" s="9"/>
      <c r="Q100" s="5"/>
      <c r="R100" s="9"/>
    </row>
    <row r="101" spans="1:18">
      <c r="A101" s="7" t="str">
        <f t="shared" si="3"/>
        <v/>
      </c>
      <c r="B101" s="5"/>
      <c r="C101" s="5"/>
      <c r="D101" s="5"/>
      <c r="E101" s="5"/>
      <c r="F101" s="7"/>
      <c r="G101" s="9"/>
      <c r="H101" s="5"/>
      <c r="I101" s="5"/>
      <c r="J101" s="5"/>
      <c r="K101" s="5"/>
      <c r="L101" s="5"/>
      <c r="M101" s="5"/>
      <c r="N101" s="9"/>
      <c r="O101" s="9" t="str">
        <f t="shared" ca="1" si="2"/>
        <v/>
      </c>
      <c r="P101" s="9"/>
      <c r="Q101" s="5"/>
      <c r="R101" s="9"/>
    </row>
    <row r="102" spans="1:18">
      <c r="A102" s="7" t="str">
        <f t="shared" si="3"/>
        <v/>
      </c>
      <c r="B102" s="5"/>
      <c r="C102" s="5"/>
      <c r="D102" s="5"/>
      <c r="E102" s="5"/>
      <c r="F102" s="7"/>
      <c r="G102" s="9"/>
      <c r="H102" s="5"/>
      <c r="I102" s="5"/>
      <c r="J102" s="5"/>
      <c r="K102" s="5"/>
      <c r="L102" s="5"/>
      <c r="M102" s="5"/>
      <c r="N102" s="9"/>
      <c r="O102" s="9" t="str">
        <f t="shared" ca="1" si="2"/>
        <v/>
      </c>
      <c r="P102" s="9"/>
      <c r="Q102" s="5"/>
      <c r="R102" s="9"/>
    </row>
    <row r="103" spans="1:18">
      <c r="A103" s="7" t="str">
        <f t="shared" si="3"/>
        <v/>
      </c>
      <c r="B103" s="5"/>
      <c r="C103" s="5"/>
      <c r="D103" s="5"/>
      <c r="E103" s="5"/>
      <c r="F103" s="7"/>
      <c r="G103" s="9"/>
      <c r="H103" s="5"/>
      <c r="I103" s="5"/>
      <c r="J103" s="5"/>
      <c r="K103" s="5"/>
      <c r="L103" s="5"/>
      <c r="M103" s="5"/>
      <c r="N103" s="9"/>
      <c r="O103" s="9" t="str">
        <f t="shared" ca="1" si="2"/>
        <v/>
      </c>
      <c r="P103" s="9"/>
      <c r="Q103" s="5"/>
      <c r="R103" s="9"/>
    </row>
    <row r="104" spans="1:18">
      <c r="A104" s="7" t="str">
        <f t="shared" si="3"/>
        <v/>
      </c>
      <c r="B104" s="5"/>
      <c r="C104" s="5"/>
      <c r="D104" s="5"/>
      <c r="E104" s="5"/>
      <c r="F104" s="7"/>
      <c r="G104" s="9"/>
      <c r="H104" s="5"/>
      <c r="I104" s="5"/>
      <c r="J104" s="5"/>
      <c r="K104" s="5"/>
      <c r="L104" s="5"/>
      <c r="M104" s="5"/>
      <c r="N104" s="9"/>
      <c r="O104" s="9" t="str">
        <f t="shared" ca="1" si="2"/>
        <v/>
      </c>
      <c r="P104" s="9"/>
      <c r="Q104" s="5"/>
      <c r="R104" s="9"/>
    </row>
    <row r="105" spans="1:18">
      <c r="A105" s="7" t="str">
        <f t="shared" si="3"/>
        <v/>
      </c>
      <c r="B105" s="5"/>
      <c r="C105" s="5"/>
      <c r="D105" s="5"/>
      <c r="E105" s="5"/>
      <c r="F105" s="7"/>
      <c r="G105" s="9"/>
      <c r="H105" s="5"/>
      <c r="I105" s="5"/>
      <c r="J105" s="5"/>
      <c r="K105" s="5"/>
      <c r="L105" s="5"/>
      <c r="M105" s="5"/>
      <c r="N105" s="9"/>
      <c r="O105" s="9" t="str">
        <f t="shared" ca="1" si="2"/>
        <v/>
      </c>
      <c r="P105" s="9"/>
      <c r="Q105" s="5"/>
      <c r="R105" s="9"/>
    </row>
    <row r="106" spans="1:18">
      <c r="A106" s="7" t="str">
        <f t="shared" si="3"/>
        <v/>
      </c>
      <c r="B106" s="5"/>
      <c r="C106" s="5"/>
      <c r="D106" s="5"/>
      <c r="E106" s="5"/>
      <c r="F106" s="7"/>
      <c r="G106" s="9"/>
      <c r="H106" s="5"/>
      <c r="I106" s="5"/>
      <c r="J106" s="5"/>
      <c r="K106" s="5"/>
      <c r="L106" s="5"/>
      <c r="M106" s="5"/>
      <c r="N106" s="9"/>
      <c r="O106" s="9" t="str">
        <f t="shared" ca="1" si="2"/>
        <v/>
      </c>
      <c r="P106" s="9"/>
      <c r="Q106" s="5"/>
      <c r="R106" s="9"/>
    </row>
    <row r="107" spans="1:18">
      <c r="A107" s="7" t="str">
        <f t="shared" si="3"/>
        <v/>
      </c>
      <c r="B107" s="5"/>
      <c r="C107" s="5"/>
      <c r="D107" s="5"/>
      <c r="E107" s="5"/>
      <c r="F107" s="7"/>
      <c r="G107" s="9"/>
      <c r="H107" s="5"/>
      <c r="I107" s="5"/>
      <c r="J107" s="5"/>
      <c r="K107" s="5"/>
      <c r="L107" s="5"/>
      <c r="M107" s="5"/>
      <c r="N107" s="9"/>
      <c r="O107" s="9" t="str">
        <f t="shared" ca="1" si="2"/>
        <v/>
      </c>
      <c r="P107" s="9"/>
      <c r="Q107" s="5"/>
      <c r="R107" s="9"/>
    </row>
    <row r="108" spans="1:18">
      <c r="A108" s="7" t="str">
        <f t="shared" si="3"/>
        <v/>
      </c>
      <c r="B108" s="5"/>
      <c r="C108" s="5"/>
      <c r="D108" s="5"/>
      <c r="E108" s="5"/>
      <c r="F108" s="7"/>
      <c r="G108" s="9"/>
      <c r="H108" s="5"/>
      <c r="I108" s="5"/>
      <c r="J108" s="5"/>
      <c r="K108" s="5"/>
      <c r="L108" s="5"/>
      <c r="M108" s="5"/>
      <c r="N108" s="9"/>
      <c r="O108" s="9" t="str">
        <f t="shared" ca="1" si="2"/>
        <v/>
      </c>
      <c r="P108" s="9"/>
      <c r="Q108" s="5"/>
      <c r="R108" s="9"/>
    </row>
    <row r="109" spans="1:18">
      <c r="A109" s="7" t="str">
        <f t="shared" si="3"/>
        <v/>
      </c>
      <c r="B109" s="5"/>
      <c r="C109" s="5"/>
      <c r="D109" s="5"/>
      <c r="E109" s="5"/>
      <c r="F109" s="7"/>
      <c r="G109" s="9"/>
      <c r="H109" s="5"/>
      <c r="I109" s="5"/>
      <c r="J109" s="5"/>
      <c r="K109" s="5"/>
      <c r="L109" s="5"/>
      <c r="M109" s="5"/>
      <c r="N109" s="9"/>
      <c r="O109" s="9" t="str">
        <f t="shared" ca="1" si="2"/>
        <v/>
      </c>
      <c r="P109" s="9"/>
      <c r="Q109" s="5"/>
      <c r="R109" s="9"/>
    </row>
    <row r="110" spans="1:18">
      <c r="A110" s="7" t="str">
        <f t="shared" si="3"/>
        <v/>
      </c>
      <c r="B110" s="5"/>
      <c r="C110" s="5"/>
      <c r="D110" s="5"/>
      <c r="E110" s="5"/>
      <c r="F110" s="7"/>
      <c r="G110" s="9"/>
      <c r="H110" s="5"/>
      <c r="I110" s="5"/>
      <c r="J110" s="5"/>
      <c r="K110" s="5"/>
      <c r="L110" s="5"/>
      <c r="M110" s="5"/>
      <c r="N110" s="9"/>
      <c r="O110" s="9" t="str">
        <f t="shared" ca="1" si="2"/>
        <v/>
      </c>
      <c r="P110" s="9"/>
      <c r="Q110" s="5"/>
      <c r="R110" s="9"/>
    </row>
    <row r="111" spans="1:18">
      <c r="A111" s="7" t="str">
        <f t="shared" si="3"/>
        <v/>
      </c>
      <c r="B111" s="5"/>
      <c r="C111" s="5"/>
      <c r="D111" s="5"/>
      <c r="E111" s="5"/>
      <c r="F111" s="7"/>
      <c r="G111" s="9"/>
      <c r="H111" s="5"/>
      <c r="I111" s="5"/>
      <c r="J111" s="5"/>
      <c r="K111" s="5"/>
      <c r="L111" s="5"/>
      <c r="M111" s="5"/>
      <c r="N111" s="9"/>
      <c r="O111" s="9" t="str">
        <f t="shared" ca="1" si="2"/>
        <v/>
      </c>
      <c r="P111" s="9"/>
      <c r="Q111" s="5"/>
      <c r="R111" s="9"/>
    </row>
    <row r="112" spans="1:18">
      <c r="A112" s="7" t="str">
        <f t="shared" si="3"/>
        <v/>
      </c>
      <c r="B112" s="5"/>
      <c r="C112" s="5"/>
      <c r="D112" s="5"/>
      <c r="E112" s="5"/>
      <c r="F112" s="7"/>
      <c r="G112" s="9"/>
      <c r="H112" s="5"/>
      <c r="I112" s="5"/>
      <c r="J112" s="5"/>
      <c r="K112" s="5"/>
      <c r="L112" s="5"/>
      <c r="M112" s="5"/>
      <c r="N112" s="9"/>
      <c r="O112" s="9" t="str">
        <f t="shared" ca="1" si="2"/>
        <v/>
      </c>
      <c r="P112" s="9"/>
      <c r="Q112" s="5"/>
      <c r="R112" s="9"/>
    </row>
    <row r="113" spans="1:18">
      <c r="A113" s="7" t="str">
        <f t="shared" si="3"/>
        <v/>
      </c>
      <c r="B113" s="5"/>
      <c r="C113" s="5"/>
      <c r="D113" s="5"/>
      <c r="E113" s="5"/>
      <c r="F113" s="7"/>
      <c r="G113" s="9"/>
      <c r="H113" s="5"/>
      <c r="I113" s="5"/>
      <c r="J113" s="5"/>
      <c r="K113" s="5"/>
      <c r="L113" s="5"/>
      <c r="M113" s="5"/>
      <c r="N113" s="9"/>
      <c r="O113" s="9" t="str">
        <f t="shared" ca="1" si="2"/>
        <v/>
      </c>
      <c r="P113" s="9"/>
      <c r="Q113" s="5"/>
      <c r="R113" s="9"/>
    </row>
    <row r="114" spans="1:18">
      <c r="A114" s="7" t="str">
        <f t="shared" si="3"/>
        <v/>
      </c>
      <c r="B114" s="5"/>
      <c r="C114" s="5"/>
      <c r="D114" s="5"/>
      <c r="E114" s="5"/>
      <c r="F114" s="7"/>
      <c r="G114" s="9"/>
      <c r="H114" s="5"/>
      <c r="I114" s="5"/>
      <c r="J114" s="5"/>
      <c r="K114" s="5"/>
      <c r="L114" s="5"/>
      <c r="M114" s="5"/>
      <c r="N114" s="9"/>
      <c r="O114" s="9" t="str">
        <f t="shared" ca="1" si="2"/>
        <v/>
      </c>
      <c r="P114" s="9"/>
      <c r="Q114" s="5"/>
      <c r="R114" s="9"/>
    </row>
    <row r="115" spans="1:18">
      <c r="A115" s="7" t="str">
        <f t="shared" si="3"/>
        <v/>
      </c>
      <c r="B115" s="5"/>
      <c r="C115" s="5"/>
      <c r="D115" s="5"/>
      <c r="E115" s="5"/>
      <c r="F115" s="7"/>
      <c r="G115" s="9"/>
      <c r="H115" s="5"/>
      <c r="I115" s="5"/>
      <c r="J115" s="5"/>
      <c r="K115" s="5"/>
      <c r="L115" s="5"/>
      <c r="M115" s="5"/>
      <c r="N115" s="9"/>
      <c r="O115" s="9" t="str">
        <f t="shared" ca="1" si="2"/>
        <v/>
      </c>
      <c r="P115" s="9"/>
      <c r="Q115" s="5"/>
      <c r="R115" s="9"/>
    </row>
    <row r="116" spans="1:18">
      <c r="A116" s="7" t="str">
        <f t="shared" si="3"/>
        <v/>
      </c>
      <c r="B116" s="5"/>
      <c r="C116" s="5"/>
      <c r="D116" s="5"/>
      <c r="E116" s="5"/>
      <c r="F116" s="7"/>
      <c r="G116" s="9"/>
      <c r="H116" s="5"/>
      <c r="I116" s="5"/>
      <c r="J116" s="5"/>
      <c r="K116" s="5"/>
      <c r="L116" s="5"/>
      <c r="M116" s="5"/>
      <c r="N116" s="9"/>
      <c r="O116" s="9" t="str">
        <f t="shared" ca="1" si="2"/>
        <v/>
      </c>
      <c r="P116" s="9"/>
      <c r="Q116" s="5"/>
      <c r="R116" s="9"/>
    </row>
    <row r="117" spans="1:18">
      <c r="A117" s="7" t="str">
        <f t="shared" si="3"/>
        <v/>
      </c>
      <c r="B117" s="5"/>
      <c r="C117" s="5"/>
      <c r="D117" s="5"/>
      <c r="E117" s="5"/>
      <c r="F117" s="7"/>
      <c r="G117" s="9"/>
      <c r="H117" s="5"/>
      <c r="I117" s="5"/>
      <c r="J117" s="5"/>
      <c r="K117" s="5"/>
      <c r="L117" s="5"/>
      <c r="M117" s="5"/>
      <c r="N117" s="9"/>
      <c r="O117" s="9" t="str">
        <f t="shared" ca="1" si="2"/>
        <v/>
      </c>
      <c r="P117" s="9"/>
      <c r="Q117" s="5"/>
      <c r="R117" s="9"/>
    </row>
    <row r="118" spans="1:18">
      <c r="A118" s="7" t="str">
        <f t="shared" si="3"/>
        <v/>
      </c>
      <c r="B118" s="5"/>
      <c r="C118" s="5"/>
      <c r="D118" s="5"/>
      <c r="E118" s="5"/>
      <c r="F118" s="7"/>
      <c r="G118" s="9"/>
      <c r="H118" s="5"/>
      <c r="I118" s="5"/>
      <c r="J118" s="5"/>
      <c r="K118" s="5"/>
      <c r="L118" s="5"/>
      <c r="M118" s="5"/>
      <c r="N118" s="9"/>
      <c r="O118" s="9" t="str">
        <f t="shared" ca="1" si="2"/>
        <v/>
      </c>
      <c r="P118" s="9"/>
      <c r="Q118" s="5"/>
      <c r="R118" s="9"/>
    </row>
    <row r="119" spans="1:18">
      <c r="A119" s="7" t="str">
        <f t="shared" si="3"/>
        <v/>
      </c>
      <c r="B119" s="5"/>
      <c r="C119" s="5"/>
      <c r="D119" s="5"/>
      <c r="E119" s="5"/>
      <c r="F119" s="7"/>
      <c r="G119" s="9"/>
      <c r="H119" s="5"/>
      <c r="I119" s="5"/>
      <c r="J119" s="5"/>
      <c r="K119" s="5"/>
      <c r="L119" s="5"/>
      <c r="M119" s="5"/>
      <c r="N119" s="9"/>
      <c r="O119" s="9" t="str">
        <f t="shared" ca="1" si="2"/>
        <v/>
      </c>
      <c r="P119" s="9"/>
      <c r="Q119" s="5"/>
      <c r="R119" s="9"/>
    </row>
    <row r="120" spans="1:18">
      <c r="A120" s="7" t="str">
        <f t="shared" si="3"/>
        <v/>
      </c>
      <c r="B120" s="5"/>
      <c r="C120" s="5"/>
      <c r="D120" s="5"/>
      <c r="E120" s="5"/>
      <c r="F120" s="7"/>
      <c r="G120" s="9"/>
      <c r="H120" s="5"/>
      <c r="I120" s="5"/>
      <c r="J120" s="5"/>
      <c r="K120" s="5"/>
      <c r="L120" s="5"/>
      <c r="M120" s="5"/>
      <c r="N120" s="9"/>
      <c r="O120" s="9" t="str">
        <f t="shared" ca="1" si="2"/>
        <v/>
      </c>
      <c r="P120" s="9"/>
      <c r="Q120" s="5"/>
      <c r="R120" s="9"/>
    </row>
    <row r="121" spans="1:18">
      <c r="A121" s="7" t="str">
        <f t="shared" si="3"/>
        <v/>
      </c>
      <c r="B121" s="5"/>
      <c r="C121" s="5"/>
      <c r="D121" s="5"/>
      <c r="E121" s="5"/>
      <c r="F121" s="7"/>
      <c r="G121" s="9"/>
      <c r="H121" s="5"/>
      <c r="I121" s="5"/>
      <c r="J121" s="5"/>
      <c r="K121" s="5"/>
      <c r="L121" s="5"/>
      <c r="M121" s="5"/>
      <c r="N121" s="9"/>
      <c r="O121" s="9" t="str">
        <f t="shared" ca="1" si="2"/>
        <v/>
      </c>
      <c r="P121" s="9"/>
      <c r="Q121" s="5"/>
      <c r="R121" s="9"/>
    </row>
    <row r="122" spans="1:18">
      <c r="A122" s="7" t="str">
        <f t="shared" si="3"/>
        <v/>
      </c>
      <c r="B122" s="5"/>
      <c r="C122" s="5"/>
      <c r="D122" s="5"/>
      <c r="E122" s="5"/>
      <c r="F122" s="7"/>
      <c r="G122" s="9"/>
      <c r="H122" s="5"/>
      <c r="I122" s="5"/>
      <c r="J122" s="5"/>
      <c r="K122" s="5"/>
      <c r="L122" s="5"/>
      <c r="M122" s="5"/>
      <c r="N122" s="9"/>
      <c r="O122" s="9" t="str">
        <f t="shared" ca="1" si="2"/>
        <v/>
      </c>
      <c r="P122" s="9"/>
      <c r="Q122" s="5"/>
      <c r="R122" s="9"/>
    </row>
    <row r="123" spans="1:18">
      <c r="A123" s="7" t="str">
        <f t="shared" si="3"/>
        <v/>
      </c>
      <c r="B123" s="5"/>
      <c r="C123" s="5"/>
      <c r="D123" s="5"/>
      <c r="E123" s="5"/>
      <c r="F123" s="7"/>
      <c r="G123" s="9"/>
      <c r="H123" s="5"/>
      <c r="I123" s="5"/>
      <c r="J123" s="5"/>
      <c r="K123" s="5"/>
      <c r="L123" s="5"/>
      <c r="M123" s="5"/>
      <c r="N123" s="9"/>
      <c r="O123" s="9" t="str">
        <f t="shared" ca="1" si="2"/>
        <v/>
      </c>
      <c r="P123" s="9"/>
      <c r="Q123" s="5"/>
      <c r="R123" s="9"/>
    </row>
    <row r="124" spans="1:18">
      <c r="A124" s="7" t="str">
        <f t="shared" si="3"/>
        <v/>
      </c>
      <c r="B124" s="5"/>
      <c r="C124" s="5"/>
      <c r="D124" s="5"/>
      <c r="E124" s="5"/>
      <c r="F124" s="7"/>
      <c r="G124" s="9"/>
      <c r="H124" s="5"/>
      <c r="I124" s="5"/>
      <c r="J124" s="5"/>
      <c r="K124" s="5"/>
      <c r="L124" s="5"/>
      <c r="M124" s="5"/>
      <c r="N124" s="9"/>
      <c r="O124" s="9" t="str">
        <f t="shared" ca="1" si="2"/>
        <v/>
      </c>
      <c r="P124" s="9"/>
      <c r="Q124" s="5"/>
      <c r="R124" s="9"/>
    </row>
    <row r="125" spans="1:18">
      <c r="A125" s="7" t="str">
        <f t="shared" si="3"/>
        <v/>
      </c>
      <c r="B125" s="5"/>
      <c r="C125" s="5"/>
      <c r="D125" s="5"/>
      <c r="E125" s="5"/>
      <c r="F125" s="7"/>
      <c r="G125" s="9"/>
      <c r="H125" s="5"/>
      <c r="I125" s="5"/>
      <c r="J125" s="5"/>
      <c r="K125" s="5"/>
      <c r="L125" s="5"/>
      <c r="M125" s="5"/>
      <c r="N125" s="9"/>
      <c r="O125" s="9" t="str">
        <f t="shared" ca="1" si="2"/>
        <v/>
      </c>
      <c r="P125" s="9"/>
      <c r="Q125" s="5"/>
      <c r="R125" s="9"/>
    </row>
    <row r="126" spans="1:18">
      <c r="A126" s="7" t="str">
        <f t="shared" si="3"/>
        <v/>
      </c>
      <c r="B126" s="5"/>
      <c r="C126" s="5"/>
      <c r="D126" s="5"/>
      <c r="E126" s="5"/>
      <c r="F126" s="7"/>
      <c r="G126" s="9"/>
      <c r="H126" s="5"/>
      <c r="I126" s="5"/>
      <c r="J126" s="5"/>
      <c r="K126" s="5"/>
      <c r="L126" s="5"/>
      <c r="M126" s="5"/>
      <c r="N126" s="9"/>
      <c r="O126" s="9" t="str">
        <f t="shared" ca="1" si="2"/>
        <v/>
      </c>
      <c r="P126" s="9"/>
      <c r="Q126" s="5"/>
      <c r="R126" s="9"/>
    </row>
    <row r="127" spans="1:18">
      <c r="A127" s="7" t="str">
        <f t="shared" si="3"/>
        <v/>
      </c>
      <c r="B127" s="5"/>
      <c r="C127" s="5"/>
      <c r="D127" s="5"/>
      <c r="E127" s="5"/>
      <c r="F127" s="7"/>
      <c r="G127" s="9"/>
      <c r="H127" s="5"/>
      <c r="I127" s="5"/>
      <c r="J127" s="5"/>
      <c r="K127" s="5"/>
      <c r="L127" s="5"/>
      <c r="M127" s="5"/>
      <c r="N127" s="9"/>
      <c r="O127" s="9" t="str">
        <f t="shared" ca="1" si="2"/>
        <v/>
      </c>
      <c r="P127" s="9"/>
      <c r="Q127" s="5"/>
      <c r="R127" s="9"/>
    </row>
    <row r="128" spans="1:18">
      <c r="A128" s="7" t="str">
        <f t="shared" si="3"/>
        <v/>
      </c>
      <c r="B128" s="5"/>
      <c r="C128" s="5"/>
      <c r="D128" s="5"/>
      <c r="E128" s="5"/>
      <c r="F128" s="7"/>
      <c r="G128" s="9"/>
      <c r="H128" s="5"/>
      <c r="I128" s="5"/>
      <c r="J128" s="5"/>
      <c r="K128" s="5"/>
      <c r="L128" s="5"/>
      <c r="M128" s="5"/>
      <c r="N128" s="9"/>
      <c r="O128" s="9" t="str">
        <f t="shared" ca="1" si="2"/>
        <v/>
      </c>
      <c r="P128" s="9"/>
      <c r="Q128" s="5"/>
      <c r="R128" s="9"/>
    </row>
    <row r="129" spans="1:18">
      <c r="A129" s="7" t="str">
        <f t="shared" si="3"/>
        <v/>
      </c>
      <c r="B129" s="5"/>
      <c r="C129" s="5"/>
      <c r="D129" s="5"/>
      <c r="E129" s="5"/>
      <c r="F129" s="7"/>
      <c r="G129" s="9"/>
      <c r="H129" s="5"/>
      <c r="I129" s="5"/>
      <c r="J129" s="5"/>
      <c r="K129" s="5"/>
      <c r="L129" s="5"/>
      <c r="M129" s="5"/>
      <c r="N129" s="9"/>
      <c r="O129" s="9" t="str">
        <f t="shared" ca="1" si="2"/>
        <v/>
      </c>
      <c r="P129" s="9"/>
      <c r="Q129" s="5"/>
      <c r="R129" s="9"/>
    </row>
    <row r="130" spans="1:18">
      <c r="A130" s="7" t="str">
        <f t="shared" si="3"/>
        <v/>
      </c>
      <c r="B130" s="5"/>
      <c r="C130" s="5"/>
      <c r="D130" s="5"/>
      <c r="E130" s="5"/>
      <c r="F130" s="7"/>
      <c r="G130" s="9"/>
      <c r="H130" s="5"/>
      <c r="I130" s="5"/>
      <c r="J130" s="5"/>
      <c r="K130" s="5"/>
      <c r="L130" s="5"/>
      <c r="M130" s="5"/>
      <c r="N130" s="9"/>
      <c r="O130" s="9" t="str">
        <f t="shared" ca="1" si="2"/>
        <v/>
      </c>
      <c r="P130" s="9"/>
      <c r="Q130" s="5"/>
      <c r="R130" s="9"/>
    </row>
    <row r="131" spans="1:18">
      <c r="A131" s="7" t="str">
        <f t="shared" si="3"/>
        <v/>
      </c>
      <c r="B131" s="5"/>
      <c r="C131" s="5"/>
      <c r="D131" s="5"/>
      <c r="E131" s="5"/>
      <c r="F131" s="7"/>
      <c r="G131" s="9"/>
      <c r="H131" s="5"/>
      <c r="I131" s="5"/>
      <c r="J131" s="5"/>
      <c r="K131" s="5"/>
      <c r="L131" s="5"/>
      <c r="M131" s="5"/>
      <c r="N131" s="9"/>
      <c r="O131" s="9" t="str">
        <f t="shared" ref="O131:O194" ca="1" si="4">IF(OR($B131="",$N131&lt;&gt;"Yes",$G131="",$M131=""),"",IF(AND(ISNUMBER($P131),$P131&lt;=TODAY()),$P131+IF($M131="Low",3,IF($M131="Medium",7,21)),$G131+IF($M131="Low",2,IF($M131="Medium",5,14))))</f>
        <v/>
      </c>
      <c r="P131" s="9"/>
      <c r="Q131" s="5"/>
      <c r="R131" s="9"/>
    </row>
    <row r="132" spans="1:18">
      <c r="A132" s="7" t="str">
        <f t="shared" ref="A132:A195" si="5">IF(B132="","",ROW()-3)</f>
        <v/>
      </c>
      <c r="B132" s="5"/>
      <c r="C132" s="5"/>
      <c r="D132" s="5"/>
      <c r="E132" s="5"/>
      <c r="F132" s="7"/>
      <c r="G132" s="9"/>
      <c r="H132" s="5"/>
      <c r="I132" s="5"/>
      <c r="J132" s="5"/>
      <c r="K132" s="5"/>
      <c r="L132" s="5"/>
      <c r="M132" s="5"/>
      <c r="N132" s="9"/>
      <c r="O132" s="9" t="str">
        <f t="shared" ca="1" si="4"/>
        <v/>
      </c>
      <c r="P132" s="9"/>
      <c r="Q132" s="5"/>
      <c r="R132" s="9"/>
    </row>
    <row r="133" spans="1:18">
      <c r="A133" s="7" t="str">
        <f t="shared" si="5"/>
        <v/>
      </c>
      <c r="B133" s="5"/>
      <c r="C133" s="5"/>
      <c r="D133" s="5"/>
      <c r="E133" s="5"/>
      <c r="F133" s="7"/>
      <c r="G133" s="9"/>
      <c r="H133" s="5"/>
      <c r="I133" s="5"/>
      <c r="J133" s="5"/>
      <c r="K133" s="5"/>
      <c r="L133" s="5"/>
      <c r="M133" s="5"/>
      <c r="N133" s="9"/>
      <c r="O133" s="9" t="str">
        <f t="shared" ca="1" si="4"/>
        <v/>
      </c>
      <c r="P133" s="9"/>
      <c r="Q133" s="5"/>
      <c r="R133" s="9"/>
    </row>
    <row r="134" spans="1:18">
      <c r="A134" s="7" t="str">
        <f t="shared" si="5"/>
        <v/>
      </c>
      <c r="B134" s="5"/>
      <c r="C134" s="5"/>
      <c r="D134" s="5"/>
      <c r="E134" s="5"/>
      <c r="F134" s="7"/>
      <c r="G134" s="9"/>
      <c r="H134" s="5"/>
      <c r="I134" s="5"/>
      <c r="J134" s="5"/>
      <c r="K134" s="5"/>
      <c r="L134" s="5"/>
      <c r="M134" s="5"/>
      <c r="N134" s="9"/>
      <c r="O134" s="9" t="str">
        <f t="shared" ca="1" si="4"/>
        <v/>
      </c>
      <c r="P134" s="9"/>
      <c r="Q134" s="5"/>
      <c r="R134" s="9"/>
    </row>
    <row r="135" spans="1:18">
      <c r="A135" s="7" t="str">
        <f t="shared" si="5"/>
        <v/>
      </c>
      <c r="B135" s="5"/>
      <c r="C135" s="5"/>
      <c r="D135" s="5"/>
      <c r="E135" s="5"/>
      <c r="F135" s="7"/>
      <c r="G135" s="9"/>
      <c r="H135" s="5"/>
      <c r="I135" s="5"/>
      <c r="J135" s="5"/>
      <c r="K135" s="5"/>
      <c r="L135" s="5"/>
      <c r="M135" s="5"/>
      <c r="N135" s="9"/>
      <c r="O135" s="9" t="str">
        <f t="shared" ca="1" si="4"/>
        <v/>
      </c>
      <c r="P135" s="9"/>
      <c r="Q135" s="5"/>
      <c r="R135" s="9"/>
    </row>
    <row r="136" spans="1:18">
      <c r="A136" s="7" t="str">
        <f t="shared" si="5"/>
        <v/>
      </c>
      <c r="B136" s="5"/>
      <c r="C136" s="5"/>
      <c r="D136" s="5"/>
      <c r="E136" s="5"/>
      <c r="F136" s="7"/>
      <c r="G136" s="9"/>
      <c r="H136" s="5"/>
      <c r="I136" s="5"/>
      <c r="J136" s="5"/>
      <c r="K136" s="5"/>
      <c r="L136" s="5"/>
      <c r="M136" s="5"/>
      <c r="N136" s="9"/>
      <c r="O136" s="9" t="str">
        <f t="shared" ca="1" si="4"/>
        <v/>
      </c>
      <c r="P136" s="9"/>
      <c r="Q136" s="5"/>
      <c r="R136" s="9"/>
    </row>
    <row r="137" spans="1:18">
      <c r="A137" s="7" t="str">
        <f t="shared" si="5"/>
        <v/>
      </c>
      <c r="B137" s="5"/>
      <c r="C137" s="5"/>
      <c r="D137" s="5"/>
      <c r="E137" s="5"/>
      <c r="F137" s="7"/>
      <c r="G137" s="9"/>
      <c r="H137" s="5"/>
      <c r="I137" s="5"/>
      <c r="J137" s="5"/>
      <c r="K137" s="5"/>
      <c r="L137" s="5"/>
      <c r="M137" s="5"/>
      <c r="N137" s="9"/>
      <c r="O137" s="9" t="str">
        <f t="shared" ca="1" si="4"/>
        <v/>
      </c>
      <c r="P137" s="9"/>
      <c r="Q137" s="5"/>
      <c r="R137" s="9"/>
    </row>
    <row r="138" spans="1:18">
      <c r="A138" s="7" t="str">
        <f t="shared" si="5"/>
        <v/>
      </c>
      <c r="B138" s="5"/>
      <c r="C138" s="5"/>
      <c r="D138" s="5"/>
      <c r="E138" s="5"/>
      <c r="F138" s="7"/>
      <c r="G138" s="9"/>
      <c r="H138" s="5"/>
      <c r="I138" s="5"/>
      <c r="J138" s="5"/>
      <c r="K138" s="5"/>
      <c r="L138" s="5"/>
      <c r="M138" s="5"/>
      <c r="N138" s="9"/>
      <c r="O138" s="9" t="str">
        <f t="shared" ca="1" si="4"/>
        <v/>
      </c>
      <c r="P138" s="9"/>
      <c r="Q138" s="5"/>
      <c r="R138" s="9"/>
    </row>
    <row r="139" spans="1:18">
      <c r="A139" s="7" t="str">
        <f t="shared" si="5"/>
        <v/>
      </c>
      <c r="B139" s="5"/>
      <c r="C139" s="5"/>
      <c r="D139" s="5"/>
      <c r="E139" s="5"/>
      <c r="F139" s="7"/>
      <c r="G139" s="9"/>
      <c r="H139" s="5"/>
      <c r="I139" s="5"/>
      <c r="J139" s="5"/>
      <c r="K139" s="5"/>
      <c r="L139" s="5"/>
      <c r="M139" s="5"/>
      <c r="N139" s="9"/>
      <c r="O139" s="9" t="str">
        <f t="shared" ca="1" si="4"/>
        <v/>
      </c>
      <c r="P139" s="9"/>
      <c r="Q139" s="5"/>
      <c r="R139" s="9"/>
    </row>
    <row r="140" spans="1:18">
      <c r="A140" s="7" t="str">
        <f t="shared" si="5"/>
        <v/>
      </c>
      <c r="B140" s="5"/>
      <c r="C140" s="5"/>
      <c r="D140" s="5"/>
      <c r="E140" s="5"/>
      <c r="F140" s="7"/>
      <c r="G140" s="9"/>
      <c r="H140" s="5"/>
      <c r="I140" s="5"/>
      <c r="J140" s="5"/>
      <c r="K140" s="5"/>
      <c r="L140" s="5"/>
      <c r="M140" s="5"/>
      <c r="N140" s="9"/>
      <c r="O140" s="9" t="str">
        <f t="shared" ca="1" si="4"/>
        <v/>
      </c>
      <c r="P140" s="9"/>
      <c r="Q140" s="5"/>
      <c r="R140" s="9"/>
    </row>
    <row r="141" spans="1:18">
      <c r="A141" s="7" t="str">
        <f t="shared" si="5"/>
        <v/>
      </c>
      <c r="B141" s="5"/>
      <c r="C141" s="5"/>
      <c r="D141" s="5"/>
      <c r="E141" s="5"/>
      <c r="F141" s="7"/>
      <c r="G141" s="9"/>
      <c r="H141" s="5"/>
      <c r="I141" s="5"/>
      <c r="J141" s="5"/>
      <c r="K141" s="5"/>
      <c r="L141" s="5"/>
      <c r="M141" s="5"/>
      <c r="N141" s="9"/>
      <c r="O141" s="9" t="str">
        <f t="shared" ca="1" si="4"/>
        <v/>
      </c>
      <c r="P141" s="9"/>
      <c r="Q141" s="5"/>
      <c r="R141" s="9"/>
    </row>
    <row r="142" spans="1:18">
      <c r="A142" s="7" t="str">
        <f t="shared" si="5"/>
        <v/>
      </c>
      <c r="B142" s="5"/>
      <c r="C142" s="5"/>
      <c r="D142" s="5"/>
      <c r="E142" s="5"/>
      <c r="F142" s="7"/>
      <c r="G142" s="9"/>
      <c r="H142" s="5"/>
      <c r="I142" s="5"/>
      <c r="J142" s="5"/>
      <c r="K142" s="5"/>
      <c r="L142" s="5"/>
      <c r="M142" s="5"/>
      <c r="N142" s="9"/>
      <c r="O142" s="9" t="str">
        <f t="shared" ca="1" si="4"/>
        <v/>
      </c>
      <c r="P142" s="9"/>
      <c r="Q142" s="5"/>
      <c r="R142" s="9"/>
    </row>
    <row r="143" spans="1:18">
      <c r="A143" s="7" t="str">
        <f t="shared" si="5"/>
        <v/>
      </c>
      <c r="B143" s="5"/>
      <c r="C143" s="5"/>
      <c r="D143" s="5"/>
      <c r="E143" s="5"/>
      <c r="F143" s="7"/>
      <c r="G143" s="9"/>
      <c r="H143" s="5"/>
      <c r="I143" s="5"/>
      <c r="J143" s="5"/>
      <c r="K143" s="5"/>
      <c r="L143" s="5"/>
      <c r="M143" s="5"/>
      <c r="N143" s="9"/>
      <c r="O143" s="9" t="str">
        <f t="shared" ca="1" si="4"/>
        <v/>
      </c>
      <c r="P143" s="9"/>
      <c r="Q143" s="5"/>
      <c r="R143" s="9"/>
    </row>
    <row r="144" spans="1:18">
      <c r="A144" s="7" t="str">
        <f t="shared" si="5"/>
        <v/>
      </c>
      <c r="B144" s="5"/>
      <c r="C144" s="5"/>
      <c r="D144" s="5"/>
      <c r="E144" s="5"/>
      <c r="F144" s="7"/>
      <c r="G144" s="9"/>
      <c r="H144" s="5"/>
      <c r="I144" s="5"/>
      <c r="J144" s="5"/>
      <c r="K144" s="5"/>
      <c r="L144" s="5"/>
      <c r="M144" s="5"/>
      <c r="N144" s="9"/>
      <c r="O144" s="9" t="str">
        <f t="shared" ca="1" si="4"/>
        <v/>
      </c>
      <c r="P144" s="9"/>
      <c r="Q144" s="5"/>
      <c r="R144" s="9"/>
    </row>
    <row r="145" spans="1:18">
      <c r="A145" s="7" t="str">
        <f t="shared" si="5"/>
        <v/>
      </c>
      <c r="B145" s="5"/>
      <c r="C145" s="5"/>
      <c r="D145" s="5"/>
      <c r="E145" s="5"/>
      <c r="F145" s="7"/>
      <c r="G145" s="9"/>
      <c r="H145" s="5"/>
      <c r="I145" s="5"/>
      <c r="J145" s="5"/>
      <c r="K145" s="5"/>
      <c r="L145" s="5"/>
      <c r="M145" s="5"/>
      <c r="N145" s="9"/>
      <c r="O145" s="9" t="str">
        <f t="shared" ca="1" si="4"/>
        <v/>
      </c>
      <c r="P145" s="9"/>
      <c r="Q145" s="5"/>
      <c r="R145" s="9"/>
    </row>
    <row r="146" spans="1:18">
      <c r="A146" s="7" t="str">
        <f t="shared" si="5"/>
        <v/>
      </c>
      <c r="B146" s="5"/>
      <c r="C146" s="5"/>
      <c r="D146" s="5"/>
      <c r="E146" s="5"/>
      <c r="F146" s="7"/>
      <c r="G146" s="9"/>
      <c r="H146" s="5"/>
      <c r="I146" s="5"/>
      <c r="J146" s="5"/>
      <c r="K146" s="5"/>
      <c r="L146" s="5"/>
      <c r="M146" s="5"/>
      <c r="N146" s="9"/>
      <c r="O146" s="9" t="str">
        <f t="shared" ca="1" si="4"/>
        <v/>
      </c>
      <c r="P146" s="9"/>
      <c r="Q146" s="5"/>
      <c r="R146" s="9"/>
    </row>
    <row r="147" spans="1:18">
      <c r="A147" s="7" t="str">
        <f t="shared" si="5"/>
        <v/>
      </c>
      <c r="B147" s="5"/>
      <c r="C147" s="5"/>
      <c r="D147" s="5"/>
      <c r="E147" s="5"/>
      <c r="F147" s="7"/>
      <c r="G147" s="9"/>
      <c r="H147" s="5"/>
      <c r="I147" s="5"/>
      <c r="J147" s="5"/>
      <c r="K147" s="5"/>
      <c r="L147" s="5"/>
      <c r="M147" s="5"/>
      <c r="N147" s="9"/>
      <c r="O147" s="9" t="str">
        <f t="shared" ca="1" si="4"/>
        <v/>
      </c>
      <c r="P147" s="9"/>
      <c r="Q147" s="5"/>
      <c r="R147" s="9"/>
    </row>
    <row r="148" spans="1:18">
      <c r="A148" s="7" t="str">
        <f t="shared" si="5"/>
        <v/>
      </c>
      <c r="B148" s="5"/>
      <c r="C148" s="5"/>
      <c r="D148" s="5"/>
      <c r="E148" s="5"/>
      <c r="F148" s="7"/>
      <c r="G148" s="9"/>
      <c r="H148" s="5"/>
      <c r="I148" s="5"/>
      <c r="J148" s="5"/>
      <c r="K148" s="5"/>
      <c r="L148" s="5"/>
      <c r="M148" s="5"/>
      <c r="N148" s="9"/>
      <c r="O148" s="9" t="str">
        <f t="shared" ca="1" si="4"/>
        <v/>
      </c>
      <c r="P148" s="9"/>
      <c r="Q148" s="5"/>
      <c r="R148" s="9"/>
    </row>
    <row r="149" spans="1:18">
      <c r="A149" s="7" t="str">
        <f t="shared" si="5"/>
        <v/>
      </c>
      <c r="B149" s="5"/>
      <c r="C149" s="5"/>
      <c r="D149" s="5"/>
      <c r="E149" s="5"/>
      <c r="F149" s="7"/>
      <c r="G149" s="9"/>
      <c r="H149" s="5"/>
      <c r="I149" s="5"/>
      <c r="J149" s="5"/>
      <c r="K149" s="5"/>
      <c r="L149" s="5"/>
      <c r="M149" s="5"/>
      <c r="N149" s="9"/>
      <c r="O149" s="9" t="str">
        <f t="shared" ca="1" si="4"/>
        <v/>
      </c>
      <c r="P149" s="9"/>
      <c r="Q149" s="5"/>
      <c r="R149" s="9"/>
    </row>
    <row r="150" spans="1:18">
      <c r="A150" s="7" t="str">
        <f t="shared" si="5"/>
        <v/>
      </c>
      <c r="B150" s="5"/>
      <c r="C150" s="5"/>
      <c r="D150" s="5"/>
      <c r="E150" s="5"/>
      <c r="F150" s="7"/>
      <c r="G150" s="9"/>
      <c r="H150" s="5"/>
      <c r="I150" s="5"/>
      <c r="J150" s="5"/>
      <c r="K150" s="5"/>
      <c r="L150" s="5"/>
      <c r="M150" s="5"/>
      <c r="N150" s="9"/>
      <c r="O150" s="9" t="str">
        <f t="shared" ca="1" si="4"/>
        <v/>
      </c>
      <c r="P150" s="9"/>
      <c r="Q150" s="5"/>
      <c r="R150" s="9"/>
    </row>
    <row r="151" spans="1:18">
      <c r="A151" s="7" t="str">
        <f t="shared" si="5"/>
        <v/>
      </c>
      <c r="B151" s="5"/>
      <c r="C151" s="5"/>
      <c r="D151" s="5"/>
      <c r="E151" s="5"/>
      <c r="F151" s="7"/>
      <c r="G151" s="9"/>
      <c r="H151" s="5"/>
      <c r="I151" s="5"/>
      <c r="J151" s="5"/>
      <c r="K151" s="5"/>
      <c r="L151" s="5"/>
      <c r="M151" s="5"/>
      <c r="N151" s="9"/>
      <c r="O151" s="9" t="str">
        <f t="shared" ca="1" si="4"/>
        <v/>
      </c>
      <c r="P151" s="9"/>
      <c r="Q151" s="5"/>
      <c r="R151" s="9"/>
    </row>
    <row r="152" spans="1:18">
      <c r="A152" s="7" t="str">
        <f t="shared" si="5"/>
        <v/>
      </c>
      <c r="B152" s="5"/>
      <c r="C152" s="5"/>
      <c r="D152" s="5"/>
      <c r="E152" s="5"/>
      <c r="F152" s="7"/>
      <c r="G152" s="9"/>
      <c r="H152" s="5"/>
      <c r="I152" s="5"/>
      <c r="J152" s="5"/>
      <c r="K152" s="5"/>
      <c r="L152" s="5"/>
      <c r="M152" s="5"/>
      <c r="N152" s="9"/>
      <c r="O152" s="9" t="str">
        <f t="shared" ca="1" si="4"/>
        <v/>
      </c>
      <c r="P152" s="9"/>
      <c r="Q152" s="5"/>
      <c r="R152" s="9"/>
    </row>
    <row r="153" spans="1:18">
      <c r="A153" s="7" t="str">
        <f t="shared" si="5"/>
        <v/>
      </c>
      <c r="B153" s="5"/>
      <c r="C153" s="5"/>
      <c r="D153" s="5"/>
      <c r="E153" s="5"/>
      <c r="F153" s="7"/>
      <c r="G153" s="9"/>
      <c r="H153" s="5"/>
      <c r="I153" s="5"/>
      <c r="J153" s="5"/>
      <c r="K153" s="5"/>
      <c r="L153" s="5"/>
      <c r="M153" s="5"/>
      <c r="N153" s="9"/>
      <c r="O153" s="9" t="str">
        <f t="shared" ca="1" si="4"/>
        <v/>
      </c>
      <c r="P153" s="9"/>
      <c r="Q153" s="5"/>
      <c r="R153" s="9"/>
    </row>
    <row r="154" spans="1:18">
      <c r="A154" s="7" t="str">
        <f t="shared" si="5"/>
        <v/>
      </c>
      <c r="B154" s="5"/>
      <c r="C154" s="5"/>
      <c r="D154" s="5"/>
      <c r="E154" s="5"/>
      <c r="F154" s="7"/>
      <c r="G154" s="9"/>
      <c r="H154" s="5"/>
      <c r="I154" s="5"/>
      <c r="J154" s="5"/>
      <c r="K154" s="5"/>
      <c r="L154" s="5"/>
      <c r="M154" s="5"/>
      <c r="N154" s="9"/>
      <c r="O154" s="9" t="str">
        <f t="shared" ca="1" si="4"/>
        <v/>
      </c>
      <c r="P154" s="9"/>
      <c r="Q154" s="5"/>
      <c r="R154" s="9"/>
    </row>
    <row r="155" spans="1:18">
      <c r="A155" s="7" t="str">
        <f t="shared" si="5"/>
        <v/>
      </c>
      <c r="B155" s="5"/>
      <c r="C155" s="5"/>
      <c r="D155" s="5"/>
      <c r="E155" s="5"/>
      <c r="F155" s="7"/>
      <c r="G155" s="9"/>
      <c r="H155" s="5"/>
      <c r="I155" s="5"/>
      <c r="J155" s="5"/>
      <c r="K155" s="5"/>
      <c r="L155" s="5"/>
      <c r="M155" s="5"/>
      <c r="N155" s="9"/>
      <c r="O155" s="9" t="str">
        <f t="shared" ca="1" si="4"/>
        <v/>
      </c>
      <c r="P155" s="9"/>
      <c r="Q155" s="5"/>
      <c r="R155" s="9"/>
    </row>
    <row r="156" spans="1:18">
      <c r="A156" s="7" t="str">
        <f t="shared" si="5"/>
        <v/>
      </c>
      <c r="B156" s="5"/>
      <c r="C156" s="5"/>
      <c r="D156" s="5"/>
      <c r="E156" s="5"/>
      <c r="F156" s="7"/>
      <c r="G156" s="9"/>
      <c r="H156" s="5"/>
      <c r="I156" s="5"/>
      <c r="J156" s="5"/>
      <c r="K156" s="5"/>
      <c r="L156" s="5"/>
      <c r="M156" s="5"/>
      <c r="N156" s="9"/>
      <c r="O156" s="9" t="str">
        <f t="shared" ca="1" si="4"/>
        <v/>
      </c>
      <c r="P156" s="9"/>
      <c r="Q156" s="5"/>
      <c r="R156" s="9"/>
    </row>
    <row r="157" spans="1:18">
      <c r="A157" s="7" t="str">
        <f t="shared" si="5"/>
        <v/>
      </c>
      <c r="B157" s="5"/>
      <c r="C157" s="5"/>
      <c r="D157" s="5"/>
      <c r="E157" s="5"/>
      <c r="F157" s="7"/>
      <c r="G157" s="9"/>
      <c r="H157" s="5"/>
      <c r="I157" s="5"/>
      <c r="J157" s="5"/>
      <c r="K157" s="5"/>
      <c r="L157" s="5"/>
      <c r="M157" s="5"/>
      <c r="N157" s="9"/>
      <c r="O157" s="9" t="str">
        <f t="shared" ca="1" si="4"/>
        <v/>
      </c>
      <c r="P157" s="9"/>
      <c r="Q157" s="5"/>
      <c r="R157" s="9"/>
    </row>
    <row r="158" spans="1:18">
      <c r="A158" s="7" t="str">
        <f t="shared" si="5"/>
        <v/>
      </c>
      <c r="B158" s="5"/>
      <c r="C158" s="5"/>
      <c r="D158" s="5"/>
      <c r="E158" s="5"/>
      <c r="F158" s="7"/>
      <c r="G158" s="9"/>
      <c r="H158" s="5"/>
      <c r="I158" s="5"/>
      <c r="J158" s="5"/>
      <c r="K158" s="5"/>
      <c r="L158" s="5"/>
      <c r="M158" s="5"/>
      <c r="N158" s="9"/>
      <c r="O158" s="9" t="str">
        <f t="shared" ca="1" si="4"/>
        <v/>
      </c>
      <c r="P158" s="9"/>
      <c r="Q158" s="5"/>
      <c r="R158" s="9" t="str">
        <f t="shared" ref="R158:R165" si="6">IF($G158="","",$G158+21)</f>
        <v/>
      </c>
    </row>
    <row r="159" spans="1:18">
      <c r="A159" s="7" t="str">
        <f t="shared" si="5"/>
        <v/>
      </c>
      <c r="B159" s="5"/>
      <c r="C159" s="5"/>
      <c r="D159" s="5"/>
      <c r="E159" s="5"/>
      <c r="F159" s="7"/>
      <c r="G159" s="9"/>
      <c r="H159" s="5"/>
      <c r="I159" s="5"/>
      <c r="J159" s="5"/>
      <c r="K159" s="5"/>
      <c r="L159" s="5"/>
      <c r="M159" s="5"/>
      <c r="N159" s="9"/>
      <c r="O159" s="9" t="str">
        <f t="shared" ca="1" si="4"/>
        <v/>
      </c>
      <c r="P159" s="9"/>
      <c r="Q159" s="5"/>
      <c r="R159" s="9" t="str">
        <f t="shared" si="6"/>
        <v/>
      </c>
    </row>
    <row r="160" spans="1:18">
      <c r="A160" s="7" t="str">
        <f t="shared" si="5"/>
        <v/>
      </c>
      <c r="B160" s="5"/>
      <c r="C160" s="5"/>
      <c r="D160" s="5"/>
      <c r="E160" s="5"/>
      <c r="F160" s="7"/>
      <c r="G160" s="9"/>
      <c r="H160" s="5"/>
      <c r="I160" s="5"/>
      <c r="J160" s="5"/>
      <c r="K160" s="5"/>
      <c r="L160" s="5"/>
      <c r="M160" s="5"/>
      <c r="N160" s="9"/>
      <c r="O160" s="9" t="str">
        <f t="shared" ca="1" si="4"/>
        <v/>
      </c>
      <c r="P160" s="9"/>
      <c r="Q160" s="5"/>
      <c r="R160" s="9" t="str">
        <f t="shared" si="6"/>
        <v/>
      </c>
    </row>
    <row r="161" spans="1:18">
      <c r="A161" s="7" t="str">
        <f t="shared" si="5"/>
        <v/>
      </c>
      <c r="B161" s="5"/>
      <c r="C161" s="5"/>
      <c r="D161" s="5"/>
      <c r="E161" s="5"/>
      <c r="F161" s="7"/>
      <c r="G161" s="9"/>
      <c r="H161" s="5"/>
      <c r="I161" s="5"/>
      <c r="J161" s="5"/>
      <c r="K161" s="5"/>
      <c r="L161" s="5"/>
      <c r="M161" s="5"/>
      <c r="N161" s="9"/>
      <c r="O161" s="9" t="str">
        <f t="shared" ca="1" si="4"/>
        <v/>
      </c>
      <c r="P161" s="9"/>
      <c r="Q161" s="5"/>
      <c r="R161" s="9" t="str">
        <f t="shared" si="6"/>
        <v/>
      </c>
    </row>
    <row r="162" spans="1:18">
      <c r="A162" s="7" t="str">
        <f t="shared" si="5"/>
        <v/>
      </c>
      <c r="B162" s="5"/>
      <c r="C162" s="5"/>
      <c r="D162" s="5"/>
      <c r="E162" s="5"/>
      <c r="F162" s="7"/>
      <c r="G162" s="9"/>
      <c r="H162" s="5"/>
      <c r="I162" s="5"/>
      <c r="J162" s="5"/>
      <c r="K162" s="5"/>
      <c r="L162" s="5"/>
      <c r="M162" s="5"/>
      <c r="N162" s="9"/>
      <c r="O162" s="9" t="str">
        <f t="shared" ca="1" si="4"/>
        <v/>
      </c>
      <c r="P162" s="9"/>
      <c r="Q162" s="5"/>
      <c r="R162" s="9" t="str">
        <f t="shared" si="6"/>
        <v/>
      </c>
    </row>
    <row r="163" spans="1:18">
      <c r="A163" s="7" t="str">
        <f t="shared" si="5"/>
        <v/>
      </c>
      <c r="B163" s="5"/>
      <c r="C163" s="5"/>
      <c r="D163" s="5"/>
      <c r="E163" s="5"/>
      <c r="F163" s="7"/>
      <c r="G163" s="9"/>
      <c r="H163" s="5"/>
      <c r="I163" s="5"/>
      <c r="J163" s="5"/>
      <c r="K163" s="5"/>
      <c r="L163" s="5"/>
      <c r="M163" s="5"/>
      <c r="N163" s="9"/>
      <c r="O163" s="9" t="str">
        <f t="shared" ca="1" si="4"/>
        <v/>
      </c>
      <c r="P163" s="9"/>
      <c r="Q163" s="5"/>
      <c r="R163" s="9" t="str">
        <f t="shared" si="6"/>
        <v/>
      </c>
    </row>
    <row r="164" spans="1:18">
      <c r="A164" s="7" t="str">
        <f t="shared" si="5"/>
        <v/>
      </c>
      <c r="B164" s="5"/>
      <c r="C164" s="5"/>
      <c r="D164" s="5"/>
      <c r="E164" s="5"/>
      <c r="F164" s="7"/>
      <c r="G164" s="9"/>
      <c r="H164" s="5"/>
      <c r="I164" s="5"/>
      <c r="J164" s="5"/>
      <c r="K164" s="5"/>
      <c r="L164" s="5"/>
      <c r="M164" s="5"/>
      <c r="N164" s="9"/>
      <c r="O164" s="9" t="str">
        <f t="shared" ca="1" si="4"/>
        <v/>
      </c>
      <c r="P164" s="9"/>
      <c r="Q164" s="5"/>
      <c r="R164" s="9" t="str">
        <f t="shared" si="6"/>
        <v/>
      </c>
    </row>
    <row r="165" spans="1:18">
      <c r="A165" s="7" t="str">
        <f t="shared" si="5"/>
        <v/>
      </c>
      <c r="B165" s="5"/>
      <c r="C165" s="5"/>
      <c r="D165" s="5"/>
      <c r="E165" s="5"/>
      <c r="F165" s="7"/>
      <c r="G165" s="9"/>
      <c r="H165" s="5"/>
      <c r="I165" s="5"/>
      <c r="J165" s="5"/>
      <c r="K165" s="5"/>
      <c r="L165" s="5"/>
      <c r="M165" s="5"/>
      <c r="N165" s="9"/>
      <c r="O165" s="9" t="str">
        <f t="shared" ca="1" si="4"/>
        <v/>
      </c>
      <c r="P165" s="9"/>
      <c r="Q165" s="5"/>
      <c r="R165" s="9" t="str">
        <f t="shared" si="6"/>
        <v/>
      </c>
    </row>
    <row r="166" spans="1:18">
      <c r="A166" s="7" t="str">
        <f t="shared" si="5"/>
        <v/>
      </c>
      <c r="B166" s="5"/>
      <c r="C166" s="5"/>
      <c r="D166" s="5"/>
      <c r="E166" s="5"/>
      <c r="F166" s="7"/>
      <c r="G166" s="9"/>
      <c r="H166" s="5"/>
      <c r="I166" s="5"/>
      <c r="J166" s="5"/>
      <c r="K166" s="5"/>
      <c r="L166" s="5"/>
      <c r="M166" s="5"/>
      <c r="N166" s="9"/>
      <c r="O166" s="9" t="str">
        <f t="shared" ca="1" si="4"/>
        <v/>
      </c>
      <c r="P166" s="9"/>
      <c r="Q166" s="5"/>
      <c r="R166" s="9" t="str">
        <f t="shared" ref="R166:R197" si="7">IF($G166="","",$G166+21)</f>
        <v/>
      </c>
    </row>
    <row r="167" spans="1:18">
      <c r="A167" s="7" t="str">
        <f t="shared" si="5"/>
        <v/>
      </c>
      <c r="B167" s="5"/>
      <c r="C167" s="5"/>
      <c r="D167" s="5"/>
      <c r="E167" s="5"/>
      <c r="F167" s="7"/>
      <c r="G167" s="9"/>
      <c r="H167" s="5"/>
      <c r="I167" s="5"/>
      <c r="J167" s="5"/>
      <c r="K167" s="5"/>
      <c r="L167" s="5"/>
      <c r="M167" s="5"/>
      <c r="N167" s="9"/>
      <c r="O167" s="9" t="str">
        <f t="shared" ca="1" si="4"/>
        <v/>
      </c>
      <c r="P167" s="9"/>
      <c r="Q167" s="5"/>
      <c r="R167" s="9" t="str">
        <f t="shared" si="7"/>
        <v/>
      </c>
    </row>
    <row r="168" spans="1:18">
      <c r="A168" s="7" t="str">
        <f t="shared" si="5"/>
        <v/>
      </c>
      <c r="B168" s="5"/>
      <c r="C168" s="5"/>
      <c r="D168" s="5"/>
      <c r="E168" s="5"/>
      <c r="F168" s="7"/>
      <c r="G168" s="9"/>
      <c r="H168" s="5"/>
      <c r="I168" s="5"/>
      <c r="J168" s="5"/>
      <c r="K168" s="5"/>
      <c r="L168" s="5"/>
      <c r="M168" s="5"/>
      <c r="N168" s="9"/>
      <c r="O168" s="9" t="str">
        <f t="shared" ca="1" si="4"/>
        <v/>
      </c>
      <c r="P168" s="9"/>
      <c r="Q168" s="5"/>
      <c r="R168" s="9" t="str">
        <f t="shared" si="7"/>
        <v/>
      </c>
    </row>
    <row r="169" spans="1:18">
      <c r="A169" s="7" t="str">
        <f t="shared" si="5"/>
        <v/>
      </c>
      <c r="B169" s="5"/>
      <c r="C169" s="5"/>
      <c r="D169" s="5"/>
      <c r="E169" s="5"/>
      <c r="F169" s="7"/>
      <c r="G169" s="9"/>
      <c r="H169" s="5"/>
      <c r="I169" s="5"/>
      <c r="J169" s="5"/>
      <c r="K169" s="5"/>
      <c r="L169" s="5"/>
      <c r="M169" s="5"/>
      <c r="N169" s="9"/>
      <c r="O169" s="9" t="str">
        <f t="shared" ca="1" si="4"/>
        <v/>
      </c>
      <c r="P169" s="9"/>
      <c r="Q169" s="5"/>
      <c r="R169" s="9" t="str">
        <f t="shared" si="7"/>
        <v/>
      </c>
    </row>
    <row r="170" spans="1:18">
      <c r="A170" s="7" t="str">
        <f t="shared" si="5"/>
        <v/>
      </c>
      <c r="B170" s="5"/>
      <c r="C170" s="5"/>
      <c r="D170" s="5"/>
      <c r="E170" s="5"/>
      <c r="F170" s="7"/>
      <c r="G170" s="9"/>
      <c r="H170" s="5"/>
      <c r="I170" s="5"/>
      <c r="J170" s="5"/>
      <c r="K170" s="5"/>
      <c r="L170" s="5"/>
      <c r="M170" s="5"/>
      <c r="N170" s="9"/>
      <c r="O170" s="9" t="str">
        <f t="shared" ca="1" si="4"/>
        <v/>
      </c>
      <c r="P170" s="9"/>
      <c r="Q170" s="5"/>
      <c r="R170" s="9" t="str">
        <f t="shared" si="7"/>
        <v/>
      </c>
    </row>
    <row r="171" spans="1:18">
      <c r="A171" s="7" t="str">
        <f t="shared" si="5"/>
        <v/>
      </c>
      <c r="B171" s="5"/>
      <c r="C171" s="5"/>
      <c r="D171" s="5"/>
      <c r="E171" s="5"/>
      <c r="F171" s="7"/>
      <c r="G171" s="9"/>
      <c r="H171" s="5"/>
      <c r="I171" s="5"/>
      <c r="J171" s="5"/>
      <c r="K171" s="5"/>
      <c r="L171" s="5"/>
      <c r="M171" s="5"/>
      <c r="N171" s="9"/>
      <c r="O171" s="9" t="str">
        <f t="shared" ca="1" si="4"/>
        <v/>
      </c>
      <c r="P171" s="9"/>
      <c r="Q171" s="5"/>
      <c r="R171" s="9" t="str">
        <f t="shared" si="7"/>
        <v/>
      </c>
    </row>
    <row r="172" spans="1:18">
      <c r="A172" s="7" t="str">
        <f t="shared" si="5"/>
        <v/>
      </c>
      <c r="B172" s="5"/>
      <c r="C172" s="5"/>
      <c r="D172" s="5"/>
      <c r="E172" s="5"/>
      <c r="F172" s="7"/>
      <c r="G172" s="9"/>
      <c r="H172" s="5"/>
      <c r="I172" s="5"/>
      <c r="J172" s="5"/>
      <c r="K172" s="5"/>
      <c r="L172" s="5"/>
      <c r="M172" s="5"/>
      <c r="N172" s="9"/>
      <c r="O172" s="9" t="str">
        <f t="shared" ca="1" si="4"/>
        <v/>
      </c>
      <c r="P172" s="9"/>
      <c r="Q172" s="5"/>
      <c r="R172" s="9" t="str">
        <f t="shared" si="7"/>
        <v/>
      </c>
    </row>
    <row r="173" spans="1:18">
      <c r="A173" s="7" t="str">
        <f t="shared" si="5"/>
        <v/>
      </c>
      <c r="B173" s="5"/>
      <c r="C173" s="5"/>
      <c r="D173" s="5"/>
      <c r="E173" s="5"/>
      <c r="F173" s="7"/>
      <c r="G173" s="9"/>
      <c r="H173" s="5"/>
      <c r="I173" s="5"/>
      <c r="J173" s="5"/>
      <c r="K173" s="5"/>
      <c r="L173" s="5"/>
      <c r="M173" s="5"/>
      <c r="N173" s="9"/>
      <c r="O173" s="9" t="str">
        <f t="shared" ca="1" si="4"/>
        <v/>
      </c>
      <c r="P173" s="9"/>
      <c r="Q173" s="5"/>
      <c r="R173" s="9" t="str">
        <f t="shared" si="7"/>
        <v/>
      </c>
    </row>
    <row r="174" spans="1:18">
      <c r="A174" s="7" t="str">
        <f t="shared" si="5"/>
        <v/>
      </c>
      <c r="B174" s="5"/>
      <c r="C174" s="5"/>
      <c r="D174" s="5"/>
      <c r="E174" s="5"/>
      <c r="F174" s="7"/>
      <c r="G174" s="9"/>
      <c r="H174" s="5"/>
      <c r="I174" s="5"/>
      <c r="J174" s="5"/>
      <c r="K174" s="5"/>
      <c r="L174" s="5"/>
      <c r="M174" s="5"/>
      <c r="N174" s="9"/>
      <c r="O174" s="9" t="str">
        <f t="shared" ca="1" si="4"/>
        <v/>
      </c>
      <c r="P174" s="9"/>
      <c r="Q174" s="5"/>
      <c r="R174" s="9" t="str">
        <f t="shared" si="7"/>
        <v/>
      </c>
    </row>
    <row r="175" spans="1:18">
      <c r="A175" s="7" t="str">
        <f t="shared" si="5"/>
        <v/>
      </c>
      <c r="B175" s="5"/>
      <c r="C175" s="5"/>
      <c r="D175" s="5"/>
      <c r="E175" s="5"/>
      <c r="F175" s="7"/>
      <c r="G175" s="9"/>
      <c r="H175" s="5"/>
      <c r="I175" s="5"/>
      <c r="J175" s="5"/>
      <c r="K175" s="5"/>
      <c r="L175" s="5"/>
      <c r="M175" s="5"/>
      <c r="N175" s="9"/>
      <c r="O175" s="9" t="str">
        <f t="shared" ca="1" si="4"/>
        <v/>
      </c>
      <c r="P175" s="9"/>
      <c r="Q175" s="5"/>
      <c r="R175" s="9" t="str">
        <f t="shared" si="7"/>
        <v/>
      </c>
    </row>
    <row r="176" spans="1:18">
      <c r="A176" s="7" t="str">
        <f t="shared" si="5"/>
        <v/>
      </c>
      <c r="B176" s="5"/>
      <c r="C176" s="5"/>
      <c r="D176" s="5"/>
      <c r="E176" s="5"/>
      <c r="F176" s="7"/>
      <c r="G176" s="9"/>
      <c r="H176" s="5"/>
      <c r="I176" s="5"/>
      <c r="J176" s="5"/>
      <c r="K176" s="5"/>
      <c r="L176" s="5"/>
      <c r="M176" s="5"/>
      <c r="N176" s="9"/>
      <c r="O176" s="9" t="str">
        <f t="shared" ca="1" si="4"/>
        <v/>
      </c>
      <c r="P176" s="9"/>
      <c r="Q176" s="5"/>
      <c r="R176" s="9" t="str">
        <f t="shared" si="7"/>
        <v/>
      </c>
    </row>
    <row r="177" spans="1:18">
      <c r="A177" s="7" t="str">
        <f t="shared" si="5"/>
        <v/>
      </c>
      <c r="B177" s="5"/>
      <c r="C177" s="5"/>
      <c r="D177" s="5"/>
      <c r="E177" s="5"/>
      <c r="F177" s="7"/>
      <c r="G177" s="9"/>
      <c r="H177" s="5"/>
      <c r="I177" s="5"/>
      <c r="J177" s="5"/>
      <c r="K177" s="5"/>
      <c r="L177" s="5"/>
      <c r="M177" s="5"/>
      <c r="N177" s="9"/>
      <c r="O177" s="9" t="str">
        <f t="shared" ca="1" si="4"/>
        <v/>
      </c>
      <c r="P177" s="9"/>
      <c r="Q177" s="5"/>
      <c r="R177" s="9" t="str">
        <f t="shared" si="7"/>
        <v/>
      </c>
    </row>
    <row r="178" spans="1:18">
      <c r="A178" s="7" t="str">
        <f t="shared" si="5"/>
        <v/>
      </c>
      <c r="B178" s="5"/>
      <c r="C178" s="5"/>
      <c r="D178" s="5"/>
      <c r="E178" s="5"/>
      <c r="F178" s="7"/>
      <c r="G178" s="9"/>
      <c r="H178" s="5"/>
      <c r="I178" s="5"/>
      <c r="J178" s="5"/>
      <c r="K178" s="5"/>
      <c r="L178" s="5"/>
      <c r="M178" s="5"/>
      <c r="N178" s="9"/>
      <c r="O178" s="9" t="str">
        <f t="shared" ca="1" si="4"/>
        <v/>
      </c>
      <c r="P178" s="9"/>
      <c r="Q178" s="5"/>
      <c r="R178" s="9" t="str">
        <f t="shared" si="7"/>
        <v/>
      </c>
    </row>
    <row r="179" spans="1:18">
      <c r="A179" s="7" t="str">
        <f t="shared" si="5"/>
        <v/>
      </c>
      <c r="B179" s="5"/>
      <c r="C179" s="5"/>
      <c r="D179" s="5"/>
      <c r="E179" s="5"/>
      <c r="F179" s="7"/>
      <c r="G179" s="9"/>
      <c r="H179" s="5"/>
      <c r="I179" s="5"/>
      <c r="J179" s="5"/>
      <c r="K179" s="5"/>
      <c r="L179" s="5"/>
      <c r="M179" s="5"/>
      <c r="N179" s="9"/>
      <c r="O179" s="9" t="str">
        <f t="shared" ca="1" si="4"/>
        <v/>
      </c>
      <c r="P179" s="9"/>
      <c r="Q179" s="5"/>
      <c r="R179" s="9" t="str">
        <f t="shared" si="7"/>
        <v/>
      </c>
    </row>
    <row r="180" spans="1:18">
      <c r="A180" s="7" t="str">
        <f t="shared" si="5"/>
        <v/>
      </c>
      <c r="B180" s="5"/>
      <c r="C180" s="5"/>
      <c r="D180" s="5"/>
      <c r="E180" s="5"/>
      <c r="F180" s="7"/>
      <c r="G180" s="9"/>
      <c r="H180" s="5"/>
      <c r="I180" s="5"/>
      <c r="J180" s="5"/>
      <c r="K180" s="5"/>
      <c r="L180" s="5"/>
      <c r="M180" s="5"/>
      <c r="N180" s="9"/>
      <c r="O180" s="9" t="str">
        <f t="shared" ca="1" si="4"/>
        <v/>
      </c>
      <c r="P180" s="9"/>
      <c r="Q180" s="5"/>
      <c r="R180" s="9" t="str">
        <f t="shared" si="7"/>
        <v/>
      </c>
    </row>
    <row r="181" spans="1:18">
      <c r="A181" s="7" t="str">
        <f t="shared" si="5"/>
        <v/>
      </c>
      <c r="B181" s="5"/>
      <c r="C181" s="5"/>
      <c r="D181" s="5"/>
      <c r="E181" s="5"/>
      <c r="F181" s="7"/>
      <c r="G181" s="9"/>
      <c r="H181" s="5"/>
      <c r="I181" s="5"/>
      <c r="J181" s="5"/>
      <c r="K181" s="5"/>
      <c r="L181" s="5"/>
      <c r="M181" s="5"/>
      <c r="N181" s="9"/>
      <c r="O181" s="9" t="str">
        <f t="shared" ca="1" si="4"/>
        <v/>
      </c>
      <c r="P181" s="9"/>
      <c r="Q181" s="5"/>
      <c r="R181" s="9" t="str">
        <f t="shared" si="7"/>
        <v/>
      </c>
    </row>
    <row r="182" spans="1:18">
      <c r="A182" s="7" t="str">
        <f t="shared" si="5"/>
        <v/>
      </c>
      <c r="B182" s="5"/>
      <c r="C182" s="5"/>
      <c r="D182" s="5"/>
      <c r="E182" s="5"/>
      <c r="F182" s="7"/>
      <c r="G182" s="9"/>
      <c r="H182" s="5"/>
      <c r="I182" s="5"/>
      <c r="J182" s="5"/>
      <c r="K182" s="5"/>
      <c r="L182" s="5"/>
      <c r="M182" s="5"/>
      <c r="N182" s="9"/>
      <c r="O182" s="9" t="str">
        <f t="shared" ca="1" si="4"/>
        <v/>
      </c>
      <c r="P182" s="9"/>
      <c r="Q182" s="5"/>
      <c r="R182" s="9" t="str">
        <f t="shared" si="7"/>
        <v/>
      </c>
    </row>
    <row r="183" spans="1:18">
      <c r="A183" s="7" t="str">
        <f t="shared" si="5"/>
        <v/>
      </c>
      <c r="B183" s="5"/>
      <c r="C183" s="5"/>
      <c r="D183" s="5"/>
      <c r="E183" s="5"/>
      <c r="F183" s="7"/>
      <c r="G183" s="9"/>
      <c r="H183" s="5"/>
      <c r="I183" s="5"/>
      <c r="J183" s="5"/>
      <c r="K183" s="5"/>
      <c r="L183" s="5"/>
      <c r="M183" s="5"/>
      <c r="N183" s="9"/>
      <c r="O183" s="9" t="str">
        <f t="shared" ca="1" si="4"/>
        <v/>
      </c>
      <c r="P183" s="9"/>
      <c r="Q183" s="5"/>
      <c r="R183" s="9" t="str">
        <f t="shared" si="7"/>
        <v/>
      </c>
    </row>
    <row r="184" spans="1:18">
      <c r="A184" s="7" t="str">
        <f t="shared" si="5"/>
        <v/>
      </c>
      <c r="B184" s="5"/>
      <c r="C184" s="5"/>
      <c r="D184" s="5"/>
      <c r="E184" s="5"/>
      <c r="F184" s="7"/>
      <c r="G184" s="9"/>
      <c r="H184" s="5"/>
      <c r="I184" s="5"/>
      <c r="J184" s="5"/>
      <c r="K184" s="5"/>
      <c r="L184" s="5"/>
      <c r="M184" s="5"/>
      <c r="N184" s="9"/>
      <c r="O184" s="9" t="str">
        <f t="shared" ca="1" si="4"/>
        <v/>
      </c>
      <c r="P184" s="9"/>
      <c r="Q184" s="5"/>
      <c r="R184" s="9" t="str">
        <f t="shared" si="7"/>
        <v/>
      </c>
    </row>
    <row r="185" spans="1:18">
      <c r="A185" s="7" t="str">
        <f t="shared" si="5"/>
        <v/>
      </c>
      <c r="B185" s="5"/>
      <c r="C185" s="5"/>
      <c r="D185" s="5"/>
      <c r="E185" s="5"/>
      <c r="F185" s="7"/>
      <c r="G185" s="9"/>
      <c r="H185" s="5"/>
      <c r="I185" s="5"/>
      <c r="J185" s="5"/>
      <c r="K185" s="5"/>
      <c r="L185" s="5"/>
      <c r="M185" s="5"/>
      <c r="N185" s="9"/>
      <c r="O185" s="9" t="str">
        <f t="shared" ca="1" si="4"/>
        <v/>
      </c>
      <c r="P185" s="9"/>
      <c r="Q185" s="5"/>
      <c r="R185" s="9" t="str">
        <f t="shared" si="7"/>
        <v/>
      </c>
    </row>
    <row r="186" spans="1:18">
      <c r="A186" s="7" t="str">
        <f t="shared" si="5"/>
        <v/>
      </c>
      <c r="B186" s="5"/>
      <c r="C186" s="5"/>
      <c r="D186" s="5"/>
      <c r="E186" s="5"/>
      <c r="F186" s="7"/>
      <c r="G186" s="9"/>
      <c r="H186" s="5"/>
      <c r="I186" s="5"/>
      <c r="J186" s="5"/>
      <c r="K186" s="5"/>
      <c r="L186" s="5"/>
      <c r="M186" s="5"/>
      <c r="N186" s="9"/>
      <c r="O186" s="9" t="str">
        <f t="shared" ca="1" si="4"/>
        <v/>
      </c>
      <c r="P186" s="9"/>
      <c r="Q186" s="5"/>
      <c r="R186" s="9" t="str">
        <f t="shared" si="7"/>
        <v/>
      </c>
    </row>
    <row r="187" spans="1:18">
      <c r="A187" s="7" t="str">
        <f t="shared" si="5"/>
        <v/>
      </c>
      <c r="B187" s="5"/>
      <c r="C187" s="5"/>
      <c r="D187" s="5"/>
      <c r="E187" s="5"/>
      <c r="F187" s="7"/>
      <c r="G187" s="9"/>
      <c r="H187" s="5"/>
      <c r="I187" s="5"/>
      <c r="J187" s="5"/>
      <c r="K187" s="5"/>
      <c r="L187" s="5"/>
      <c r="M187" s="5"/>
      <c r="N187" s="9"/>
      <c r="O187" s="9" t="str">
        <f t="shared" ca="1" si="4"/>
        <v/>
      </c>
      <c r="P187" s="9"/>
      <c r="Q187" s="5"/>
      <c r="R187" s="9" t="str">
        <f t="shared" si="7"/>
        <v/>
      </c>
    </row>
    <row r="188" spans="1:18">
      <c r="A188" s="7" t="str">
        <f t="shared" si="5"/>
        <v/>
      </c>
      <c r="B188" s="5"/>
      <c r="C188" s="5"/>
      <c r="D188" s="5"/>
      <c r="E188" s="5"/>
      <c r="F188" s="7"/>
      <c r="G188" s="9"/>
      <c r="H188" s="5"/>
      <c r="I188" s="5"/>
      <c r="J188" s="5"/>
      <c r="K188" s="5"/>
      <c r="L188" s="5"/>
      <c r="M188" s="5"/>
      <c r="N188" s="9"/>
      <c r="O188" s="9" t="str">
        <f t="shared" ca="1" si="4"/>
        <v/>
      </c>
      <c r="P188" s="9"/>
      <c r="Q188" s="5"/>
      <c r="R188" s="9" t="str">
        <f t="shared" si="7"/>
        <v/>
      </c>
    </row>
    <row r="189" spans="1:18">
      <c r="A189" s="7" t="str">
        <f t="shared" si="5"/>
        <v/>
      </c>
      <c r="B189" s="5"/>
      <c r="C189" s="5"/>
      <c r="D189" s="5"/>
      <c r="E189" s="5"/>
      <c r="F189" s="7"/>
      <c r="G189" s="9"/>
      <c r="H189" s="5"/>
      <c r="I189" s="5"/>
      <c r="J189" s="5"/>
      <c r="K189" s="5"/>
      <c r="L189" s="5"/>
      <c r="M189" s="5"/>
      <c r="N189" s="9"/>
      <c r="O189" s="9" t="str">
        <f t="shared" ca="1" si="4"/>
        <v/>
      </c>
      <c r="P189" s="9"/>
      <c r="Q189" s="5"/>
      <c r="R189" s="9" t="str">
        <f t="shared" si="7"/>
        <v/>
      </c>
    </row>
    <row r="190" spans="1:18">
      <c r="A190" s="7" t="str">
        <f t="shared" si="5"/>
        <v/>
      </c>
      <c r="B190" s="5"/>
      <c r="C190" s="5"/>
      <c r="D190" s="5"/>
      <c r="E190" s="5"/>
      <c r="F190" s="7"/>
      <c r="G190" s="9"/>
      <c r="H190" s="5"/>
      <c r="I190" s="5"/>
      <c r="J190" s="5"/>
      <c r="K190" s="5"/>
      <c r="L190" s="5"/>
      <c r="M190" s="5"/>
      <c r="N190" s="9"/>
      <c r="O190" s="9" t="str">
        <f t="shared" ca="1" si="4"/>
        <v/>
      </c>
      <c r="P190" s="9"/>
      <c r="Q190" s="5"/>
      <c r="R190" s="9" t="str">
        <f t="shared" si="7"/>
        <v/>
      </c>
    </row>
    <row r="191" spans="1:18">
      <c r="A191" s="7" t="str">
        <f t="shared" si="5"/>
        <v/>
      </c>
      <c r="B191" s="5"/>
      <c r="C191" s="5"/>
      <c r="D191" s="5"/>
      <c r="E191" s="5"/>
      <c r="F191" s="7"/>
      <c r="G191" s="9"/>
      <c r="H191" s="5"/>
      <c r="I191" s="5"/>
      <c r="J191" s="5"/>
      <c r="K191" s="5"/>
      <c r="L191" s="5"/>
      <c r="M191" s="5"/>
      <c r="N191" s="9"/>
      <c r="O191" s="9" t="str">
        <f t="shared" ca="1" si="4"/>
        <v/>
      </c>
      <c r="P191" s="9"/>
      <c r="Q191" s="5"/>
      <c r="R191" s="9" t="str">
        <f t="shared" si="7"/>
        <v/>
      </c>
    </row>
    <row r="192" spans="1:18">
      <c r="A192" s="7" t="str">
        <f t="shared" si="5"/>
        <v/>
      </c>
      <c r="B192" s="5"/>
      <c r="C192" s="5"/>
      <c r="D192" s="5"/>
      <c r="E192" s="5"/>
      <c r="F192" s="7"/>
      <c r="G192" s="9"/>
      <c r="H192" s="5"/>
      <c r="I192" s="5"/>
      <c r="J192" s="5"/>
      <c r="K192" s="5"/>
      <c r="L192" s="5"/>
      <c r="M192" s="5"/>
      <c r="N192" s="9"/>
      <c r="O192" s="9" t="str">
        <f t="shared" ca="1" si="4"/>
        <v/>
      </c>
      <c r="P192" s="9"/>
      <c r="Q192" s="5"/>
      <c r="R192" s="9" t="str">
        <f t="shared" si="7"/>
        <v/>
      </c>
    </row>
    <row r="193" spans="1:18">
      <c r="A193" s="7" t="str">
        <f t="shared" si="5"/>
        <v/>
      </c>
      <c r="B193" s="5"/>
      <c r="C193" s="5"/>
      <c r="D193" s="5"/>
      <c r="E193" s="5"/>
      <c r="F193" s="7"/>
      <c r="G193" s="9"/>
      <c r="H193" s="5"/>
      <c r="I193" s="5"/>
      <c r="J193" s="5"/>
      <c r="K193" s="5"/>
      <c r="L193" s="5"/>
      <c r="M193" s="5"/>
      <c r="N193" s="9"/>
      <c r="O193" s="9" t="str">
        <f t="shared" ca="1" si="4"/>
        <v/>
      </c>
      <c r="P193" s="9"/>
      <c r="Q193" s="5"/>
      <c r="R193" s="9" t="str">
        <f t="shared" si="7"/>
        <v/>
      </c>
    </row>
    <row r="194" spans="1:18">
      <c r="A194" s="7" t="str">
        <f t="shared" si="5"/>
        <v/>
      </c>
      <c r="B194" s="5"/>
      <c r="C194" s="5"/>
      <c r="D194" s="5"/>
      <c r="E194" s="5"/>
      <c r="F194" s="7"/>
      <c r="G194" s="9"/>
      <c r="H194" s="5"/>
      <c r="I194" s="5"/>
      <c r="J194" s="5"/>
      <c r="K194" s="5"/>
      <c r="L194" s="5"/>
      <c r="M194" s="5"/>
      <c r="N194" s="9"/>
      <c r="O194" s="9" t="str">
        <f t="shared" ca="1" si="4"/>
        <v/>
      </c>
      <c r="P194" s="9"/>
      <c r="Q194" s="5"/>
      <c r="R194" s="9" t="str">
        <f t="shared" si="7"/>
        <v/>
      </c>
    </row>
    <row r="195" spans="1:18">
      <c r="A195" s="7" t="str">
        <f t="shared" si="5"/>
        <v/>
      </c>
      <c r="B195" s="5"/>
      <c r="C195" s="5"/>
      <c r="D195" s="5"/>
      <c r="E195" s="5"/>
      <c r="F195" s="7"/>
      <c r="G195" s="9"/>
      <c r="H195" s="5"/>
      <c r="I195" s="5"/>
      <c r="J195" s="5"/>
      <c r="K195" s="5"/>
      <c r="L195" s="5"/>
      <c r="M195" s="5"/>
      <c r="N195" s="9"/>
      <c r="O195" s="9" t="str">
        <f t="shared" ref="O195:O205" ca="1" si="8">IF(OR($B195="",$N195&lt;&gt;"Yes",$G195="",$M195=""),"",IF(AND(ISNUMBER($P195),$P195&lt;=TODAY()),$P195+IF($M195="Low",3,IF($M195="Medium",7,21)),$G195+IF($M195="Low",2,IF($M195="Medium",5,14))))</f>
        <v/>
      </c>
      <c r="P195" s="9"/>
      <c r="Q195" s="5"/>
      <c r="R195" s="9" t="str">
        <f t="shared" si="7"/>
        <v/>
      </c>
    </row>
    <row r="196" spans="1:18">
      <c r="A196" s="7" t="str">
        <f t="shared" ref="A196:A259" si="9">IF(B196="","",ROW()-3)</f>
        <v/>
      </c>
      <c r="B196" s="5"/>
      <c r="C196" s="5"/>
      <c r="D196" s="5"/>
      <c r="E196" s="5"/>
      <c r="F196" s="7"/>
      <c r="G196" s="9"/>
      <c r="H196" s="5"/>
      <c r="I196" s="5"/>
      <c r="J196" s="5"/>
      <c r="K196" s="5"/>
      <c r="L196" s="5"/>
      <c r="M196" s="5"/>
      <c r="N196" s="9"/>
      <c r="O196" s="9" t="str">
        <f t="shared" ca="1" si="8"/>
        <v/>
      </c>
      <c r="P196" s="9"/>
      <c r="Q196" s="5"/>
      <c r="R196" s="9" t="str">
        <f t="shared" si="7"/>
        <v/>
      </c>
    </row>
    <row r="197" spans="1:18">
      <c r="A197" s="7" t="str">
        <f t="shared" si="9"/>
        <v/>
      </c>
      <c r="B197" s="5"/>
      <c r="C197" s="5"/>
      <c r="D197" s="5"/>
      <c r="E197" s="5"/>
      <c r="F197" s="7"/>
      <c r="G197" s="9"/>
      <c r="H197" s="5"/>
      <c r="I197" s="5"/>
      <c r="J197" s="5"/>
      <c r="K197" s="5"/>
      <c r="L197" s="5"/>
      <c r="M197" s="5"/>
      <c r="N197" s="9"/>
      <c r="O197" s="9" t="str">
        <f t="shared" ca="1" si="8"/>
        <v/>
      </c>
      <c r="P197" s="9"/>
      <c r="Q197" s="5"/>
      <c r="R197" s="9" t="str">
        <f t="shared" si="7"/>
        <v/>
      </c>
    </row>
    <row r="198" spans="1:18">
      <c r="A198" s="7" t="str">
        <f t="shared" si="9"/>
        <v/>
      </c>
      <c r="B198" s="5"/>
      <c r="C198" s="5"/>
      <c r="D198" s="5"/>
      <c r="E198" s="5"/>
      <c r="F198" s="7"/>
      <c r="G198" s="9"/>
      <c r="H198" s="5"/>
      <c r="I198" s="5"/>
      <c r="J198" s="5"/>
      <c r="K198" s="5"/>
      <c r="L198" s="5"/>
      <c r="M198" s="5"/>
      <c r="N198" s="9"/>
      <c r="O198" s="9" t="str">
        <f t="shared" ca="1" si="8"/>
        <v/>
      </c>
      <c r="P198" s="9"/>
      <c r="Q198" s="5"/>
      <c r="R198" s="9" t="str">
        <f t="shared" ref="R198:R205" si="10">IF($G198="","",$G198+21)</f>
        <v/>
      </c>
    </row>
    <row r="199" spans="1:18">
      <c r="A199" s="7" t="str">
        <f t="shared" si="9"/>
        <v/>
      </c>
      <c r="B199" s="5"/>
      <c r="C199" s="5"/>
      <c r="D199" s="5"/>
      <c r="E199" s="5"/>
      <c r="F199" s="7"/>
      <c r="G199" s="9"/>
      <c r="H199" s="5"/>
      <c r="I199" s="5"/>
      <c r="J199" s="5"/>
      <c r="K199" s="5"/>
      <c r="L199" s="5"/>
      <c r="M199" s="5"/>
      <c r="N199" s="9"/>
      <c r="O199" s="9" t="str">
        <f t="shared" ca="1" si="8"/>
        <v/>
      </c>
      <c r="P199" s="9"/>
      <c r="Q199" s="5"/>
      <c r="R199" s="9" t="str">
        <f t="shared" si="10"/>
        <v/>
      </c>
    </row>
    <row r="200" spans="1:18">
      <c r="A200" s="7" t="str">
        <f t="shared" si="9"/>
        <v/>
      </c>
      <c r="B200" s="5"/>
      <c r="C200" s="5"/>
      <c r="D200" s="5"/>
      <c r="E200" s="5"/>
      <c r="F200" s="7"/>
      <c r="G200" s="9"/>
      <c r="H200" s="5"/>
      <c r="I200" s="5"/>
      <c r="J200" s="5"/>
      <c r="K200" s="5"/>
      <c r="L200" s="5"/>
      <c r="M200" s="5"/>
      <c r="N200" s="9"/>
      <c r="O200" s="9" t="str">
        <f t="shared" ca="1" si="8"/>
        <v/>
      </c>
      <c r="P200" s="9"/>
      <c r="Q200" s="5"/>
      <c r="R200" s="9" t="str">
        <f t="shared" si="10"/>
        <v/>
      </c>
    </row>
    <row r="201" spans="1:18">
      <c r="A201" s="7" t="str">
        <f t="shared" si="9"/>
        <v/>
      </c>
      <c r="B201" s="5"/>
      <c r="C201" s="5"/>
      <c r="D201" s="5"/>
      <c r="E201" s="5"/>
      <c r="F201" s="7"/>
      <c r="G201" s="9"/>
      <c r="H201" s="5"/>
      <c r="I201" s="5"/>
      <c r="J201" s="5"/>
      <c r="K201" s="5"/>
      <c r="L201" s="5"/>
      <c r="M201" s="5"/>
      <c r="N201" s="9"/>
      <c r="O201" s="9" t="str">
        <f t="shared" ca="1" si="8"/>
        <v/>
      </c>
      <c r="P201" s="9"/>
      <c r="Q201" s="5"/>
      <c r="R201" s="9" t="str">
        <f t="shared" si="10"/>
        <v/>
      </c>
    </row>
    <row r="202" spans="1:18">
      <c r="A202" s="7" t="str">
        <f t="shared" si="9"/>
        <v/>
      </c>
      <c r="B202" s="5"/>
      <c r="C202" s="5"/>
      <c r="D202" s="5"/>
      <c r="E202" s="5"/>
      <c r="F202" s="7"/>
      <c r="G202" s="9"/>
      <c r="H202" s="5"/>
      <c r="I202" s="5"/>
      <c r="J202" s="5"/>
      <c r="K202" s="5"/>
      <c r="L202" s="5"/>
      <c r="M202" s="5"/>
      <c r="N202" s="9"/>
      <c r="O202" s="9" t="str">
        <f t="shared" ca="1" si="8"/>
        <v/>
      </c>
      <c r="P202" s="9"/>
      <c r="Q202" s="5"/>
      <c r="R202" s="9" t="str">
        <f t="shared" si="10"/>
        <v/>
      </c>
    </row>
    <row r="203" spans="1:18">
      <c r="A203" s="7" t="str">
        <f t="shared" si="9"/>
        <v/>
      </c>
      <c r="B203" s="5"/>
      <c r="C203" s="5"/>
      <c r="D203" s="5"/>
      <c r="E203" s="5"/>
      <c r="F203" s="7"/>
      <c r="G203" s="9"/>
      <c r="H203" s="5"/>
      <c r="I203" s="5"/>
      <c r="J203" s="5"/>
      <c r="K203" s="5"/>
      <c r="L203" s="5"/>
      <c r="M203" s="5"/>
      <c r="N203" s="9"/>
      <c r="O203" s="9" t="str">
        <f t="shared" ca="1" si="8"/>
        <v/>
      </c>
      <c r="P203" s="9"/>
      <c r="Q203" s="5"/>
      <c r="R203" s="9" t="str">
        <f t="shared" si="10"/>
        <v/>
      </c>
    </row>
    <row r="204" spans="1:18">
      <c r="A204" s="7" t="str">
        <f t="shared" si="9"/>
        <v/>
      </c>
      <c r="B204" s="5"/>
      <c r="C204" s="5"/>
      <c r="D204" s="5"/>
      <c r="E204" s="5"/>
      <c r="F204" s="7"/>
      <c r="G204" s="9"/>
      <c r="H204" s="5"/>
      <c r="I204" s="5"/>
      <c r="J204" s="5"/>
      <c r="K204" s="5"/>
      <c r="L204" s="5"/>
      <c r="M204" s="5"/>
      <c r="N204" s="9"/>
      <c r="O204" s="9" t="str">
        <f t="shared" ca="1" si="8"/>
        <v/>
      </c>
      <c r="P204" s="9"/>
      <c r="Q204" s="5"/>
      <c r="R204" s="9" t="str">
        <f t="shared" si="10"/>
        <v/>
      </c>
    </row>
    <row r="205" spans="1:18">
      <c r="A205" s="7" t="str">
        <f t="shared" si="9"/>
        <v/>
      </c>
      <c r="B205" s="5"/>
      <c r="C205" s="5"/>
      <c r="D205" s="5"/>
      <c r="E205" s="5"/>
      <c r="F205" s="7"/>
      <c r="G205" s="9"/>
      <c r="H205" s="5"/>
      <c r="I205" s="5"/>
      <c r="J205" s="5"/>
      <c r="K205" s="5"/>
      <c r="L205" s="5"/>
      <c r="M205" s="5"/>
      <c r="N205" s="9"/>
      <c r="O205" s="9" t="str">
        <f t="shared" ca="1" si="8"/>
        <v/>
      </c>
      <c r="P205" s="9"/>
      <c r="Q205" s="5"/>
      <c r="R205" s="9" t="str">
        <f t="shared" si="10"/>
        <v/>
      </c>
    </row>
    <row r="206" spans="1:18">
      <c r="A206" s="7" t="str">
        <f t="shared" si="9"/>
        <v/>
      </c>
      <c r="B206" s="5"/>
      <c r="C206" s="5"/>
      <c r="D206" s="5"/>
      <c r="E206" s="5"/>
      <c r="F206" s="7"/>
      <c r="G206" s="9"/>
      <c r="H206" s="5"/>
      <c r="I206" s="5"/>
      <c r="J206" s="5"/>
      <c r="K206" s="5"/>
      <c r="L206" s="5"/>
      <c r="M206" s="5"/>
      <c r="N206" s="9"/>
      <c r="O206" s="9" t="str">
        <f t="shared" ref="O206:O269" ca="1" si="11">IF(OR($B206="",$N206&lt;&gt;"Yes",$G206="",$M206=""),"",IF(AND(ISNUMBER($P206),$P206&lt;=TODAY()),$P206+IF($M206="Low",3,IF($M206="Medium",7,21)),$G206+IF($M206="Low",2,IF($M206="Medium",5,14))))</f>
        <v/>
      </c>
      <c r="P206" s="9"/>
      <c r="Q206" s="5"/>
      <c r="R206" s="9"/>
    </row>
    <row r="207" spans="1:18">
      <c r="A207" s="7" t="str">
        <f t="shared" si="9"/>
        <v/>
      </c>
      <c r="B207" s="5"/>
      <c r="C207" s="5"/>
      <c r="D207" s="5"/>
      <c r="E207" s="5"/>
      <c r="F207" s="7"/>
      <c r="G207" s="9"/>
      <c r="H207" s="5"/>
      <c r="I207" s="5"/>
      <c r="J207" s="5"/>
      <c r="K207" s="5"/>
      <c r="L207" s="5"/>
      <c r="M207" s="5"/>
      <c r="N207" s="9"/>
      <c r="O207" s="9" t="str">
        <f t="shared" ca="1" si="11"/>
        <v/>
      </c>
      <c r="P207" s="9"/>
      <c r="Q207" s="5"/>
      <c r="R207" s="9"/>
    </row>
    <row r="208" spans="1:18">
      <c r="A208" s="7" t="str">
        <f t="shared" si="9"/>
        <v/>
      </c>
      <c r="B208" s="5"/>
      <c r="C208" s="5"/>
      <c r="D208" s="5"/>
      <c r="E208" s="5"/>
      <c r="F208" s="7"/>
      <c r="G208" s="9"/>
      <c r="H208" s="5"/>
      <c r="I208" s="5"/>
      <c r="J208" s="5"/>
      <c r="K208" s="5"/>
      <c r="L208" s="5"/>
      <c r="M208" s="5"/>
      <c r="N208" s="9"/>
      <c r="O208" s="9" t="str">
        <f t="shared" ca="1" si="11"/>
        <v/>
      </c>
      <c r="P208" s="9"/>
      <c r="Q208" s="5"/>
      <c r="R208" s="9"/>
    </row>
    <row r="209" spans="1:18">
      <c r="A209" s="7" t="str">
        <f t="shared" si="9"/>
        <v/>
      </c>
      <c r="B209" s="5"/>
      <c r="C209" s="5"/>
      <c r="D209" s="5"/>
      <c r="E209" s="5"/>
      <c r="F209" s="7"/>
      <c r="G209" s="9"/>
      <c r="H209" s="5"/>
      <c r="I209" s="5"/>
      <c r="J209" s="5"/>
      <c r="K209" s="5"/>
      <c r="L209" s="5"/>
      <c r="M209" s="5"/>
      <c r="N209" s="9"/>
      <c r="O209" s="9" t="str">
        <f t="shared" ca="1" si="11"/>
        <v/>
      </c>
      <c r="P209" s="9"/>
      <c r="Q209" s="5"/>
      <c r="R209" s="9"/>
    </row>
    <row r="210" spans="1:18">
      <c r="A210" s="7" t="str">
        <f t="shared" si="9"/>
        <v/>
      </c>
      <c r="B210" s="5"/>
      <c r="C210" s="5"/>
      <c r="D210" s="5"/>
      <c r="E210" s="5"/>
      <c r="F210" s="7"/>
      <c r="G210" s="9"/>
      <c r="H210" s="5"/>
      <c r="I210" s="5"/>
      <c r="J210" s="5"/>
      <c r="K210" s="5"/>
      <c r="L210" s="5"/>
      <c r="M210" s="5"/>
      <c r="N210" s="9"/>
      <c r="O210" s="9" t="str">
        <f t="shared" ca="1" si="11"/>
        <v/>
      </c>
      <c r="P210" s="9"/>
      <c r="Q210" s="5"/>
      <c r="R210" s="9"/>
    </row>
    <row r="211" spans="1:18">
      <c r="A211" s="7" t="str">
        <f t="shared" si="9"/>
        <v/>
      </c>
      <c r="B211" s="5"/>
      <c r="C211" s="5"/>
      <c r="D211" s="5"/>
      <c r="E211" s="5"/>
      <c r="F211" s="7"/>
      <c r="G211" s="9"/>
      <c r="H211" s="5"/>
      <c r="I211" s="5"/>
      <c r="J211" s="5"/>
      <c r="K211" s="5"/>
      <c r="L211" s="5"/>
      <c r="M211" s="5"/>
      <c r="N211" s="9"/>
      <c r="O211" s="9" t="str">
        <f t="shared" ca="1" si="11"/>
        <v/>
      </c>
      <c r="P211" s="9"/>
      <c r="Q211" s="5"/>
      <c r="R211" s="9"/>
    </row>
    <row r="212" spans="1:18">
      <c r="A212" s="7" t="str">
        <f t="shared" si="9"/>
        <v/>
      </c>
      <c r="B212" s="5"/>
      <c r="C212" s="5"/>
      <c r="D212" s="5"/>
      <c r="E212" s="5"/>
      <c r="F212" s="7"/>
      <c r="G212" s="9"/>
      <c r="H212" s="5"/>
      <c r="I212" s="5"/>
      <c r="J212" s="5"/>
      <c r="K212" s="5"/>
      <c r="L212" s="5"/>
      <c r="M212" s="5"/>
      <c r="N212" s="9"/>
      <c r="O212" s="9" t="str">
        <f t="shared" ca="1" si="11"/>
        <v/>
      </c>
      <c r="P212" s="9"/>
      <c r="Q212" s="5"/>
      <c r="R212" s="9"/>
    </row>
    <row r="213" spans="1:18">
      <c r="A213" s="7" t="str">
        <f t="shared" si="9"/>
        <v/>
      </c>
      <c r="B213" s="5"/>
      <c r="C213" s="5"/>
      <c r="D213" s="5"/>
      <c r="E213" s="5"/>
      <c r="F213" s="7"/>
      <c r="G213" s="9"/>
      <c r="H213" s="5"/>
      <c r="I213" s="5"/>
      <c r="J213" s="5"/>
      <c r="K213" s="5"/>
      <c r="L213" s="5"/>
      <c r="M213" s="5"/>
      <c r="N213" s="9"/>
      <c r="O213" s="9" t="str">
        <f t="shared" ca="1" si="11"/>
        <v/>
      </c>
      <c r="P213" s="9"/>
      <c r="Q213" s="5"/>
      <c r="R213" s="9"/>
    </row>
    <row r="214" spans="1:18">
      <c r="A214" s="7" t="str">
        <f t="shared" si="9"/>
        <v/>
      </c>
      <c r="B214" s="5"/>
      <c r="C214" s="5"/>
      <c r="D214" s="5"/>
      <c r="E214" s="5"/>
      <c r="F214" s="7"/>
      <c r="G214" s="9"/>
      <c r="H214" s="5"/>
      <c r="I214" s="5"/>
      <c r="J214" s="5"/>
      <c r="K214" s="5"/>
      <c r="L214" s="5"/>
      <c r="M214" s="5"/>
      <c r="N214" s="9"/>
      <c r="O214" s="9" t="str">
        <f t="shared" ca="1" si="11"/>
        <v/>
      </c>
      <c r="P214" s="9"/>
      <c r="Q214" s="5"/>
      <c r="R214" s="9"/>
    </row>
    <row r="215" spans="1:18">
      <c r="A215" s="7" t="str">
        <f t="shared" si="9"/>
        <v/>
      </c>
      <c r="B215" s="5"/>
      <c r="C215" s="5"/>
      <c r="D215" s="5"/>
      <c r="E215" s="5"/>
      <c r="F215" s="7"/>
      <c r="G215" s="9"/>
      <c r="H215" s="5"/>
      <c r="I215" s="5"/>
      <c r="J215" s="5"/>
      <c r="K215" s="5"/>
      <c r="L215" s="5"/>
      <c r="M215" s="5"/>
      <c r="N215" s="9"/>
      <c r="O215" s="9" t="str">
        <f t="shared" ca="1" si="11"/>
        <v/>
      </c>
      <c r="P215" s="9"/>
      <c r="Q215" s="5"/>
      <c r="R215" s="9"/>
    </row>
    <row r="216" spans="1:18">
      <c r="A216" s="7" t="str">
        <f t="shared" si="9"/>
        <v/>
      </c>
      <c r="B216" s="5"/>
      <c r="C216" s="5"/>
      <c r="D216" s="5"/>
      <c r="E216" s="5"/>
      <c r="F216" s="7"/>
      <c r="G216" s="9"/>
      <c r="H216" s="5"/>
      <c r="I216" s="5"/>
      <c r="J216" s="5"/>
      <c r="K216" s="5"/>
      <c r="L216" s="5"/>
      <c r="M216" s="5"/>
      <c r="N216" s="9"/>
      <c r="O216" s="9" t="str">
        <f t="shared" ca="1" si="11"/>
        <v/>
      </c>
      <c r="P216" s="9"/>
      <c r="Q216" s="5"/>
      <c r="R216" s="9"/>
    </row>
    <row r="217" spans="1:18">
      <c r="A217" s="7" t="str">
        <f t="shared" si="9"/>
        <v/>
      </c>
      <c r="B217" s="5"/>
      <c r="C217" s="5"/>
      <c r="D217" s="5"/>
      <c r="E217" s="5"/>
      <c r="F217" s="7"/>
      <c r="G217" s="9"/>
      <c r="H217" s="5"/>
      <c r="I217" s="5"/>
      <c r="J217" s="5"/>
      <c r="K217" s="5"/>
      <c r="L217" s="5"/>
      <c r="M217" s="5"/>
      <c r="N217" s="9"/>
      <c r="O217" s="9" t="str">
        <f t="shared" ca="1" si="11"/>
        <v/>
      </c>
      <c r="P217" s="9"/>
      <c r="Q217" s="5"/>
      <c r="R217" s="9"/>
    </row>
    <row r="218" spans="1:18">
      <c r="A218" s="7" t="str">
        <f t="shared" si="9"/>
        <v/>
      </c>
      <c r="B218" s="5"/>
      <c r="C218" s="5"/>
      <c r="D218" s="5"/>
      <c r="E218" s="5"/>
      <c r="F218" s="7"/>
      <c r="G218" s="9"/>
      <c r="H218" s="5"/>
      <c r="I218" s="5"/>
      <c r="J218" s="5"/>
      <c r="K218" s="5"/>
      <c r="L218" s="5"/>
      <c r="M218" s="5"/>
      <c r="N218" s="9"/>
      <c r="O218" s="9" t="str">
        <f t="shared" ca="1" si="11"/>
        <v/>
      </c>
      <c r="P218" s="9"/>
      <c r="Q218" s="5"/>
      <c r="R218" s="9"/>
    </row>
    <row r="219" spans="1:18">
      <c r="A219" s="7" t="str">
        <f t="shared" si="9"/>
        <v/>
      </c>
      <c r="B219" s="5"/>
      <c r="C219" s="5"/>
      <c r="D219" s="5"/>
      <c r="E219" s="5"/>
      <c r="F219" s="7"/>
      <c r="G219" s="9"/>
      <c r="H219" s="5"/>
      <c r="I219" s="5"/>
      <c r="J219" s="5"/>
      <c r="K219" s="5"/>
      <c r="L219" s="5"/>
      <c r="M219" s="5"/>
      <c r="N219" s="9"/>
      <c r="O219" s="9" t="str">
        <f t="shared" ca="1" si="11"/>
        <v/>
      </c>
      <c r="P219" s="9"/>
      <c r="Q219" s="5"/>
      <c r="R219" s="9"/>
    </row>
    <row r="220" spans="1:18">
      <c r="A220" s="7" t="str">
        <f t="shared" si="9"/>
        <v/>
      </c>
      <c r="B220" s="5"/>
      <c r="C220" s="5"/>
      <c r="D220" s="5"/>
      <c r="E220" s="5"/>
      <c r="F220" s="7"/>
      <c r="G220" s="9"/>
      <c r="H220" s="5"/>
      <c r="I220" s="5"/>
      <c r="J220" s="5"/>
      <c r="K220" s="5"/>
      <c r="L220" s="5"/>
      <c r="M220" s="5"/>
      <c r="N220" s="9"/>
      <c r="O220" s="9" t="str">
        <f t="shared" ca="1" si="11"/>
        <v/>
      </c>
      <c r="P220" s="9"/>
      <c r="Q220" s="5"/>
      <c r="R220" s="9"/>
    </row>
    <row r="221" spans="1:18">
      <c r="A221" s="7" t="str">
        <f t="shared" si="9"/>
        <v/>
      </c>
      <c r="B221" s="5"/>
      <c r="C221" s="5"/>
      <c r="D221" s="5"/>
      <c r="E221" s="5"/>
      <c r="F221" s="7"/>
      <c r="G221" s="9"/>
      <c r="H221" s="5"/>
      <c r="I221" s="5"/>
      <c r="J221" s="5"/>
      <c r="K221" s="5"/>
      <c r="L221" s="5"/>
      <c r="M221" s="5"/>
      <c r="N221" s="9"/>
      <c r="O221" s="9" t="str">
        <f t="shared" ca="1" si="11"/>
        <v/>
      </c>
      <c r="P221" s="9"/>
      <c r="Q221" s="5"/>
      <c r="R221" s="9"/>
    </row>
    <row r="222" spans="1:18">
      <c r="A222" s="7" t="str">
        <f t="shared" si="9"/>
        <v/>
      </c>
      <c r="B222" s="5"/>
      <c r="C222" s="5"/>
      <c r="D222" s="5"/>
      <c r="E222" s="5"/>
      <c r="F222" s="7"/>
      <c r="G222" s="9"/>
      <c r="H222" s="5"/>
      <c r="I222" s="5"/>
      <c r="J222" s="5"/>
      <c r="K222" s="5"/>
      <c r="L222" s="5"/>
      <c r="M222" s="5"/>
      <c r="N222" s="9"/>
      <c r="O222" s="9" t="str">
        <f t="shared" ca="1" si="11"/>
        <v/>
      </c>
      <c r="P222" s="9"/>
      <c r="Q222" s="5"/>
      <c r="R222" s="9"/>
    </row>
    <row r="223" spans="1:18">
      <c r="A223" s="7" t="str">
        <f t="shared" si="9"/>
        <v/>
      </c>
      <c r="B223" s="5"/>
      <c r="C223" s="5"/>
      <c r="D223" s="5"/>
      <c r="E223" s="5"/>
      <c r="F223" s="7"/>
      <c r="G223" s="9"/>
      <c r="H223" s="5"/>
      <c r="I223" s="5"/>
      <c r="J223" s="5"/>
      <c r="K223" s="5"/>
      <c r="L223" s="5"/>
      <c r="M223" s="5"/>
      <c r="N223" s="9"/>
      <c r="O223" s="9" t="str">
        <f t="shared" ca="1" si="11"/>
        <v/>
      </c>
      <c r="P223" s="9"/>
      <c r="Q223" s="5"/>
      <c r="R223" s="9"/>
    </row>
    <row r="224" spans="1:18">
      <c r="A224" s="7" t="str">
        <f t="shared" si="9"/>
        <v/>
      </c>
      <c r="B224" s="5"/>
      <c r="C224" s="5"/>
      <c r="D224" s="5"/>
      <c r="E224" s="5"/>
      <c r="F224" s="7"/>
      <c r="G224" s="9"/>
      <c r="H224" s="5"/>
      <c r="I224" s="5"/>
      <c r="J224" s="5"/>
      <c r="K224" s="5"/>
      <c r="L224" s="5"/>
      <c r="M224" s="5"/>
      <c r="N224" s="9"/>
      <c r="O224" s="9" t="str">
        <f t="shared" ca="1" si="11"/>
        <v/>
      </c>
      <c r="P224" s="9"/>
      <c r="Q224" s="5"/>
      <c r="R224" s="9"/>
    </row>
    <row r="225" spans="1:18">
      <c r="A225" s="7" t="str">
        <f t="shared" si="9"/>
        <v/>
      </c>
      <c r="B225" s="5"/>
      <c r="C225" s="5"/>
      <c r="D225" s="5"/>
      <c r="E225" s="5"/>
      <c r="F225" s="7"/>
      <c r="G225" s="9"/>
      <c r="H225" s="5"/>
      <c r="I225" s="5"/>
      <c r="J225" s="5"/>
      <c r="K225" s="5"/>
      <c r="L225" s="5"/>
      <c r="M225" s="5"/>
      <c r="N225" s="9"/>
      <c r="O225" s="9" t="str">
        <f t="shared" ca="1" si="11"/>
        <v/>
      </c>
      <c r="P225" s="9"/>
      <c r="Q225" s="5"/>
      <c r="R225" s="9"/>
    </row>
    <row r="226" spans="1:18">
      <c r="A226" s="7" t="str">
        <f t="shared" si="9"/>
        <v/>
      </c>
      <c r="B226" s="5"/>
      <c r="C226" s="5"/>
      <c r="D226" s="5"/>
      <c r="E226" s="5"/>
      <c r="F226" s="7"/>
      <c r="G226" s="9"/>
      <c r="H226" s="5"/>
      <c r="I226" s="5"/>
      <c r="J226" s="5"/>
      <c r="K226" s="5"/>
      <c r="L226" s="5"/>
      <c r="M226" s="5"/>
      <c r="N226" s="9"/>
      <c r="O226" s="9" t="str">
        <f t="shared" ca="1" si="11"/>
        <v/>
      </c>
      <c r="P226" s="9"/>
      <c r="Q226" s="5"/>
      <c r="R226" s="9"/>
    </row>
    <row r="227" spans="1:18">
      <c r="A227" s="7" t="str">
        <f t="shared" si="9"/>
        <v/>
      </c>
      <c r="B227" s="5"/>
      <c r="C227" s="5"/>
      <c r="D227" s="5"/>
      <c r="E227" s="5"/>
      <c r="F227" s="7"/>
      <c r="G227" s="9"/>
      <c r="H227" s="5"/>
      <c r="I227" s="5"/>
      <c r="J227" s="5"/>
      <c r="K227" s="5"/>
      <c r="L227" s="5"/>
      <c r="M227" s="5"/>
      <c r="N227" s="9"/>
      <c r="O227" s="9" t="str">
        <f t="shared" ca="1" si="11"/>
        <v/>
      </c>
      <c r="P227" s="9"/>
      <c r="Q227" s="5"/>
      <c r="R227" s="9"/>
    </row>
    <row r="228" spans="1:18">
      <c r="A228" s="7" t="str">
        <f t="shared" si="9"/>
        <v/>
      </c>
      <c r="B228" s="5"/>
      <c r="C228" s="5"/>
      <c r="D228" s="5"/>
      <c r="E228" s="5"/>
      <c r="F228" s="7"/>
      <c r="G228" s="9"/>
      <c r="H228" s="5"/>
      <c r="I228" s="5"/>
      <c r="J228" s="5"/>
      <c r="K228" s="5"/>
      <c r="L228" s="5"/>
      <c r="M228" s="5"/>
      <c r="N228" s="9"/>
      <c r="O228" s="9" t="str">
        <f t="shared" ca="1" si="11"/>
        <v/>
      </c>
      <c r="P228" s="9"/>
      <c r="Q228" s="5"/>
      <c r="R228" s="9"/>
    </row>
    <row r="229" spans="1:18">
      <c r="A229" s="7" t="str">
        <f t="shared" si="9"/>
        <v/>
      </c>
      <c r="B229" s="5"/>
      <c r="C229" s="5"/>
      <c r="D229" s="5"/>
      <c r="E229" s="5"/>
      <c r="F229" s="7"/>
      <c r="G229" s="9"/>
      <c r="H229" s="5"/>
      <c r="I229" s="5"/>
      <c r="J229" s="5"/>
      <c r="K229" s="5"/>
      <c r="L229" s="5"/>
      <c r="M229" s="5"/>
      <c r="N229" s="9"/>
      <c r="O229" s="9" t="str">
        <f t="shared" ca="1" si="11"/>
        <v/>
      </c>
      <c r="P229" s="9"/>
      <c r="Q229" s="5"/>
      <c r="R229" s="9"/>
    </row>
    <row r="230" spans="1:18">
      <c r="A230" s="7" t="str">
        <f t="shared" si="9"/>
        <v/>
      </c>
      <c r="B230" s="5"/>
      <c r="C230" s="5"/>
      <c r="D230" s="5"/>
      <c r="E230" s="5"/>
      <c r="F230" s="7"/>
      <c r="G230" s="9"/>
      <c r="H230" s="5"/>
      <c r="I230" s="5"/>
      <c r="J230" s="5"/>
      <c r="K230" s="5"/>
      <c r="L230" s="5"/>
      <c r="M230" s="5"/>
      <c r="N230" s="9"/>
      <c r="O230" s="9" t="str">
        <f t="shared" ca="1" si="11"/>
        <v/>
      </c>
      <c r="P230" s="9"/>
      <c r="Q230" s="5"/>
      <c r="R230" s="9"/>
    </row>
    <row r="231" spans="1:18">
      <c r="A231" s="7" t="str">
        <f t="shared" si="9"/>
        <v/>
      </c>
      <c r="B231" s="5"/>
      <c r="C231" s="5"/>
      <c r="D231" s="5"/>
      <c r="E231" s="5"/>
      <c r="F231" s="7"/>
      <c r="G231" s="9"/>
      <c r="H231" s="5"/>
      <c r="I231" s="5"/>
      <c r="J231" s="5"/>
      <c r="K231" s="5"/>
      <c r="L231" s="5"/>
      <c r="M231" s="5"/>
      <c r="N231" s="9"/>
      <c r="O231" s="9" t="str">
        <f t="shared" ca="1" si="11"/>
        <v/>
      </c>
      <c r="P231" s="9"/>
      <c r="Q231" s="5"/>
      <c r="R231" s="9"/>
    </row>
    <row r="232" spans="1:18">
      <c r="A232" s="7" t="str">
        <f t="shared" si="9"/>
        <v/>
      </c>
      <c r="B232" s="5"/>
      <c r="C232" s="5"/>
      <c r="D232" s="5"/>
      <c r="E232" s="5"/>
      <c r="F232" s="7"/>
      <c r="G232" s="9"/>
      <c r="H232" s="5"/>
      <c r="I232" s="5"/>
      <c r="J232" s="5"/>
      <c r="K232" s="5"/>
      <c r="L232" s="5"/>
      <c r="M232" s="5"/>
      <c r="N232" s="9"/>
      <c r="O232" s="9" t="str">
        <f t="shared" ca="1" si="11"/>
        <v/>
      </c>
      <c r="P232" s="9"/>
      <c r="Q232" s="5"/>
      <c r="R232" s="9"/>
    </row>
    <row r="233" spans="1:18">
      <c r="A233" s="7" t="str">
        <f t="shared" si="9"/>
        <v/>
      </c>
      <c r="B233" s="5"/>
      <c r="C233" s="5"/>
      <c r="D233" s="5"/>
      <c r="E233" s="5"/>
      <c r="F233" s="7"/>
      <c r="G233" s="9"/>
      <c r="H233" s="5"/>
      <c r="I233" s="5"/>
      <c r="J233" s="5"/>
      <c r="K233" s="5"/>
      <c r="L233" s="5"/>
      <c r="M233" s="5"/>
      <c r="N233" s="9"/>
      <c r="O233" s="9" t="str">
        <f t="shared" ca="1" si="11"/>
        <v/>
      </c>
      <c r="P233" s="9"/>
      <c r="Q233" s="5"/>
      <c r="R233" s="9"/>
    </row>
    <row r="234" spans="1:18">
      <c r="A234" s="7" t="str">
        <f t="shared" si="9"/>
        <v/>
      </c>
      <c r="B234" s="5"/>
      <c r="C234" s="5"/>
      <c r="D234" s="5"/>
      <c r="E234" s="5"/>
      <c r="F234" s="7"/>
      <c r="G234" s="9"/>
      <c r="H234" s="5"/>
      <c r="I234" s="5"/>
      <c r="J234" s="5"/>
      <c r="K234" s="5"/>
      <c r="L234" s="5"/>
      <c r="M234" s="5"/>
      <c r="N234" s="9"/>
      <c r="O234" s="9" t="str">
        <f t="shared" ca="1" si="11"/>
        <v/>
      </c>
      <c r="P234" s="9"/>
      <c r="Q234" s="5"/>
      <c r="R234" s="9"/>
    </row>
    <row r="235" spans="1:18">
      <c r="A235" s="7" t="str">
        <f t="shared" si="9"/>
        <v/>
      </c>
      <c r="B235" s="5"/>
      <c r="C235" s="5"/>
      <c r="D235" s="5"/>
      <c r="E235" s="5"/>
      <c r="F235" s="7"/>
      <c r="G235" s="9"/>
      <c r="H235" s="5"/>
      <c r="I235" s="5"/>
      <c r="J235" s="5"/>
      <c r="K235" s="5"/>
      <c r="L235" s="5"/>
      <c r="M235" s="5"/>
      <c r="N235" s="9"/>
      <c r="O235" s="9" t="str">
        <f t="shared" ca="1" si="11"/>
        <v/>
      </c>
      <c r="P235" s="9"/>
      <c r="Q235" s="5"/>
      <c r="R235" s="9"/>
    </row>
    <row r="236" spans="1:18">
      <c r="A236" s="7" t="str">
        <f t="shared" si="9"/>
        <v/>
      </c>
      <c r="B236" s="5"/>
      <c r="C236" s="5"/>
      <c r="D236" s="5"/>
      <c r="E236" s="5"/>
      <c r="F236" s="7"/>
      <c r="G236" s="9"/>
      <c r="H236" s="5"/>
      <c r="I236" s="5"/>
      <c r="J236" s="5"/>
      <c r="K236" s="5"/>
      <c r="L236" s="5"/>
      <c r="M236" s="5"/>
      <c r="N236" s="9"/>
      <c r="O236" s="9" t="str">
        <f t="shared" ca="1" si="11"/>
        <v/>
      </c>
      <c r="P236" s="9"/>
      <c r="Q236" s="5"/>
      <c r="R236" s="9"/>
    </row>
    <row r="237" spans="1:18">
      <c r="A237" s="7" t="str">
        <f t="shared" si="9"/>
        <v/>
      </c>
      <c r="B237" s="5"/>
      <c r="C237" s="5"/>
      <c r="D237" s="5"/>
      <c r="E237" s="5"/>
      <c r="F237" s="7"/>
      <c r="G237" s="9"/>
      <c r="H237" s="5"/>
      <c r="I237" s="5"/>
      <c r="J237" s="5"/>
      <c r="K237" s="5"/>
      <c r="L237" s="5"/>
      <c r="M237" s="5"/>
      <c r="N237" s="9"/>
      <c r="O237" s="9" t="str">
        <f t="shared" ca="1" si="11"/>
        <v/>
      </c>
      <c r="P237" s="9"/>
      <c r="Q237" s="5"/>
      <c r="R237" s="9"/>
    </row>
    <row r="238" spans="1:18">
      <c r="A238" s="7" t="str">
        <f t="shared" si="9"/>
        <v/>
      </c>
      <c r="B238" s="5"/>
      <c r="C238" s="5"/>
      <c r="D238" s="5"/>
      <c r="E238" s="5"/>
      <c r="F238" s="7"/>
      <c r="G238" s="9"/>
      <c r="H238" s="5"/>
      <c r="I238" s="5"/>
      <c r="J238" s="5"/>
      <c r="K238" s="5"/>
      <c r="L238" s="5"/>
      <c r="M238" s="5"/>
      <c r="N238" s="9"/>
      <c r="O238" s="9" t="str">
        <f t="shared" ca="1" si="11"/>
        <v/>
      </c>
      <c r="P238" s="9"/>
      <c r="Q238" s="5"/>
      <c r="R238" s="9"/>
    </row>
    <row r="239" spans="1:18">
      <c r="A239" s="7" t="str">
        <f t="shared" si="9"/>
        <v/>
      </c>
      <c r="B239" s="5"/>
      <c r="C239" s="5"/>
      <c r="D239" s="5"/>
      <c r="E239" s="5"/>
      <c r="F239" s="7"/>
      <c r="G239" s="9"/>
      <c r="H239" s="5"/>
      <c r="I239" s="5"/>
      <c r="J239" s="5"/>
      <c r="K239" s="5"/>
      <c r="L239" s="5"/>
      <c r="M239" s="5"/>
      <c r="N239" s="9"/>
      <c r="O239" s="9" t="str">
        <f t="shared" ca="1" si="11"/>
        <v/>
      </c>
      <c r="P239" s="9"/>
      <c r="Q239" s="5"/>
      <c r="R239" s="9"/>
    </row>
    <row r="240" spans="1:18">
      <c r="A240" s="7" t="str">
        <f t="shared" si="9"/>
        <v/>
      </c>
      <c r="B240" s="5"/>
      <c r="C240" s="5"/>
      <c r="D240" s="5"/>
      <c r="E240" s="5"/>
      <c r="F240" s="7"/>
      <c r="G240" s="9"/>
      <c r="H240" s="5"/>
      <c r="I240" s="5"/>
      <c r="J240" s="5"/>
      <c r="K240" s="5"/>
      <c r="L240" s="5"/>
      <c r="M240" s="5"/>
      <c r="N240" s="9"/>
      <c r="O240" s="9" t="str">
        <f t="shared" ca="1" si="11"/>
        <v/>
      </c>
      <c r="P240" s="9"/>
      <c r="Q240" s="5"/>
      <c r="R240" s="9"/>
    </row>
    <row r="241" spans="1:18">
      <c r="A241" s="7" t="str">
        <f t="shared" si="9"/>
        <v/>
      </c>
      <c r="B241" s="5"/>
      <c r="C241" s="5"/>
      <c r="D241" s="5"/>
      <c r="E241" s="5"/>
      <c r="F241" s="7"/>
      <c r="G241" s="9"/>
      <c r="H241" s="5"/>
      <c r="I241" s="5"/>
      <c r="J241" s="5"/>
      <c r="K241" s="5"/>
      <c r="L241" s="5"/>
      <c r="M241" s="5"/>
      <c r="N241" s="9"/>
      <c r="O241" s="9" t="str">
        <f t="shared" ca="1" si="11"/>
        <v/>
      </c>
      <c r="P241" s="9"/>
      <c r="Q241" s="5"/>
      <c r="R241" s="9"/>
    </row>
    <row r="242" spans="1:18">
      <c r="A242" s="7" t="str">
        <f t="shared" si="9"/>
        <v/>
      </c>
      <c r="B242" s="5"/>
      <c r="C242" s="5"/>
      <c r="D242" s="5"/>
      <c r="E242" s="5"/>
      <c r="F242" s="7"/>
      <c r="G242" s="9"/>
      <c r="H242" s="5"/>
      <c r="I242" s="5"/>
      <c r="J242" s="5"/>
      <c r="K242" s="5"/>
      <c r="L242" s="5"/>
      <c r="M242" s="5"/>
      <c r="N242" s="9"/>
      <c r="O242" s="9" t="str">
        <f t="shared" ca="1" si="11"/>
        <v/>
      </c>
      <c r="P242" s="9"/>
      <c r="Q242" s="5"/>
      <c r="R242" s="9"/>
    </row>
    <row r="243" spans="1:18">
      <c r="A243" s="7" t="str">
        <f t="shared" si="9"/>
        <v/>
      </c>
      <c r="B243" s="5"/>
      <c r="C243" s="5"/>
      <c r="D243" s="5"/>
      <c r="E243" s="5"/>
      <c r="F243" s="7"/>
      <c r="G243" s="9"/>
      <c r="H243" s="5"/>
      <c r="I243" s="5"/>
      <c r="J243" s="5"/>
      <c r="K243" s="5"/>
      <c r="L243" s="5"/>
      <c r="M243" s="5"/>
      <c r="N243" s="9"/>
      <c r="O243" s="9" t="str">
        <f t="shared" ca="1" si="11"/>
        <v/>
      </c>
      <c r="P243" s="9"/>
      <c r="Q243" s="5"/>
      <c r="R243" s="9"/>
    </row>
    <row r="244" spans="1:18">
      <c r="A244" s="7" t="str">
        <f t="shared" si="9"/>
        <v/>
      </c>
      <c r="B244" s="5"/>
      <c r="C244" s="5"/>
      <c r="D244" s="5"/>
      <c r="E244" s="5"/>
      <c r="F244" s="7"/>
      <c r="G244" s="9"/>
      <c r="H244" s="5"/>
      <c r="I244" s="5"/>
      <c r="J244" s="5"/>
      <c r="K244" s="5"/>
      <c r="L244" s="5"/>
      <c r="M244" s="5"/>
      <c r="N244" s="9"/>
      <c r="O244" s="9" t="str">
        <f t="shared" ca="1" si="11"/>
        <v/>
      </c>
      <c r="P244" s="9"/>
      <c r="Q244" s="5"/>
      <c r="R244" s="9"/>
    </row>
    <row r="245" spans="1:18">
      <c r="A245" s="7" t="str">
        <f t="shared" si="9"/>
        <v/>
      </c>
      <c r="B245" s="5"/>
      <c r="C245" s="5"/>
      <c r="D245" s="5"/>
      <c r="E245" s="5"/>
      <c r="F245" s="7"/>
      <c r="G245" s="9"/>
      <c r="H245" s="5"/>
      <c r="I245" s="5"/>
      <c r="J245" s="5"/>
      <c r="K245" s="5"/>
      <c r="L245" s="5"/>
      <c r="M245" s="5"/>
      <c r="N245" s="9"/>
      <c r="O245" s="9" t="str">
        <f t="shared" ca="1" si="11"/>
        <v/>
      </c>
      <c r="P245" s="9"/>
      <c r="Q245" s="5"/>
      <c r="R245" s="9"/>
    </row>
    <row r="246" spans="1:18">
      <c r="A246" s="7" t="str">
        <f t="shared" si="9"/>
        <v/>
      </c>
      <c r="B246" s="5"/>
      <c r="C246" s="5"/>
      <c r="D246" s="5"/>
      <c r="E246" s="5"/>
      <c r="F246" s="7"/>
      <c r="G246" s="9"/>
      <c r="H246" s="5"/>
      <c r="I246" s="5"/>
      <c r="J246" s="5"/>
      <c r="K246" s="5"/>
      <c r="L246" s="5"/>
      <c r="M246" s="5"/>
      <c r="N246" s="9"/>
      <c r="O246" s="9" t="str">
        <f t="shared" ca="1" si="11"/>
        <v/>
      </c>
      <c r="P246" s="9"/>
      <c r="Q246" s="5"/>
      <c r="R246" s="9"/>
    </row>
    <row r="247" spans="1:18">
      <c r="A247" s="7" t="str">
        <f t="shared" si="9"/>
        <v/>
      </c>
      <c r="B247" s="5"/>
      <c r="C247" s="5"/>
      <c r="D247" s="5"/>
      <c r="E247" s="5"/>
      <c r="F247" s="7"/>
      <c r="G247" s="9"/>
      <c r="H247" s="5"/>
      <c r="I247" s="5"/>
      <c r="J247" s="5"/>
      <c r="K247" s="5"/>
      <c r="L247" s="5"/>
      <c r="M247" s="5"/>
      <c r="N247" s="9"/>
      <c r="O247" s="9" t="str">
        <f t="shared" ca="1" si="11"/>
        <v/>
      </c>
      <c r="P247" s="9"/>
      <c r="Q247" s="5"/>
      <c r="R247" s="9"/>
    </row>
    <row r="248" spans="1:18">
      <c r="A248" s="7" t="str">
        <f t="shared" si="9"/>
        <v/>
      </c>
      <c r="B248" s="5"/>
      <c r="C248" s="5"/>
      <c r="D248" s="5"/>
      <c r="E248" s="5"/>
      <c r="F248" s="7"/>
      <c r="G248" s="9"/>
      <c r="H248" s="5"/>
      <c r="I248" s="5"/>
      <c r="J248" s="5"/>
      <c r="K248" s="5"/>
      <c r="L248" s="5"/>
      <c r="M248" s="5"/>
      <c r="N248" s="9"/>
      <c r="O248" s="9" t="str">
        <f t="shared" ca="1" si="11"/>
        <v/>
      </c>
      <c r="P248" s="9"/>
      <c r="Q248" s="5"/>
      <c r="R248" s="9"/>
    </row>
    <row r="249" spans="1:18">
      <c r="A249" s="7" t="str">
        <f t="shared" si="9"/>
        <v/>
      </c>
      <c r="B249" s="5"/>
      <c r="C249" s="5"/>
      <c r="D249" s="5"/>
      <c r="E249" s="5"/>
      <c r="F249" s="7"/>
      <c r="G249" s="9"/>
      <c r="H249" s="5"/>
      <c r="I249" s="5"/>
      <c r="J249" s="5"/>
      <c r="K249" s="5"/>
      <c r="L249" s="5"/>
      <c r="M249" s="5"/>
      <c r="N249" s="9"/>
      <c r="O249" s="9" t="str">
        <f t="shared" ca="1" si="11"/>
        <v/>
      </c>
      <c r="P249" s="9"/>
      <c r="Q249" s="5"/>
      <c r="R249" s="9"/>
    </row>
    <row r="250" spans="1:18">
      <c r="A250" s="7" t="str">
        <f t="shared" si="9"/>
        <v/>
      </c>
      <c r="B250" s="5"/>
      <c r="C250" s="5"/>
      <c r="D250" s="5"/>
      <c r="E250" s="5"/>
      <c r="F250" s="7"/>
      <c r="G250" s="9"/>
      <c r="H250" s="5"/>
      <c r="I250" s="5"/>
      <c r="J250" s="5"/>
      <c r="K250" s="5"/>
      <c r="L250" s="5"/>
      <c r="M250" s="5"/>
      <c r="N250" s="9"/>
      <c r="O250" s="9" t="str">
        <f t="shared" ca="1" si="11"/>
        <v/>
      </c>
      <c r="P250" s="9"/>
      <c r="Q250" s="5"/>
      <c r="R250" s="9"/>
    </row>
    <row r="251" spans="1:18">
      <c r="A251" s="7" t="str">
        <f t="shared" si="9"/>
        <v/>
      </c>
      <c r="B251" s="5"/>
      <c r="C251" s="5"/>
      <c r="D251" s="5"/>
      <c r="E251" s="5"/>
      <c r="F251" s="7"/>
      <c r="G251" s="9"/>
      <c r="H251" s="5"/>
      <c r="I251" s="5"/>
      <c r="J251" s="5"/>
      <c r="K251" s="5"/>
      <c r="L251" s="5"/>
      <c r="M251" s="5"/>
      <c r="N251" s="9"/>
      <c r="O251" s="9" t="str">
        <f t="shared" ca="1" si="11"/>
        <v/>
      </c>
      <c r="P251" s="9"/>
      <c r="Q251" s="5"/>
      <c r="R251" s="9"/>
    </row>
    <row r="252" spans="1:18">
      <c r="A252" s="7" t="str">
        <f t="shared" si="9"/>
        <v/>
      </c>
      <c r="B252" s="5"/>
      <c r="C252" s="5"/>
      <c r="D252" s="5"/>
      <c r="E252" s="5"/>
      <c r="F252" s="7"/>
      <c r="G252" s="9"/>
      <c r="H252" s="5"/>
      <c r="I252" s="5"/>
      <c r="J252" s="5"/>
      <c r="K252" s="5"/>
      <c r="L252" s="5"/>
      <c r="M252" s="5"/>
      <c r="N252" s="9"/>
      <c r="O252" s="9" t="str">
        <f t="shared" ca="1" si="11"/>
        <v/>
      </c>
      <c r="P252" s="9"/>
      <c r="Q252" s="5"/>
      <c r="R252" s="9"/>
    </row>
    <row r="253" spans="1:18">
      <c r="A253" s="7" t="str">
        <f t="shared" si="9"/>
        <v/>
      </c>
      <c r="B253" s="5"/>
      <c r="C253" s="5"/>
      <c r="D253" s="5"/>
      <c r="E253" s="5"/>
      <c r="F253" s="7"/>
      <c r="G253" s="9"/>
      <c r="H253" s="5"/>
      <c r="I253" s="5"/>
      <c r="J253" s="5"/>
      <c r="K253" s="5"/>
      <c r="L253" s="5"/>
      <c r="M253" s="5"/>
      <c r="N253" s="9"/>
      <c r="O253" s="9" t="str">
        <f t="shared" ca="1" si="11"/>
        <v/>
      </c>
      <c r="P253" s="9"/>
      <c r="Q253" s="5"/>
      <c r="R253" s="9"/>
    </row>
    <row r="254" spans="1:18">
      <c r="A254" s="7" t="str">
        <f t="shared" si="9"/>
        <v/>
      </c>
      <c r="B254" s="5"/>
      <c r="C254" s="5"/>
      <c r="D254" s="5"/>
      <c r="E254" s="5"/>
      <c r="F254" s="7"/>
      <c r="G254" s="9"/>
      <c r="H254" s="5"/>
      <c r="I254" s="5"/>
      <c r="J254" s="5"/>
      <c r="K254" s="5"/>
      <c r="L254" s="5"/>
      <c r="M254" s="5"/>
      <c r="N254" s="9"/>
      <c r="O254" s="9" t="str">
        <f t="shared" ca="1" si="11"/>
        <v/>
      </c>
      <c r="P254" s="9"/>
      <c r="Q254" s="5"/>
      <c r="R254" s="9"/>
    </row>
    <row r="255" spans="1:18">
      <c r="A255" s="7" t="str">
        <f t="shared" si="9"/>
        <v/>
      </c>
      <c r="B255" s="5"/>
      <c r="C255" s="5"/>
      <c r="D255" s="5"/>
      <c r="E255" s="5"/>
      <c r="F255" s="7"/>
      <c r="G255" s="9"/>
      <c r="H255" s="5"/>
      <c r="I255" s="5"/>
      <c r="J255" s="5"/>
      <c r="K255" s="5"/>
      <c r="L255" s="5"/>
      <c r="M255" s="5"/>
      <c r="N255" s="9"/>
      <c r="O255" s="9" t="str">
        <f t="shared" ca="1" si="11"/>
        <v/>
      </c>
      <c r="P255" s="9"/>
      <c r="Q255" s="5"/>
      <c r="R255" s="9"/>
    </row>
    <row r="256" spans="1:18">
      <c r="A256" s="7" t="str">
        <f t="shared" si="9"/>
        <v/>
      </c>
      <c r="B256" s="5"/>
      <c r="C256" s="5"/>
      <c r="D256" s="5"/>
      <c r="E256" s="5"/>
      <c r="F256" s="7"/>
      <c r="G256" s="9"/>
      <c r="H256" s="5"/>
      <c r="I256" s="5"/>
      <c r="J256" s="5"/>
      <c r="K256" s="5"/>
      <c r="L256" s="5"/>
      <c r="M256" s="5"/>
      <c r="N256" s="9"/>
      <c r="O256" s="9" t="str">
        <f t="shared" ca="1" si="11"/>
        <v/>
      </c>
      <c r="P256" s="9"/>
      <c r="Q256" s="5"/>
      <c r="R256" s="9"/>
    </row>
    <row r="257" spans="1:18">
      <c r="A257" s="7" t="str">
        <f t="shared" si="9"/>
        <v/>
      </c>
      <c r="B257" s="5"/>
      <c r="C257" s="5"/>
      <c r="D257" s="5"/>
      <c r="E257" s="5"/>
      <c r="F257" s="7"/>
      <c r="G257" s="9"/>
      <c r="H257" s="5"/>
      <c r="I257" s="5"/>
      <c r="J257" s="5"/>
      <c r="K257" s="5"/>
      <c r="L257" s="5"/>
      <c r="M257" s="5"/>
      <c r="N257" s="9"/>
      <c r="O257" s="9" t="str">
        <f t="shared" ca="1" si="11"/>
        <v/>
      </c>
      <c r="P257" s="9"/>
      <c r="Q257" s="5"/>
      <c r="R257" s="9"/>
    </row>
    <row r="258" spans="1:18">
      <c r="A258" s="7" t="str">
        <f t="shared" si="9"/>
        <v/>
      </c>
      <c r="B258" s="5"/>
      <c r="C258" s="5"/>
      <c r="D258" s="5"/>
      <c r="E258" s="5"/>
      <c r="F258" s="7"/>
      <c r="G258" s="9"/>
      <c r="H258" s="5"/>
      <c r="I258" s="5"/>
      <c r="J258" s="5"/>
      <c r="K258" s="5"/>
      <c r="L258" s="5"/>
      <c r="M258" s="5"/>
      <c r="N258" s="9"/>
      <c r="O258" s="9" t="str">
        <f t="shared" ca="1" si="11"/>
        <v/>
      </c>
      <c r="P258" s="9"/>
      <c r="Q258" s="5"/>
      <c r="R258" s="9"/>
    </row>
    <row r="259" spans="1:18">
      <c r="A259" s="7" t="str">
        <f t="shared" si="9"/>
        <v/>
      </c>
      <c r="B259" s="5"/>
      <c r="C259" s="5"/>
      <c r="D259" s="5"/>
      <c r="E259" s="5"/>
      <c r="F259" s="7"/>
      <c r="G259" s="9"/>
      <c r="H259" s="5"/>
      <c r="I259" s="5"/>
      <c r="J259" s="5"/>
      <c r="K259" s="5"/>
      <c r="L259" s="5"/>
      <c r="M259" s="5"/>
      <c r="N259" s="9"/>
      <c r="O259" s="9" t="str">
        <f t="shared" ca="1" si="11"/>
        <v/>
      </c>
      <c r="P259" s="9"/>
      <c r="Q259" s="5"/>
      <c r="R259" s="9"/>
    </row>
    <row r="260" spans="1:18">
      <c r="A260" s="7" t="str">
        <f t="shared" ref="A260:A323" si="12">IF(B260="","",ROW()-3)</f>
        <v/>
      </c>
      <c r="B260" s="5"/>
      <c r="C260" s="5"/>
      <c r="D260" s="5"/>
      <c r="E260" s="5"/>
      <c r="F260" s="7"/>
      <c r="G260" s="9"/>
      <c r="H260" s="5"/>
      <c r="I260" s="5"/>
      <c r="J260" s="5"/>
      <c r="K260" s="5"/>
      <c r="L260" s="5"/>
      <c r="M260" s="5"/>
      <c r="N260" s="9"/>
      <c r="O260" s="9" t="str">
        <f t="shared" ca="1" si="11"/>
        <v/>
      </c>
      <c r="P260" s="9"/>
      <c r="Q260" s="5"/>
      <c r="R260" s="9"/>
    </row>
    <row r="261" spans="1:18">
      <c r="A261" s="7" t="str">
        <f t="shared" si="12"/>
        <v/>
      </c>
      <c r="B261" s="5"/>
      <c r="C261" s="5"/>
      <c r="D261" s="5"/>
      <c r="E261" s="5"/>
      <c r="F261" s="7"/>
      <c r="G261" s="9"/>
      <c r="H261" s="5"/>
      <c r="I261" s="5"/>
      <c r="J261" s="5"/>
      <c r="K261" s="5"/>
      <c r="L261" s="5"/>
      <c r="M261" s="5"/>
      <c r="N261" s="9"/>
      <c r="O261" s="9" t="str">
        <f t="shared" ca="1" si="11"/>
        <v/>
      </c>
      <c r="P261" s="9"/>
      <c r="Q261" s="5"/>
      <c r="R261" s="9"/>
    </row>
    <row r="262" spans="1:18">
      <c r="A262" s="7" t="str">
        <f t="shared" si="12"/>
        <v/>
      </c>
      <c r="B262" s="5"/>
      <c r="C262" s="5"/>
      <c r="D262" s="5"/>
      <c r="E262" s="5"/>
      <c r="F262" s="7"/>
      <c r="G262" s="9"/>
      <c r="H262" s="5"/>
      <c r="I262" s="5"/>
      <c r="J262" s="5"/>
      <c r="K262" s="5"/>
      <c r="L262" s="5"/>
      <c r="M262" s="5"/>
      <c r="N262" s="9"/>
      <c r="O262" s="9" t="str">
        <f t="shared" ca="1" si="11"/>
        <v/>
      </c>
      <c r="P262" s="9"/>
      <c r="Q262" s="5"/>
      <c r="R262" s="9"/>
    </row>
    <row r="263" spans="1:18">
      <c r="A263" s="7" t="str">
        <f t="shared" si="12"/>
        <v/>
      </c>
      <c r="B263" s="5"/>
      <c r="C263" s="5"/>
      <c r="D263" s="5"/>
      <c r="E263" s="5"/>
      <c r="F263" s="7"/>
      <c r="G263" s="9"/>
      <c r="H263" s="5"/>
      <c r="I263" s="5"/>
      <c r="J263" s="5"/>
      <c r="K263" s="5"/>
      <c r="L263" s="5"/>
      <c r="M263" s="5"/>
      <c r="N263" s="9"/>
      <c r="O263" s="9" t="str">
        <f t="shared" ca="1" si="11"/>
        <v/>
      </c>
      <c r="P263" s="9"/>
      <c r="Q263" s="5"/>
      <c r="R263" s="9"/>
    </row>
    <row r="264" spans="1:18">
      <c r="A264" s="7" t="str">
        <f t="shared" si="12"/>
        <v/>
      </c>
      <c r="B264" s="5"/>
      <c r="C264" s="5"/>
      <c r="D264" s="5"/>
      <c r="E264" s="5"/>
      <c r="F264" s="7"/>
      <c r="G264" s="9"/>
      <c r="H264" s="5"/>
      <c r="I264" s="5"/>
      <c r="J264" s="5"/>
      <c r="K264" s="5"/>
      <c r="L264" s="5"/>
      <c r="M264" s="5"/>
      <c r="N264" s="9"/>
      <c r="O264" s="9" t="str">
        <f t="shared" ca="1" si="11"/>
        <v/>
      </c>
      <c r="P264" s="9"/>
      <c r="Q264" s="5"/>
      <c r="R264" s="9"/>
    </row>
    <row r="265" spans="1:18">
      <c r="A265" s="7" t="str">
        <f t="shared" si="12"/>
        <v/>
      </c>
      <c r="B265" s="5"/>
      <c r="C265" s="5"/>
      <c r="D265" s="5"/>
      <c r="E265" s="5"/>
      <c r="F265" s="7"/>
      <c r="G265" s="9"/>
      <c r="H265" s="5"/>
      <c r="I265" s="5"/>
      <c r="J265" s="5"/>
      <c r="K265" s="5"/>
      <c r="L265" s="5"/>
      <c r="M265" s="5"/>
      <c r="N265" s="9"/>
      <c r="O265" s="9" t="str">
        <f t="shared" ca="1" si="11"/>
        <v/>
      </c>
      <c r="P265" s="9"/>
      <c r="Q265" s="5"/>
      <c r="R265" s="9"/>
    </row>
    <row r="266" spans="1:18">
      <c r="A266" s="7" t="str">
        <f t="shared" si="12"/>
        <v/>
      </c>
      <c r="B266" s="5"/>
      <c r="C266" s="5"/>
      <c r="D266" s="5"/>
      <c r="E266" s="5"/>
      <c r="F266" s="7"/>
      <c r="G266" s="9"/>
      <c r="H266" s="5"/>
      <c r="I266" s="5"/>
      <c r="J266" s="5"/>
      <c r="K266" s="5"/>
      <c r="L266" s="5"/>
      <c r="M266" s="5"/>
      <c r="N266" s="9"/>
      <c r="O266" s="9" t="str">
        <f t="shared" ca="1" si="11"/>
        <v/>
      </c>
      <c r="P266" s="9"/>
      <c r="Q266" s="5"/>
      <c r="R266" s="9"/>
    </row>
    <row r="267" spans="1:18">
      <c r="A267" s="7" t="str">
        <f t="shared" si="12"/>
        <v/>
      </c>
      <c r="B267" s="5"/>
      <c r="C267" s="5"/>
      <c r="D267" s="5"/>
      <c r="E267" s="5"/>
      <c r="F267" s="7"/>
      <c r="G267" s="9"/>
      <c r="H267" s="5"/>
      <c r="I267" s="5"/>
      <c r="J267" s="5"/>
      <c r="K267" s="5"/>
      <c r="L267" s="5"/>
      <c r="M267" s="5"/>
      <c r="N267" s="9"/>
      <c r="O267" s="9" t="str">
        <f t="shared" ca="1" si="11"/>
        <v/>
      </c>
      <c r="P267" s="9"/>
      <c r="Q267" s="5"/>
      <c r="R267" s="9"/>
    </row>
    <row r="268" spans="1:18">
      <c r="A268" s="7" t="str">
        <f t="shared" si="12"/>
        <v/>
      </c>
      <c r="B268" s="5"/>
      <c r="C268" s="5"/>
      <c r="D268" s="5"/>
      <c r="E268" s="5"/>
      <c r="F268" s="7"/>
      <c r="G268" s="9"/>
      <c r="H268" s="5"/>
      <c r="I268" s="5"/>
      <c r="J268" s="5"/>
      <c r="K268" s="5"/>
      <c r="L268" s="5"/>
      <c r="M268" s="5"/>
      <c r="N268" s="9"/>
      <c r="O268" s="9" t="str">
        <f t="shared" ca="1" si="11"/>
        <v/>
      </c>
      <c r="P268" s="9"/>
      <c r="Q268" s="5"/>
      <c r="R268" s="9"/>
    </row>
    <row r="269" spans="1:18">
      <c r="A269" s="7" t="str">
        <f t="shared" si="12"/>
        <v/>
      </c>
      <c r="B269" s="5"/>
      <c r="C269" s="5"/>
      <c r="D269" s="5"/>
      <c r="E269" s="5"/>
      <c r="F269" s="7"/>
      <c r="G269" s="9"/>
      <c r="H269" s="5"/>
      <c r="I269" s="5"/>
      <c r="J269" s="5"/>
      <c r="K269" s="5"/>
      <c r="L269" s="5"/>
      <c r="M269" s="5"/>
      <c r="N269" s="9"/>
      <c r="O269" s="9" t="str">
        <f t="shared" ca="1" si="11"/>
        <v/>
      </c>
      <c r="P269" s="9"/>
      <c r="Q269" s="5"/>
      <c r="R269" s="9"/>
    </row>
    <row r="270" spans="1:18">
      <c r="A270" s="7" t="str">
        <f t="shared" si="12"/>
        <v/>
      </c>
      <c r="B270" s="5"/>
      <c r="C270" s="5"/>
      <c r="D270" s="5"/>
      <c r="E270" s="5"/>
      <c r="F270" s="7"/>
      <c r="G270" s="9"/>
      <c r="H270" s="5"/>
      <c r="I270" s="5"/>
      <c r="J270" s="5"/>
      <c r="K270" s="5"/>
      <c r="L270" s="5"/>
      <c r="M270" s="5"/>
      <c r="N270" s="9"/>
      <c r="O270" s="9" t="str">
        <f t="shared" ref="O270:O333" ca="1" si="13">IF(OR($B270="",$N270&lt;&gt;"Yes",$G270="",$M270=""),"",IF(AND(ISNUMBER($P270),$P270&lt;=TODAY()),$P270+IF($M270="Low",3,IF($M270="Medium",7,21)),$G270+IF($M270="Low",2,IF($M270="Medium",5,14))))</f>
        <v/>
      </c>
      <c r="P270" s="9"/>
      <c r="Q270" s="5"/>
      <c r="R270" s="9"/>
    </row>
    <row r="271" spans="1:18">
      <c r="A271" s="7" t="str">
        <f t="shared" si="12"/>
        <v/>
      </c>
      <c r="B271" s="5"/>
      <c r="C271" s="5"/>
      <c r="D271" s="5"/>
      <c r="E271" s="5"/>
      <c r="F271" s="7"/>
      <c r="G271" s="9"/>
      <c r="H271" s="5"/>
      <c r="I271" s="5"/>
      <c r="J271" s="5"/>
      <c r="K271" s="5"/>
      <c r="L271" s="5"/>
      <c r="M271" s="5"/>
      <c r="N271" s="9"/>
      <c r="O271" s="9" t="str">
        <f t="shared" ca="1" si="13"/>
        <v/>
      </c>
      <c r="P271" s="9"/>
      <c r="Q271" s="5"/>
      <c r="R271" s="9"/>
    </row>
    <row r="272" spans="1:18">
      <c r="A272" s="7" t="str">
        <f t="shared" si="12"/>
        <v/>
      </c>
      <c r="B272" s="5"/>
      <c r="C272" s="5"/>
      <c r="D272" s="5"/>
      <c r="E272" s="5"/>
      <c r="F272" s="7"/>
      <c r="G272" s="9"/>
      <c r="H272" s="5"/>
      <c r="I272" s="5"/>
      <c r="J272" s="5"/>
      <c r="K272" s="5"/>
      <c r="L272" s="5"/>
      <c r="M272" s="5"/>
      <c r="N272" s="9"/>
      <c r="O272" s="9" t="str">
        <f t="shared" ca="1" si="13"/>
        <v/>
      </c>
      <c r="P272" s="9"/>
      <c r="Q272" s="5"/>
      <c r="R272" s="9"/>
    </row>
    <row r="273" spans="1:18">
      <c r="A273" s="7" t="str">
        <f t="shared" si="12"/>
        <v/>
      </c>
      <c r="B273" s="5"/>
      <c r="C273" s="5"/>
      <c r="D273" s="5"/>
      <c r="E273" s="5"/>
      <c r="F273" s="7"/>
      <c r="G273" s="9"/>
      <c r="H273" s="5"/>
      <c r="I273" s="5"/>
      <c r="J273" s="5"/>
      <c r="K273" s="5"/>
      <c r="L273" s="5"/>
      <c r="M273" s="5"/>
      <c r="N273" s="9"/>
      <c r="O273" s="9" t="str">
        <f t="shared" ca="1" si="13"/>
        <v/>
      </c>
      <c r="P273" s="9"/>
      <c r="Q273" s="5"/>
      <c r="R273" s="9"/>
    </row>
    <row r="274" spans="1:18">
      <c r="A274" s="7" t="str">
        <f t="shared" si="12"/>
        <v/>
      </c>
      <c r="B274" s="5"/>
      <c r="C274" s="5"/>
      <c r="D274" s="5"/>
      <c r="E274" s="5"/>
      <c r="F274" s="7"/>
      <c r="G274" s="9"/>
      <c r="H274" s="5"/>
      <c r="I274" s="5"/>
      <c r="J274" s="5"/>
      <c r="K274" s="5"/>
      <c r="L274" s="5"/>
      <c r="M274" s="5"/>
      <c r="N274" s="9"/>
      <c r="O274" s="9" t="str">
        <f t="shared" ca="1" si="13"/>
        <v/>
      </c>
      <c r="P274" s="9"/>
      <c r="Q274" s="5"/>
      <c r="R274" s="9"/>
    </row>
    <row r="275" spans="1:18">
      <c r="A275" s="7" t="str">
        <f t="shared" si="12"/>
        <v/>
      </c>
      <c r="B275" s="5"/>
      <c r="C275" s="5"/>
      <c r="D275" s="5"/>
      <c r="E275" s="5"/>
      <c r="F275" s="7"/>
      <c r="G275" s="9"/>
      <c r="H275" s="5"/>
      <c r="I275" s="5"/>
      <c r="J275" s="5"/>
      <c r="K275" s="5"/>
      <c r="L275" s="5"/>
      <c r="M275" s="5"/>
      <c r="N275" s="9"/>
      <c r="O275" s="9" t="str">
        <f t="shared" ca="1" si="13"/>
        <v/>
      </c>
      <c r="P275" s="9"/>
      <c r="Q275" s="5"/>
      <c r="R275" s="9"/>
    </row>
    <row r="276" spans="1:18">
      <c r="A276" s="7" t="str">
        <f t="shared" si="12"/>
        <v/>
      </c>
      <c r="B276" s="5"/>
      <c r="C276" s="5"/>
      <c r="D276" s="5"/>
      <c r="E276" s="5"/>
      <c r="F276" s="7"/>
      <c r="G276" s="9"/>
      <c r="H276" s="5"/>
      <c r="I276" s="5"/>
      <c r="J276" s="5"/>
      <c r="K276" s="5"/>
      <c r="L276" s="5"/>
      <c r="M276" s="5"/>
      <c r="N276" s="9"/>
      <c r="O276" s="9" t="str">
        <f t="shared" ca="1" si="13"/>
        <v/>
      </c>
      <c r="P276" s="9"/>
      <c r="Q276" s="5"/>
      <c r="R276" s="9"/>
    </row>
    <row r="277" spans="1:18">
      <c r="A277" s="7" t="str">
        <f t="shared" si="12"/>
        <v/>
      </c>
      <c r="B277" s="5"/>
      <c r="C277" s="5"/>
      <c r="D277" s="5"/>
      <c r="E277" s="5"/>
      <c r="F277" s="7"/>
      <c r="G277" s="9"/>
      <c r="H277" s="5"/>
      <c r="I277" s="5"/>
      <c r="J277" s="5"/>
      <c r="K277" s="5"/>
      <c r="L277" s="5"/>
      <c r="M277" s="5"/>
      <c r="N277" s="9"/>
      <c r="O277" s="9" t="str">
        <f t="shared" ca="1" si="13"/>
        <v/>
      </c>
      <c r="P277" s="9"/>
      <c r="Q277" s="5"/>
      <c r="R277" s="9"/>
    </row>
    <row r="278" spans="1:18">
      <c r="A278" s="7" t="str">
        <f t="shared" si="12"/>
        <v/>
      </c>
      <c r="B278" s="5"/>
      <c r="C278" s="5"/>
      <c r="D278" s="5"/>
      <c r="E278" s="5"/>
      <c r="F278" s="7"/>
      <c r="G278" s="9"/>
      <c r="H278" s="5"/>
      <c r="I278" s="5"/>
      <c r="J278" s="5"/>
      <c r="K278" s="5"/>
      <c r="L278" s="5"/>
      <c r="M278" s="5"/>
      <c r="N278" s="9"/>
      <c r="O278" s="9" t="str">
        <f t="shared" ca="1" si="13"/>
        <v/>
      </c>
      <c r="P278" s="9"/>
      <c r="Q278" s="5"/>
      <c r="R278" s="9"/>
    </row>
    <row r="279" spans="1:18">
      <c r="A279" s="7" t="str">
        <f t="shared" si="12"/>
        <v/>
      </c>
      <c r="B279" s="5"/>
      <c r="C279" s="5"/>
      <c r="D279" s="5"/>
      <c r="E279" s="5"/>
      <c r="F279" s="7"/>
      <c r="G279" s="9"/>
      <c r="H279" s="5"/>
      <c r="I279" s="5"/>
      <c r="J279" s="5"/>
      <c r="K279" s="5"/>
      <c r="L279" s="5"/>
      <c r="M279" s="5"/>
      <c r="N279" s="9"/>
      <c r="O279" s="9" t="str">
        <f t="shared" ca="1" si="13"/>
        <v/>
      </c>
      <c r="P279" s="9"/>
      <c r="Q279" s="5"/>
      <c r="R279" s="9"/>
    </row>
    <row r="280" spans="1:18">
      <c r="A280" s="7" t="str">
        <f t="shared" si="12"/>
        <v/>
      </c>
      <c r="B280" s="5"/>
      <c r="C280" s="5"/>
      <c r="D280" s="5"/>
      <c r="E280" s="5"/>
      <c r="F280" s="7"/>
      <c r="G280" s="9"/>
      <c r="H280" s="5"/>
      <c r="I280" s="5"/>
      <c r="J280" s="5"/>
      <c r="K280" s="5"/>
      <c r="L280" s="5"/>
      <c r="M280" s="5"/>
      <c r="N280" s="9"/>
      <c r="O280" s="9" t="str">
        <f t="shared" ca="1" si="13"/>
        <v/>
      </c>
      <c r="P280" s="9"/>
      <c r="Q280" s="5"/>
      <c r="R280" s="9"/>
    </row>
    <row r="281" spans="1:18">
      <c r="A281" s="7" t="str">
        <f t="shared" si="12"/>
        <v/>
      </c>
      <c r="B281" s="5"/>
      <c r="C281" s="5"/>
      <c r="D281" s="5"/>
      <c r="E281" s="5"/>
      <c r="F281" s="7"/>
      <c r="G281" s="9"/>
      <c r="H281" s="5"/>
      <c r="I281" s="5"/>
      <c r="J281" s="5"/>
      <c r="K281" s="5"/>
      <c r="L281" s="5"/>
      <c r="M281" s="5"/>
      <c r="N281" s="9"/>
      <c r="O281" s="9" t="str">
        <f t="shared" ca="1" si="13"/>
        <v/>
      </c>
      <c r="P281" s="9"/>
      <c r="Q281" s="5"/>
      <c r="R281" s="9"/>
    </row>
    <row r="282" spans="1:18">
      <c r="A282" s="7" t="str">
        <f t="shared" si="12"/>
        <v/>
      </c>
      <c r="B282" s="5"/>
      <c r="C282" s="5"/>
      <c r="D282" s="5"/>
      <c r="E282" s="5"/>
      <c r="F282" s="7"/>
      <c r="G282" s="9"/>
      <c r="H282" s="5"/>
      <c r="I282" s="5"/>
      <c r="J282" s="5"/>
      <c r="K282" s="5"/>
      <c r="L282" s="5"/>
      <c r="M282" s="5"/>
      <c r="N282" s="9"/>
      <c r="O282" s="9" t="str">
        <f t="shared" ca="1" si="13"/>
        <v/>
      </c>
      <c r="P282" s="9"/>
      <c r="Q282" s="5"/>
      <c r="R282" s="9"/>
    </row>
    <row r="283" spans="1:18">
      <c r="A283" s="7" t="str">
        <f t="shared" si="12"/>
        <v/>
      </c>
      <c r="B283" s="5"/>
      <c r="C283" s="5"/>
      <c r="D283" s="5"/>
      <c r="E283" s="5"/>
      <c r="F283" s="7"/>
      <c r="G283" s="9"/>
      <c r="H283" s="5"/>
      <c r="I283" s="5"/>
      <c r="J283" s="5"/>
      <c r="K283" s="5"/>
      <c r="L283" s="5"/>
      <c r="M283" s="5"/>
      <c r="N283" s="9"/>
      <c r="O283" s="9" t="str">
        <f t="shared" ca="1" si="13"/>
        <v/>
      </c>
      <c r="P283" s="9"/>
      <c r="Q283" s="5"/>
      <c r="R283" s="9"/>
    </row>
    <row r="284" spans="1:18">
      <c r="A284" s="7" t="str">
        <f t="shared" si="12"/>
        <v/>
      </c>
      <c r="B284" s="5"/>
      <c r="C284" s="5"/>
      <c r="D284" s="5"/>
      <c r="E284" s="5"/>
      <c r="F284" s="7"/>
      <c r="G284" s="9"/>
      <c r="H284" s="5"/>
      <c r="I284" s="5"/>
      <c r="J284" s="5"/>
      <c r="K284" s="5"/>
      <c r="L284" s="5"/>
      <c r="M284" s="5"/>
      <c r="N284" s="9"/>
      <c r="O284" s="9" t="str">
        <f t="shared" ca="1" si="13"/>
        <v/>
      </c>
      <c r="P284" s="9"/>
      <c r="Q284" s="5"/>
      <c r="R284" s="9"/>
    </row>
    <row r="285" spans="1:18">
      <c r="A285" s="7" t="str">
        <f t="shared" si="12"/>
        <v/>
      </c>
      <c r="B285" s="5"/>
      <c r="C285" s="5"/>
      <c r="D285" s="5"/>
      <c r="E285" s="5"/>
      <c r="F285" s="7"/>
      <c r="G285" s="9"/>
      <c r="H285" s="5"/>
      <c r="I285" s="5"/>
      <c r="J285" s="5"/>
      <c r="K285" s="5"/>
      <c r="L285" s="5"/>
      <c r="M285" s="5"/>
      <c r="N285" s="9"/>
      <c r="O285" s="9" t="str">
        <f t="shared" ca="1" si="13"/>
        <v/>
      </c>
      <c r="P285" s="9"/>
      <c r="Q285" s="5"/>
      <c r="R285" s="9"/>
    </row>
    <row r="286" spans="1:18">
      <c r="A286" s="7" t="str">
        <f t="shared" si="12"/>
        <v/>
      </c>
      <c r="B286" s="5"/>
      <c r="C286" s="5"/>
      <c r="D286" s="5"/>
      <c r="E286" s="5"/>
      <c r="F286" s="7"/>
      <c r="G286" s="9"/>
      <c r="H286" s="5"/>
      <c r="I286" s="5"/>
      <c r="J286" s="5"/>
      <c r="K286" s="5"/>
      <c r="L286" s="5"/>
      <c r="M286" s="5"/>
      <c r="N286" s="9"/>
      <c r="O286" s="9" t="str">
        <f t="shared" ca="1" si="13"/>
        <v/>
      </c>
      <c r="P286" s="9"/>
      <c r="Q286" s="5"/>
      <c r="R286" s="9"/>
    </row>
    <row r="287" spans="1:18">
      <c r="A287" s="7" t="str">
        <f t="shared" si="12"/>
        <v/>
      </c>
      <c r="B287" s="5"/>
      <c r="C287" s="5"/>
      <c r="D287" s="5"/>
      <c r="E287" s="5"/>
      <c r="F287" s="7"/>
      <c r="G287" s="9"/>
      <c r="H287" s="5"/>
      <c r="I287" s="5"/>
      <c r="J287" s="5"/>
      <c r="K287" s="5"/>
      <c r="L287" s="5"/>
      <c r="M287" s="5"/>
      <c r="N287" s="9"/>
      <c r="O287" s="9" t="str">
        <f t="shared" ca="1" si="13"/>
        <v/>
      </c>
      <c r="P287" s="9"/>
      <c r="Q287" s="5"/>
      <c r="R287" s="9"/>
    </row>
    <row r="288" spans="1:18">
      <c r="A288" s="7" t="str">
        <f t="shared" si="12"/>
        <v/>
      </c>
      <c r="B288" s="5"/>
      <c r="C288" s="5"/>
      <c r="D288" s="5"/>
      <c r="E288" s="5"/>
      <c r="F288" s="7"/>
      <c r="G288" s="9"/>
      <c r="H288" s="5"/>
      <c r="I288" s="5"/>
      <c r="J288" s="5"/>
      <c r="K288" s="5"/>
      <c r="L288" s="5"/>
      <c r="M288" s="5"/>
      <c r="N288" s="9"/>
      <c r="O288" s="9" t="str">
        <f t="shared" ca="1" si="13"/>
        <v/>
      </c>
      <c r="P288" s="9"/>
      <c r="Q288" s="5"/>
      <c r="R288" s="9"/>
    </row>
    <row r="289" spans="1:18">
      <c r="A289" s="7" t="str">
        <f t="shared" si="12"/>
        <v/>
      </c>
      <c r="B289" s="5"/>
      <c r="C289" s="5"/>
      <c r="D289" s="5"/>
      <c r="E289" s="5"/>
      <c r="F289" s="7"/>
      <c r="G289" s="9"/>
      <c r="H289" s="5"/>
      <c r="I289" s="5"/>
      <c r="J289" s="5"/>
      <c r="K289" s="5"/>
      <c r="L289" s="5"/>
      <c r="M289" s="5"/>
      <c r="N289" s="9"/>
      <c r="O289" s="9" t="str">
        <f t="shared" ca="1" si="13"/>
        <v/>
      </c>
      <c r="P289" s="9"/>
      <c r="Q289" s="5"/>
      <c r="R289" s="9"/>
    </row>
    <row r="290" spans="1:18">
      <c r="A290" s="7" t="str">
        <f t="shared" si="12"/>
        <v/>
      </c>
      <c r="B290" s="5"/>
      <c r="C290" s="5"/>
      <c r="D290" s="5"/>
      <c r="E290" s="5"/>
      <c r="F290" s="7"/>
      <c r="G290" s="9"/>
      <c r="H290" s="5"/>
      <c r="I290" s="5"/>
      <c r="J290" s="5"/>
      <c r="K290" s="5"/>
      <c r="L290" s="5"/>
      <c r="M290" s="5"/>
      <c r="N290" s="9"/>
      <c r="O290" s="9" t="str">
        <f t="shared" ca="1" si="13"/>
        <v/>
      </c>
      <c r="P290" s="9"/>
      <c r="Q290" s="5"/>
      <c r="R290" s="9"/>
    </row>
    <row r="291" spans="1:18">
      <c r="A291" s="7" t="str">
        <f t="shared" si="12"/>
        <v/>
      </c>
      <c r="B291" s="5"/>
      <c r="C291" s="5"/>
      <c r="D291" s="5"/>
      <c r="E291" s="5"/>
      <c r="F291" s="7"/>
      <c r="G291" s="9"/>
      <c r="H291" s="5"/>
      <c r="I291" s="5"/>
      <c r="J291" s="5"/>
      <c r="K291" s="5"/>
      <c r="L291" s="5"/>
      <c r="M291" s="5"/>
      <c r="N291" s="9"/>
      <c r="O291" s="9" t="str">
        <f t="shared" ca="1" si="13"/>
        <v/>
      </c>
      <c r="P291" s="9"/>
      <c r="Q291" s="5"/>
      <c r="R291" s="9"/>
    </row>
    <row r="292" spans="1:18">
      <c r="A292" s="7" t="str">
        <f t="shared" si="12"/>
        <v/>
      </c>
      <c r="B292" s="5"/>
      <c r="C292" s="5"/>
      <c r="D292" s="5"/>
      <c r="E292" s="5"/>
      <c r="F292" s="7"/>
      <c r="G292" s="9"/>
      <c r="H292" s="5"/>
      <c r="I292" s="5"/>
      <c r="J292" s="5"/>
      <c r="K292" s="5"/>
      <c r="L292" s="5"/>
      <c r="M292" s="5"/>
      <c r="N292" s="9"/>
      <c r="O292" s="9" t="str">
        <f t="shared" ca="1" si="13"/>
        <v/>
      </c>
      <c r="P292" s="9"/>
      <c r="Q292" s="5"/>
      <c r="R292" s="9"/>
    </row>
    <row r="293" spans="1:18">
      <c r="A293" s="7" t="str">
        <f t="shared" si="12"/>
        <v/>
      </c>
      <c r="B293" s="5"/>
      <c r="C293" s="5"/>
      <c r="D293" s="5"/>
      <c r="E293" s="5"/>
      <c r="F293" s="7"/>
      <c r="G293" s="9"/>
      <c r="H293" s="5"/>
      <c r="I293" s="5"/>
      <c r="J293" s="5"/>
      <c r="K293" s="5"/>
      <c r="L293" s="5"/>
      <c r="M293" s="5"/>
      <c r="N293" s="9"/>
      <c r="O293" s="9" t="str">
        <f t="shared" ca="1" si="13"/>
        <v/>
      </c>
      <c r="P293" s="9"/>
      <c r="Q293" s="5"/>
      <c r="R293" s="9"/>
    </row>
    <row r="294" spans="1:18">
      <c r="A294" s="7" t="str">
        <f t="shared" si="12"/>
        <v/>
      </c>
      <c r="B294" s="5"/>
      <c r="C294" s="5"/>
      <c r="D294" s="5"/>
      <c r="E294" s="5"/>
      <c r="F294" s="7"/>
      <c r="G294" s="9"/>
      <c r="H294" s="5"/>
      <c r="I294" s="5"/>
      <c r="J294" s="5"/>
      <c r="K294" s="5"/>
      <c r="L294" s="5"/>
      <c r="M294" s="5"/>
      <c r="N294" s="9"/>
      <c r="O294" s="9" t="str">
        <f t="shared" ca="1" si="13"/>
        <v/>
      </c>
      <c r="P294" s="9"/>
      <c r="Q294" s="5"/>
      <c r="R294" s="9"/>
    </row>
    <row r="295" spans="1:18">
      <c r="A295" s="7" t="str">
        <f t="shared" si="12"/>
        <v/>
      </c>
      <c r="B295" s="5"/>
      <c r="C295" s="5"/>
      <c r="D295" s="5"/>
      <c r="E295" s="5"/>
      <c r="F295" s="7"/>
      <c r="G295" s="9"/>
      <c r="H295" s="5"/>
      <c r="I295" s="5"/>
      <c r="J295" s="5"/>
      <c r="K295" s="5"/>
      <c r="L295" s="5"/>
      <c r="M295" s="5"/>
      <c r="N295" s="9"/>
      <c r="O295" s="9" t="str">
        <f t="shared" ca="1" si="13"/>
        <v/>
      </c>
      <c r="P295" s="9"/>
      <c r="Q295" s="5"/>
      <c r="R295" s="9"/>
    </row>
    <row r="296" spans="1:18">
      <c r="A296" s="7" t="str">
        <f t="shared" si="12"/>
        <v/>
      </c>
      <c r="B296" s="5"/>
      <c r="C296" s="5"/>
      <c r="D296" s="5"/>
      <c r="E296" s="5"/>
      <c r="F296" s="7"/>
      <c r="G296" s="9"/>
      <c r="H296" s="5"/>
      <c r="I296" s="5"/>
      <c r="J296" s="5"/>
      <c r="K296" s="5"/>
      <c r="L296" s="5"/>
      <c r="M296" s="5"/>
      <c r="N296" s="9"/>
      <c r="O296" s="9" t="str">
        <f t="shared" ca="1" si="13"/>
        <v/>
      </c>
      <c r="P296" s="9"/>
      <c r="Q296" s="5"/>
      <c r="R296" s="9"/>
    </row>
    <row r="297" spans="1:18">
      <c r="A297" s="7" t="str">
        <f t="shared" si="12"/>
        <v/>
      </c>
      <c r="B297" s="5"/>
      <c r="C297" s="5"/>
      <c r="D297" s="5"/>
      <c r="E297" s="5"/>
      <c r="F297" s="7"/>
      <c r="G297" s="9"/>
      <c r="H297" s="5"/>
      <c r="I297" s="5"/>
      <c r="J297" s="5"/>
      <c r="K297" s="5"/>
      <c r="L297" s="5"/>
      <c r="M297" s="5"/>
      <c r="N297" s="9"/>
      <c r="O297" s="9" t="str">
        <f t="shared" ca="1" si="13"/>
        <v/>
      </c>
      <c r="P297" s="9"/>
      <c r="Q297" s="5"/>
      <c r="R297" s="9"/>
    </row>
    <row r="298" spans="1:18">
      <c r="A298" s="7" t="str">
        <f t="shared" si="12"/>
        <v/>
      </c>
      <c r="B298" s="5"/>
      <c r="C298" s="5"/>
      <c r="D298" s="5"/>
      <c r="E298" s="5"/>
      <c r="F298" s="7"/>
      <c r="G298" s="9"/>
      <c r="H298" s="5"/>
      <c r="I298" s="5"/>
      <c r="J298" s="5"/>
      <c r="K298" s="5"/>
      <c r="L298" s="5"/>
      <c r="M298" s="5"/>
      <c r="N298" s="9"/>
      <c r="O298" s="9" t="str">
        <f t="shared" ca="1" si="13"/>
        <v/>
      </c>
      <c r="P298" s="9"/>
      <c r="Q298" s="5"/>
      <c r="R298" s="9"/>
    </row>
    <row r="299" spans="1:18">
      <c r="A299" s="7" t="str">
        <f t="shared" si="12"/>
        <v/>
      </c>
      <c r="B299" s="5"/>
      <c r="C299" s="5"/>
      <c r="D299" s="5"/>
      <c r="E299" s="5"/>
      <c r="F299" s="7"/>
      <c r="G299" s="9"/>
      <c r="H299" s="5"/>
      <c r="I299" s="5"/>
      <c r="J299" s="5"/>
      <c r="K299" s="5"/>
      <c r="L299" s="5"/>
      <c r="M299" s="5"/>
      <c r="N299" s="9"/>
      <c r="O299" s="9" t="str">
        <f t="shared" ca="1" si="13"/>
        <v/>
      </c>
      <c r="P299" s="9"/>
      <c r="Q299" s="5"/>
      <c r="R299" s="9"/>
    </row>
    <row r="300" spans="1:18">
      <c r="A300" s="7" t="str">
        <f t="shared" si="12"/>
        <v/>
      </c>
      <c r="B300" s="5"/>
      <c r="C300" s="5"/>
      <c r="D300" s="5"/>
      <c r="E300" s="5"/>
      <c r="F300" s="7"/>
      <c r="G300" s="9"/>
      <c r="H300" s="5"/>
      <c r="I300" s="5"/>
      <c r="J300" s="5"/>
      <c r="K300" s="5"/>
      <c r="L300" s="5"/>
      <c r="M300" s="5"/>
      <c r="N300" s="9"/>
      <c r="O300" s="9" t="str">
        <f t="shared" ca="1" si="13"/>
        <v/>
      </c>
      <c r="P300" s="9"/>
      <c r="Q300" s="5"/>
      <c r="R300" s="9"/>
    </row>
    <row r="301" spans="1:18">
      <c r="A301" s="7" t="str">
        <f t="shared" si="12"/>
        <v/>
      </c>
      <c r="B301" s="5"/>
      <c r="C301" s="5"/>
      <c r="D301" s="5"/>
      <c r="E301" s="5"/>
      <c r="F301" s="7"/>
      <c r="G301" s="9"/>
      <c r="H301" s="5"/>
      <c r="I301" s="5"/>
      <c r="J301" s="5"/>
      <c r="K301" s="5"/>
      <c r="L301" s="5"/>
      <c r="M301" s="5"/>
      <c r="N301" s="9"/>
      <c r="O301" s="9" t="str">
        <f t="shared" ca="1" si="13"/>
        <v/>
      </c>
      <c r="P301" s="9"/>
      <c r="Q301" s="5"/>
      <c r="R301" s="9"/>
    </row>
    <row r="302" spans="1:18">
      <c r="A302" s="7" t="str">
        <f t="shared" si="12"/>
        <v/>
      </c>
      <c r="B302" s="5"/>
      <c r="C302" s="5"/>
      <c r="D302" s="5"/>
      <c r="E302" s="5"/>
      <c r="F302" s="7"/>
      <c r="G302" s="9"/>
      <c r="H302" s="5"/>
      <c r="I302" s="5"/>
      <c r="J302" s="5"/>
      <c r="K302" s="5"/>
      <c r="L302" s="5"/>
      <c r="M302" s="5"/>
      <c r="N302" s="9"/>
      <c r="O302" s="9" t="str">
        <f t="shared" ca="1" si="13"/>
        <v/>
      </c>
      <c r="P302" s="9"/>
      <c r="Q302" s="5"/>
      <c r="R302" s="9"/>
    </row>
    <row r="303" spans="1:18">
      <c r="A303" s="7" t="str">
        <f t="shared" si="12"/>
        <v/>
      </c>
      <c r="B303" s="5"/>
      <c r="C303" s="5"/>
      <c r="D303" s="5"/>
      <c r="E303" s="5"/>
      <c r="F303" s="7"/>
      <c r="G303" s="9"/>
      <c r="H303" s="5"/>
      <c r="I303" s="5"/>
      <c r="J303" s="5"/>
      <c r="K303" s="5"/>
      <c r="L303" s="5"/>
      <c r="M303" s="5"/>
      <c r="N303" s="9"/>
      <c r="O303" s="9" t="str">
        <f t="shared" ca="1" si="13"/>
        <v/>
      </c>
      <c r="P303" s="9"/>
      <c r="Q303" s="5"/>
      <c r="R303" s="9"/>
    </row>
    <row r="304" spans="1:18">
      <c r="A304" s="7" t="str">
        <f t="shared" si="12"/>
        <v/>
      </c>
      <c r="B304" s="5"/>
      <c r="C304" s="5"/>
      <c r="D304" s="5"/>
      <c r="E304" s="5"/>
      <c r="F304" s="7"/>
      <c r="G304" s="9"/>
      <c r="H304" s="5"/>
      <c r="I304" s="5"/>
      <c r="J304" s="5"/>
      <c r="K304" s="5"/>
      <c r="L304" s="5"/>
      <c r="M304" s="5"/>
      <c r="N304" s="9"/>
      <c r="O304" s="9" t="str">
        <f t="shared" ca="1" si="13"/>
        <v/>
      </c>
      <c r="P304" s="9"/>
      <c r="Q304" s="5"/>
      <c r="R304" s="9"/>
    </row>
    <row r="305" spans="1:18">
      <c r="A305" s="7" t="str">
        <f t="shared" si="12"/>
        <v/>
      </c>
      <c r="B305" s="5"/>
      <c r="C305" s="5"/>
      <c r="D305" s="5"/>
      <c r="E305" s="5"/>
      <c r="F305" s="7"/>
      <c r="G305" s="9"/>
      <c r="H305" s="5"/>
      <c r="I305" s="5"/>
      <c r="J305" s="5"/>
      <c r="K305" s="5"/>
      <c r="L305" s="5"/>
      <c r="M305" s="5"/>
      <c r="N305" s="9"/>
      <c r="O305" s="9" t="str">
        <f t="shared" ca="1" si="13"/>
        <v/>
      </c>
      <c r="P305" s="9"/>
      <c r="Q305" s="5"/>
      <c r="R305" s="9"/>
    </row>
    <row r="306" spans="1:18">
      <c r="A306" s="7" t="str">
        <f t="shared" si="12"/>
        <v/>
      </c>
      <c r="B306" s="5"/>
      <c r="C306" s="5"/>
      <c r="D306" s="5"/>
      <c r="E306" s="5"/>
      <c r="F306" s="7"/>
      <c r="G306" s="9"/>
      <c r="H306" s="5"/>
      <c r="I306" s="5"/>
      <c r="J306" s="5"/>
      <c r="K306" s="5"/>
      <c r="L306" s="5"/>
      <c r="M306" s="5"/>
      <c r="N306" s="9"/>
      <c r="O306" s="9" t="str">
        <f t="shared" ca="1" si="13"/>
        <v/>
      </c>
      <c r="P306" s="9"/>
      <c r="Q306" s="5"/>
      <c r="R306" s="9"/>
    </row>
    <row r="307" spans="1:18">
      <c r="A307" s="7" t="str">
        <f t="shared" si="12"/>
        <v/>
      </c>
      <c r="B307" s="5"/>
      <c r="C307" s="5"/>
      <c r="D307" s="5"/>
      <c r="E307" s="5"/>
      <c r="F307" s="7"/>
      <c r="G307" s="9"/>
      <c r="H307" s="5"/>
      <c r="I307" s="5"/>
      <c r="J307" s="5"/>
      <c r="K307" s="5"/>
      <c r="L307" s="5"/>
      <c r="M307" s="5"/>
      <c r="N307" s="9"/>
      <c r="O307" s="9" t="str">
        <f t="shared" ca="1" si="13"/>
        <v/>
      </c>
      <c r="P307" s="9"/>
      <c r="Q307" s="5"/>
      <c r="R307" s="9"/>
    </row>
    <row r="308" spans="1:18">
      <c r="A308" s="7" t="str">
        <f t="shared" si="12"/>
        <v/>
      </c>
      <c r="B308" s="5"/>
      <c r="C308" s="5"/>
      <c r="D308" s="5"/>
      <c r="E308" s="5"/>
      <c r="F308" s="7"/>
      <c r="G308" s="9"/>
      <c r="H308" s="5"/>
      <c r="I308" s="5"/>
      <c r="J308" s="5"/>
      <c r="K308" s="5"/>
      <c r="L308" s="5"/>
      <c r="M308" s="5"/>
      <c r="N308" s="9"/>
      <c r="O308" s="9" t="str">
        <f t="shared" ca="1" si="13"/>
        <v/>
      </c>
      <c r="P308" s="9"/>
      <c r="Q308" s="5"/>
      <c r="R308" s="9"/>
    </row>
    <row r="309" spans="1:18">
      <c r="A309" s="7" t="str">
        <f t="shared" si="12"/>
        <v/>
      </c>
      <c r="B309" s="5"/>
      <c r="C309" s="5"/>
      <c r="D309" s="5"/>
      <c r="E309" s="5"/>
      <c r="F309" s="7"/>
      <c r="G309" s="9"/>
      <c r="H309" s="5"/>
      <c r="I309" s="5"/>
      <c r="J309" s="5"/>
      <c r="K309" s="5"/>
      <c r="L309" s="5"/>
      <c r="M309" s="5"/>
      <c r="N309" s="9"/>
      <c r="O309" s="9" t="str">
        <f t="shared" ca="1" si="13"/>
        <v/>
      </c>
      <c r="P309" s="9"/>
      <c r="Q309" s="5"/>
      <c r="R309" s="9"/>
    </row>
    <row r="310" spans="1:18">
      <c r="A310" s="7" t="str">
        <f t="shared" si="12"/>
        <v/>
      </c>
      <c r="B310" s="5"/>
      <c r="C310" s="5"/>
      <c r="D310" s="5"/>
      <c r="E310" s="5"/>
      <c r="F310" s="7"/>
      <c r="G310" s="9"/>
      <c r="H310" s="5"/>
      <c r="I310" s="5"/>
      <c r="J310" s="5"/>
      <c r="K310" s="5"/>
      <c r="L310" s="5"/>
      <c r="M310" s="5"/>
      <c r="N310" s="9"/>
      <c r="O310" s="9" t="str">
        <f t="shared" ca="1" si="13"/>
        <v/>
      </c>
      <c r="P310" s="9"/>
      <c r="Q310" s="5"/>
      <c r="R310" s="9"/>
    </row>
    <row r="311" spans="1:18">
      <c r="A311" s="7" t="str">
        <f t="shared" si="12"/>
        <v/>
      </c>
      <c r="B311" s="5"/>
      <c r="C311" s="5"/>
      <c r="D311" s="5"/>
      <c r="E311" s="5"/>
      <c r="F311" s="7"/>
      <c r="G311" s="9"/>
      <c r="H311" s="5"/>
      <c r="I311" s="5"/>
      <c r="J311" s="5"/>
      <c r="K311" s="5"/>
      <c r="L311" s="5"/>
      <c r="M311" s="5"/>
      <c r="N311" s="9"/>
      <c r="O311" s="9" t="str">
        <f t="shared" ca="1" si="13"/>
        <v/>
      </c>
      <c r="P311" s="9"/>
      <c r="Q311" s="5"/>
      <c r="R311" s="9"/>
    </row>
    <row r="312" spans="1:18">
      <c r="A312" s="7" t="str">
        <f t="shared" si="12"/>
        <v/>
      </c>
      <c r="B312" s="5"/>
      <c r="C312" s="5"/>
      <c r="D312" s="5"/>
      <c r="E312" s="5"/>
      <c r="F312" s="7"/>
      <c r="G312" s="9"/>
      <c r="H312" s="5"/>
      <c r="I312" s="5"/>
      <c r="J312" s="5"/>
      <c r="K312" s="5"/>
      <c r="L312" s="5"/>
      <c r="M312" s="5"/>
      <c r="N312" s="9"/>
      <c r="O312" s="9" t="str">
        <f t="shared" ca="1" si="13"/>
        <v/>
      </c>
      <c r="P312" s="9"/>
      <c r="Q312" s="5"/>
      <c r="R312" s="9"/>
    </row>
    <row r="313" spans="1:18">
      <c r="A313" s="7" t="str">
        <f t="shared" si="12"/>
        <v/>
      </c>
      <c r="B313" s="5"/>
      <c r="C313" s="5"/>
      <c r="D313" s="5"/>
      <c r="E313" s="5"/>
      <c r="F313" s="7"/>
      <c r="G313" s="9"/>
      <c r="H313" s="5"/>
      <c r="I313" s="5"/>
      <c r="J313" s="5"/>
      <c r="K313" s="5"/>
      <c r="L313" s="5"/>
      <c r="M313" s="5"/>
      <c r="N313" s="9"/>
      <c r="O313" s="9" t="str">
        <f t="shared" ca="1" si="13"/>
        <v/>
      </c>
      <c r="P313" s="9"/>
      <c r="Q313" s="5"/>
      <c r="R313" s="9"/>
    </row>
    <row r="314" spans="1:18">
      <c r="A314" s="7" t="str">
        <f t="shared" si="12"/>
        <v/>
      </c>
      <c r="B314" s="5"/>
      <c r="C314" s="5"/>
      <c r="D314" s="5"/>
      <c r="E314" s="5"/>
      <c r="F314" s="7"/>
      <c r="G314" s="9"/>
      <c r="H314" s="5"/>
      <c r="I314" s="5"/>
      <c r="J314" s="5"/>
      <c r="K314" s="5"/>
      <c r="L314" s="5"/>
      <c r="M314" s="5"/>
      <c r="N314" s="9"/>
      <c r="O314" s="9" t="str">
        <f t="shared" ca="1" si="13"/>
        <v/>
      </c>
      <c r="P314" s="9"/>
      <c r="Q314" s="5"/>
      <c r="R314" s="9"/>
    </row>
    <row r="315" spans="1:18">
      <c r="A315" s="7" t="str">
        <f t="shared" si="12"/>
        <v/>
      </c>
      <c r="B315" s="5"/>
      <c r="C315" s="5"/>
      <c r="D315" s="5"/>
      <c r="E315" s="5"/>
      <c r="F315" s="7"/>
      <c r="G315" s="9"/>
      <c r="H315" s="5"/>
      <c r="I315" s="5"/>
      <c r="J315" s="5"/>
      <c r="K315" s="5"/>
      <c r="L315" s="5"/>
      <c r="M315" s="5"/>
      <c r="N315" s="9"/>
      <c r="O315" s="9" t="str">
        <f t="shared" ca="1" si="13"/>
        <v/>
      </c>
      <c r="P315" s="9"/>
      <c r="Q315" s="5"/>
      <c r="R315" s="9"/>
    </row>
    <row r="316" spans="1:18">
      <c r="A316" s="7" t="str">
        <f t="shared" si="12"/>
        <v/>
      </c>
      <c r="B316" s="5"/>
      <c r="C316" s="5"/>
      <c r="D316" s="5"/>
      <c r="E316" s="5"/>
      <c r="F316" s="7"/>
      <c r="G316" s="9"/>
      <c r="H316" s="5"/>
      <c r="I316" s="5"/>
      <c r="J316" s="5"/>
      <c r="K316" s="5"/>
      <c r="L316" s="5"/>
      <c r="M316" s="5"/>
      <c r="N316" s="9"/>
      <c r="O316" s="9" t="str">
        <f t="shared" ca="1" si="13"/>
        <v/>
      </c>
      <c r="P316" s="9"/>
      <c r="Q316" s="5"/>
      <c r="R316" s="9"/>
    </row>
    <row r="317" spans="1:18">
      <c r="A317" s="7" t="str">
        <f t="shared" si="12"/>
        <v/>
      </c>
      <c r="B317" s="5"/>
      <c r="C317" s="5"/>
      <c r="D317" s="5"/>
      <c r="E317" s="5"/>
      <c r="F317" s="7"/>
      <c r="G317" s="9"/>
      <c r="H317" s="5"/>
      <c r="I317" s="5"/>
      <c r="J317" s="5"/>
      <c r="K317" s="5"/>
      <c r="L317" s="5"/>
      <c r="M317" s="5"/>
      <c r="N317" s="9"/>
      <c r="O317" s="9" t="str">
        <f t="shared" ca="1" si="13"/>
        <v/>
      </c>
      <c r="P317" s="9"/>
      <c r="Q317" s="5"/>
      <c r="R317" s="9"/>
    </row>
    <row r="318" spans="1:18">
      <c r="A318" s="7" t="str">
        <f t="shared" si="12"/>
        <v/>
      </c>
      <c r="B318" s="5"/>
      <c r="C318" s="5"/>
      <c r="D318" s="5"/>
      <c r="E318" s="5"/>
      <c r="F318" s="7"/>
      <c r="G318" s="9"/>
      <c r="H318" s="5"/>
      <c r="I318" s="5"/>
      <c r="J318" s="5"/>
      <c r="K318" s="5"/>
      <c r="L318" s="5"/>
      <c r="M318" s="5"/>
      <c r="N318" s="9"/>
      <c r="O318" s="9" t="str">
        <f t="shared" ca="1" si="13"/>
        <v/>
      </c>
      <c r="P318" s="9"/>
      <c r="Q318" s="5"/>
      <c r="R318" s="9"/>
    </row>
    <row r="319" spans="1:18">
      <c r="A319" s="7" t="str">
        <f t="shared" si="12"/>
        <v/>
      </c>
      <c r="B319" s="5"/>
      <c r="C319" s="5"/>
      <c r="D319" s="5"/>
      <c r="E319" s="5"/>
      <c r="F319" s="7"/>
      <c r="G319" s="9"/>
      <c r="H319" s="5"/>
      <c r="I319" s="5"/>
      <c r="J319" s="5"/>
      <c r="K319" s="5"/>
      <c r="L319" s="5"/>
      <c r="M319" s="5"/>
      <c r="N319" s="9"/>
      <c r="O319" s="9" t="str">
        <f t="shared" ca="1" si="13"/>
        <v/>
      </c>
      <c r="P319" s="9"/>
      <c r="Q319" s="5"/>
      <c r="R319" s="9"/>
    </row>
    <row r="320" spans="1:18">
      <c r="A320" s="7" t="str">
        <f t="shared" si="12"/>
        <v/>
      </c>
      <c r="B320" s="5"/>
      <c r="C320" s="5"/>
      <c r="D320" s="5"/>
      <c r="E320" s="5"/>
      <c r="F320" s="7"/>
      <c r="G320" s="9"/>
      <c r="H320" s="5"/>
      <c r="I320" s="5"/>
      <c r="J320" s="5"/>
      <c r="K320" s="5"/>
      <c r="L320" s="5"/>
      <c r="M320" s="5"/>
      <c r="N320" s="9"/>
      <c r="O320" s="9" t="str">
        <f t="shared" ca="1" si="13"/>
        <v/>
      </c>
      <c r="P320" s="9"/>
      <c r="Q320" s="5"/>
      <c r="R320" s="9"/>
    </row>
    <row r="321" spans="1:18">
      <c r="A321" s="7" t="str">
        <f t="shared" si="12"/>
        <v/>
      </c>
      <c r="B321" s="5"/>
      <c r="C321" s="5"/>
      <c r="D321" s="5"/>
      <c r="E321" s="5"/>
      <c r="F321" s="7"/>
      <c r="G321" s="9"/>
      <c r="H321" s="5"/>
      <c r="I321" s="5"/>
      <c r="J321" s="5"/>
      <c r="K321" s="5"/>
      <c r="L321" s="5"/>
      <c r="M321" s="5"/>
      <c r="N321" s="9"/>
      <c r="O321" s="9" t="str">
        <f t="shared" ca="1" si="13"/>
        <v/>
      </c>
      <c r="P321" s="9"/>
      <c r="Q321" s="5"/>
      <c r="R321" s="9"/>
    </row>
    <row r="322" spans="1:18">
      <c r="A322" s="7" t="str">
        <f t="shared" si="12"/>
        <v/>
      </c>
      <c r="B322" s="5"/>
      <c r="C322" s="5"/>
      <c r="D322" s="5"/>
      <c r="E322" s="5"/>
      <c r="F322" s="7"/>
      <c r="G322" s="9"/>
      <c r="H322" s="5"/>
      <c r="I322" s="5"/>
      <c r="J322" s="5"/>
      <c r="K322" s="5"/>
      <c r="L322" s="5"/>
      <c r="M322" s="5"/>
      <c r="N322" s="9"/>
      <c r="O322" s="9" t="str">
        <f t="shared" ca="1" si="13"/>
        <v/>
      </c>
      <c r="P322" s="9"/>
      <c r="Q322" s="5"/>
      <c r="R322" s="9"/>
    </row>
    <row r="323" spans="1:18">
      <c r="A323" s="7" t="str">
        <f t="shared" si="12"/>
        <v/>
      </c>
      <c r="B323" s="5"/>
      <c r="C323" s="5"/>
      <c r="D323" s="5"/>
      <c r="E323" s="5"/>
      <c r="F323" s="7"/>
      <c r="G323" s="9"/>
      <c r="H323" s="5"/>
      <c r="I323" s="5"/>
      <c r="J323" s="5"/>
      <c r="K323" s="5"/>
      <c r="L323" s="5"/>
      <c r="M323" s="5"/>
      <c r="N323" s="9"/>
      <c r="O323" s="9" t="str">
        <f t="shared" ca="1" si="13"/>
        <v/>
      </c>
      <c r="P323" s="9"/>
      <c r="Q323" s="5"/>
      <c r="R323" s="9"/>
    </row>
    <row r="324" spans="1:18">
      <c r="A324" s="7" t="str">
        <f t="shared" ref="A324:A387" si="14">IF(B324="","",ROW()-3)</f>
        <v/>
      </c>
      <c r="B324" s="5"/>
      <c r="C324" s="5"/>
      <c r="D324" s="5"/>
      <c r="E324" s="5"/>
      <c r="F324" s="7"/>
      <c r="G324" s="9"/>
      <c r="H324" s="5"/>
      <c r="I324" s="5"/>
      <c r="J324" s="5"/>
      <c r="K324" s="5"/>
      <c r="L324" s="5"/>
      <c r="M324" s="5"/>
      <c r="N324" s="9"/>
      <c r="O324" s="9" t="str">
        <f t="shared" ca="1" si="13"/>
        <v/>
      </c>
      <c r="P324" s="9"/>
      <c r="Q324" s="5"/>
      <c r="R324" s="9"/>
    </row>
    <row r="325" spans="1:18">
      <c r="A325" s="7" t="str">
        <f t="shared" si="14"/>
        <v/>
      </c>
      <c r="B325" s="5"/>
      <c r="C325" s="5"/>
      <c r="D325" s="5"/>
      <c r="E325" s="5"/>
      <c r="F325" s="7"/>
      <c r="G325" s="9"/>
      <c r="H325" s="5"/>
      <c r="I325" s="5"/>
      <c r="J325" s="5"/>
      <c r="K325" s="5"/>
      <c r="L325" s="5"/>
      <c r="M325" s="5"/>
      <c r="N325" s="9"/>
      <c r="O325" s="9" t="str">
        <f t="shared" ca="1" si="13"/>
        <v/>
      </c>
      <c r="P325" s="9"/>
      <c r="Q325" s="5"/>
      <c r="R325" s="9"/>
    </row>
    <row r="326" spans="1:18">
      <c r="A326" s="7" t="str">
        <f t="shared" si="14"/>
        <v/>
      </c>
      <c r="B326" s="5"/>
      <c r="C326" s="5"/>
      <c r="D326" s="5"/>
      <c r="E326" s="5"/>
      <c r="F326" s="7"/>
      <c r="G326" s="9"/>
      <c r="H326" s="5"/>
      <c r="I326" s="5"/>
      <c r="J326" s="5"/>
      <c r="K326" s="5"/>
      <c r="L326" s="5"/>
      <c r="M326" s="5"/>
      <c r="N326" s="9"/>
      <c r="O326" s="9" t="str">
        <f t="shared" ca="1" si="13"/>
        <v/>
      </c>
      <c r="P326" s="9"/>
      <c r="Q326" s="5"/>
      <c r="R326" s="9"/>
    </row>
    <row r="327" spans="1:18">
      <c r="A327" s="7" t="str">
        <f t="shared" si="14"/>
        <v/>
      </c>
      <c r="B327" s="5"/>
      <c r="C327" s="5"/>
      <c r="D327" s="5"/>
      <c r="E327" s="5"/>
      <c r="F327" s="7"/>
      <c r="G327" s="9"/>
      <c r="H327" s="5"/>
      <c r="I327" s="5"/>
      <c r="J327" s="5"/>
      <c r="K327" s="5"/>
      <c r="L327" s="5"/>
      <c r="M327" s="5"/>
      <c r="N327" s="9"/>
      <c r="O327" s="9" t="str">
        <f t="shared" ca="1" si="13"/>
        <v/>
      </c>
      <c r="P327" s="9"/>
      <c r="Q327" s="5"/>
      <c r="R327" s="9"/>
    </row>
    <row r="328" spans="1:18">
      <c r="A328" s="7" t="str">
        <f t="shared" si="14"/>
        <v/>
      </c>
      <c r="B328" s="5"/>
      <c r="C328" s="5"/>
      <c r="D328" s="5"/>
      <c r="E328" s="5"/>
      <c r="F328" s="7"/>
      <c r="G328" s="9"/>
      <c r="H328" s="5"/>
      <c r="I328" s="5"/>
      <c r="J328" s="5"/>
      <c r="K328" s="5"/>
      <c r="L328" s="5"/>
      <c r="M328" s="5"/>
      <c r="N328" s="9"/>
      <c r="O328" s="9" t="str">
        <f t="shared" ca="1" si="13"/>
        <v/>
      </c>
      <c r="P328" s="9"/>
      <c r="Q328" s="5"/>
      <c r="R328" s="9"/>
    </row>
    <row r="329" spans="1:18">
      <c r="A329" s="7" t="str">
        <f t="shared" si="14"/>
        <v/>
      </c>
      <c r="B329" s="5"/>
      <c r="C329" s="5"/>
      <c r="D329" s="5"/>
      <c r="E329" s="5"/>
      <c r="F329" s="7"/>
      <c r="G329" s="9"/>
      <c r="H329" s="5"/>
      <c r="I329" s="5"/>
      <c r="J329" s="5"/>
      <c r="K329" s="5"/>
      <c r="L329" s="5"/>
      <c r="M329" s="5"/>
      <c r="N329" s="9"/>
      <c r="O329" s="9" t="str">
        <f t="shared" ca="1" si="13"/>
        <v/>
      </c>
      <c r="P329" s="9"/>
      <c r="Q329" s="5"/>
      <c r="R329" s="9"/>
    </row>
    <row r="330" spans="1:18">
      <c r="A330" s="7" t="str">
        <f t="shared" si="14"/>
        <v/>
      </c>
      <c r="B330" s="5"/>
      <c r="C330" s="5"/>
      <c r="D330" s="5"/>
      <c r="E330" s="5"/>
      <c r="F330" s="7"/>
      <c r="G330" s="9"/>
      <c r="H330" s="5"/>
      <c r="I330" s="5"/>
      <c r="J330" s="5"/>
      <c r="K330" s="5"/>
      <c r="L330" s="5"/>
      <c r="M330" s="5"/>
      <c r="N330" s="9"/>
      <c r="O330" s="9" t="str">
        <f t="shared" ca="1" si="13"/>
        <v/>
      </c>
      <c r="P330" s="9"/>
      <c r="Q330" s="5"/>
      <c r="R330" s="9"/>
    </row>
    <row r="331" spans="1:18">
      <c r="A331" s="7" t="str">
        <f t="shared" si="14"/>
        <v/>
      </c>
      <c r="B331" s="5"/>
      <c r="C331" s="5"/>
      <c r="D331" s="5"/>
      <c r="E331" s="5"/>
      <c r="F331" s="7"/>
      <c r="G331" s="9"/>
      <c r="H331" s="5"/>
      <c r="I331" s="5"/>
      <c r="J331" s="5"/>
      <c r="K331" s="5"/>
      <c r="L331" s="5"/>
      <c r="M331" s="5"/>
      <c r="N331" s="9"/>
      <c r="O331" s="9" t="str">
        <f t="shared" ca="1" si="13"/>
        <v/>
      </c>
      <c r="P331" s="9"/>
      <c r="Q331" s="5"/>
      <c r="R331" s="9"/>
    </row>
    <row r="332" spans="1:18">
      <c r="A332" s="7" t="str">
        <f t="shared" si="14"/>
        <v/>
      </c>
      <c r="B332" s="5"/>
      <c r="C332" s="5"/>
      <c r="D332" s="5"/>
      <c r="E332" s="5"/>
      <c r="F332" s="7"/>
      <c r="G332" s="9"/>
      <c r="H332" s="5"/>
      <c r="I332" s="5"/>
      <c r="J332" s="5"/>
      <c r="K332" s="5"/>
      <c r="L332" s="5"/>
      <c r="M332" s="5"/>
      <c r="N332" s="9"/>
      <c r="O332" s="9" t="str">
        <f t="shared" ca="1" si="13"/>
        <v/>
      </c>
      <c r="P332" s="9"/>
      <c r="Q332" s="5"/>
      <c r="R332" s="9"/>
    </row>
    <row r="333" spans="1:18">
      <c r="A333" s="7" t="str">
        <f t="shared" si="14"/>
        <v/>
      </c>
      <c r="B333" s="5"/>
      <c r="C333" s="5"/>
      <c r="D333" s="5"/>
      <c r="E333" s="5"/>
      <c r="F333" s="7"/>
      <c r="G333" s="9"/>
      <c r="H333" s="5"/>
      <c r="I333" s="5"/>
      <c r="J333" s="5"/>
      <c r="K333" s="5"/>
      <c r="L333" s="5"/>
      <c r="M333" s="5"/>
      <c r="N333" s="9"/>
      <c r="O333" s="9" t="str">
        <f t="shared" ca="1" si="13"/>
        <v/>
      </c>
      <c r="P333" s="9"/>
      <c r="Q333" s="5"/>
      <c r="R333" s="9"/>
    </row>
    <row r="334" spans="1:18">
      <c r="A334" s="7" t="str">
        <f t="shared" si="14"/>
        <v/>
      </c>
      <c r="B334" s="5"/>
      <c r="C334" s="5"/>
      <c r="D334" s="5"/>
      <c r="E334" s="5"/>
      <c r="F334" s="7"/>
      <c r="G334" s="9"/>
      <c r="H334" s="5"/>
      <c r="I334" s="5"/>
      <c r="J334" s="5"/>
      <c r="K334" s="5"/>
      <c r="L334" s="5"/>
      <c r="M334" s="5"/>
      <c r="N334" s="9"/>
      <c r="O334" s="9" t="str">
        <f t="shared" ref="O334:O397" ca="1" si="15">IF(OR($B334="",$N334&lt;&gt;"Yes",$G334="",$M334=""),"",IF(AND(ISNUMBER($P334),$P334&lt;=TODAY()),$P334+IF($M334="Low",3,IF($M334="Medium",7,21)),$G334+IF($M334="Low",2,IF($M334="Medium",5,14))))</f>
        <v/>
      </c>
      <c r="P334" s="9"/>
      <c r="Q334" s="5"/>
      <c r="R334" s="9"/>
    </row>
    <row r="335" spans="1:18">
      <c r="A335" s="7" t="str">
        <f t="shared" si="14"/>
        <v/>
      </c>
      <c r="B335" s="5"/>
      <c r="C335" s="5"/>
      <c r="D335" s="5"/>
      <c r="E335" s="5"/>
      <c r="F335" s="7"/>
      <c r="G335" s="9"/>
      <c r="H335" s="5"/>
      <c r="I335" s="5"/>
      <c r="J335" s="5"/>
      <c r="K335" s="5"/>
      <c r="L335" s="5"/>
      <c r="M335" s="5"/>
      <c r="N335" s="9"/>
      <c r="O335" s="9" t="str">
        <f t="shared" ca="1" si="15"/>
        <v/>
      </c>
      <c r="P335" s="9"/>
      <c r="Q335" s="5"/>
      <c r="R335" s="9"/>
    </row>
    <row r="336" spans="1:18">
      <c r="A336" s="7" t="str">
        <f t="shared" si="14"/>
        <v/>
      </c>
      <c r="B336" s="5"/>
      <c r="C336" s="5"/>
      <c r="D336" s="5"/>
      <c r="E336" s="5"/>
      <c r="F336" s="7"/>
      <c r="G336" s="9"/>
      <c r="H336" s="5"/>
      <c r="I336" s="5"/>
      <c r="J336" s="5"/>
      <c r="K336" s="5"/>
      <c r="L336" s="5"/>
      <c r="M336" s="5"/>
      <c r="N336" s="9"/>
      <c r="O336" s="9" t="str">
        <f t="shared" ca="1" si="15"/>
        <v/>
      </c>
      <c r="P336" s="9"/>
      <c r="Q336" s="5"/>
      <c r="R336" s="9"/>
    </row>
    <row r="337" spans="1:18">
      <c r="A337" s="7" t="str">
        <f t="shared" si="14"/>
        <v/>
      </c>
      <c r="B337" s="5"/>
      <c r="C337" s="5"/>
      <c r="D337" s="5"/>
      <c r="E337" s="5"/>
      <c r="F337" s="7"/>
      <c r="G337" s="9"/>
      <c r="H337" s="5"/>
      <c r="I337" s="5"/>
      <c r="J337" s="5"/>
      <c r="K337" s="5"/>
      <c r="L337" s="5"/>
      <c r="M337" s="5"/>
      <c r="N337" s="9"/>
      <c r="O337" s="9" t="str">
        <f t="shared" ca="1" si="15"/>
        <v/>
      </c>
      <c r="P337" s="9"/>
      <c r="Q337" s="5"/>
      <c r="R337" s="9"/>
    </row>
    <row r="338" spans="1:18">
      <c r="A338" s="7" t="str">
        <f t="shared" si="14"/>
        <v/>
      </c>
      <c r="B338" s="5"/>
      <c r="C338" s="5"/>
      <c r="D338" s="5"/>
      <c r="E338" s="5"/>
      <c r="F338" s="7"/>
      <c r="G338" s="9"/>
      <c r="H338" s="5"/>
      <c r="I338" s="5"/>
      <c r="J338" s="5"/>
      <c r="K338" s="5"/>
      <c r="L338" s="5"/>
      <c r="M338" s="5"/>
      <c r="N338" s="9"/>
      <c r="O338" s="9" t="str">
        <f t="shared" ca="1" si="15"/>
        <v/>
      </c>
      <c r="P338" s="9"/>
      <c r="Q338" s="5"/>
      <c r="R338" s="9"/>
    </row>
    <row r="339" spans="1:18">
      <c r="A339" s="7" t="str">
        <f t="shared" si="14"/>
        <v/>
      </c>
      <c r="B339" s="5"/>
      <c r="C339" s="5"/>
      <c r="D339" s="5"/>
      <c r="E339" s="5"/>
      <c r="F339" s="7"/>
      <c r="G339" s="9"/>
      <c r="H339" s="5"/>
      <c r="I339" s="5"/>
      <c r="J339" s="5"/>
      <c r="K339" s="5"/>
      <c r="L339" s="5"/>
      <c r="M339" s="5"/>
      <c r="N339" s="9"/>
      <c r="O339" s="9" t="str">
        <f t="shared" ca="1" si="15"/>
        <v/>
      </c>
      <c r="P339" s="9"/>
      <c r="Q339" s="5"/>
      <c r="R339" s="9"/>
    </row>
    <row r="340" spans="1:18">
      <c r="A340" s="7" t="str">
        <f t="shared" si="14"/>
        <v/>
      </c>
      <c r="B340" s="5"/>
      <c r="C340" s="5"/>
      <c r="D340" s="5"/>
      <c r="E340" s="5"/>
      <c r="F340" s="7"/>
      <c r="G340" s="9"/>
      <c r="H340" s="5"/>
      <c r="I340" s="5"/>
      <c r="J340" s="5"/>
      <c r="K340" s="5"/>
      <c r="L340" s="5"/>
      <c r="M340" s="5"/>
      <c r="N340" s="9"/>
      <c r="O340" s="9" t="str">
        <f t="shared" ca="1" si="15"/>
        <v/>
      </c>
      <c r="P340" s="9"/>
      <c r="Q340" s="5"/>
      <c r="R340" s="9"/>
    </row>
    <row r="341" spans="1:18">
      <c r="A341" s="7" t="str">
        <f t="shared" si="14"/>
        <v/>
      </c>
      <c r="B341" s="5"/>
      <c r="C341" s="5"/>
      <c r="D341" s="5"/>
      <c r="E341" s="5"/>
      <c r="F341" s="7"/>
      <c r="G341" s="9"/>
      <c r="H341" s="5"/>
      <c r="I341" s="5"/>
      <c r="J341" s="5"/>
      <c r="K341" s="5"/>
      <c r="L341" s="5"/>
      <c r="M341" s="5"/>
      <c r="N341" s="9"/>
      <c r="O341" s="9" t="str">
        <f t="shared" ca="1" si="15"/>
        <v/>
      </c>
      <c r="P341" s="9"/>
      <c r="Q341" s="5"/>
      <c r="R341" s="9"/>
    </row>
    <row r="342" spans="1:18">
      <c r="A342" s="7" t="str">
        <f t="shared" si="14"/>
        <v/>
      </c>
      <c r="B342" s="5"/>
      <c r="C342" s="5"/>
      <c r="D342" s="5"/>
      <c r="E342" s="5"/>
      <c r="F342" s="7"/>
      <c r="G342" s="9"/>
      <c r="H342" s="5"/>
      <c r="I342" s="5"/>
      <c r="J342" s="5"/>
      <c r="K342" s="5"/>
      <c r="L342" s="5"/>
      <c r="M342" s="5"/>
      <c r="N342" s="9"/>
      <c r="O342" s="9" t="str">
        <f t="shared" ca="1" si="15"/>
        <v/>
      </c>
      <c r="P342" s="9"/>
      <c r="Q342" s="5"/>
      <c r="R342" s="9"/>
    </row>
    <row r="343" spans="1:18">
      <c r="A343" s="7" t="str">
        <f t="shared" si="14"/>
        <v/>
      </c>
      <c r="B343" s="5"/>
      <c r="C343" s="5"/>
      <c r="D343" s="5"/>
      <c r="E343" s="5"/>
      <c r="F343" s="7"/>
      <c r="G343" s="9"/>
      <c r="H343" s="5"/>
      <c r="I343" s="5"/>
      <c r="J343" s="5"/>
      <c r="K343" s="5"/>
      <c r="L343" s="5"/>
      <c r="M343" s="5"/>
      <c r="N343" s="9"/>
      <c r="O343" s="9" t="str">
        <f t="shared" ca="1" si="15"/>
        <v/>
      </c>
      <c r="P343" s="9"/>
      <c r="Q343" s="5"/>
      <c r="R343" s="9"/>
    </row>
    <row r="344" spans="1:18">
      <c r="A344" s="7" t="str">
        <f t="shared" si="14"/>
        <v/>
      </c>
      <c r="B344" s="5"/>
      <c r="C344" s="5"/>
      <c r="D344" s="5"/>
      <c r="E344" s="5"/>
      <c r="F344" s="7"/>
      <c r="G344" s="9"/>
      <c r="H344" s="5"/>
      <c r="I344" s="5"/>
      <c r="J344" s="5"/>
      <c r="K344" s="5"/>
      <c r="L344" s="5"/>
      <c r="M344" s="5"/>
      <c r="N344" s="9"/>
      <c r="O344" s="9" t="str">
        <f t="shared" ca="1" si="15"/>
        <v/>
      </c>
      <c r="P344" s="9"/>
      <c r="Q344" s="5"/>
      <c r="R344" s="9"/>
    </row>
    <row r="345" spans="1:18">
      <c r="A345" s="7" t="str">
        <f t="shared" si="14"/>
        <v/>
      </c>
      <c r="B345" s="5"/>
      <c r="C345" s="5"/>
      <c r="D345" s="5"/>
      <c r="E345" s="5"/>
      <c r="F345" s="7"/>
      <c r="G345" s="9"/>
      <c r="H345" s="5"/>
      <c r="I345" s="5"/>
      <c r="J345" s="5"/>
      <c r="K345" s="5"/>
      <c r="L345" s="5"/>
      <c r="M345" s="5"/>
      <c r="N345" s="9"/>
      <c r="O345" s="9" t="str">
        <f t="shared" ca="1" si="15"/>
        <v/>
      </c>
      <c r="P345" s="9"/>
      <c r="Q345" s="5"/>
      <c r="R345" s="9"/>
    </row>
    <row r="346" spans="1:18">
      <c r="A346" s="7" t="str">
        <f t="shared" si="14"/>
        <v/>
      </c>
      <c r="B346" s="5"/>
      <c r="C346" s="5"/>
      <c r="D346" s="5"/>
      <c r="E346" s="5"/>
      <c r="F346" s="7"/>
      <c r="G346" s="9"/>
      <c r="H346" s="5"/>
      <c r="I346" s="5"/>
      <c r="J346" s="5"/>
      <c r="K346" s="5"/>
      <c r="L346" s="5"/>
      <c r="M346" s="5"/>
      <c r="N346" s="9"/>
      <c r="O346" s="9" t="str">
        <f t="shared" ca="1" si="15"/>
        <v/>
      </c>
      <c r="P346" s="9"/>
      <c r="Q346" s="5"/>
      <c r="R346" s="9"/>
    </row>
    <row r="347" spans="1:18">
      <c r="A347" s="7" t="str">
        <f t="shared" si="14"/>
        <v/>
      </c>
      <c r="B347" s="5"/>
      <c r="C347" s="5"/>
      <c r="D347" s="5"/>
      <c r="E347" s="5"/>
      <c r="F347" s="7"/>
      <c r="G347" s="9"/>
      <c r="H347" s="5"/>
      <c r="I347" s="5"/>
      <c r="J347" s="5"/>
      <c r="K347" s="5"/>
      <c r="L347" s="5"/>
      <c r="M347" s="5"/>
      <c r="N347" s="9"/>
      <c r="O347" s="9" t="str">
        <f t="shared" ca="1" si="15"/>
        <v/>
      </c>
      <c r="P347" s="9"/>
      <c r="Q347" s="5"/>
      <c r="R347" s="9"/>
    </row>
    <row r="348" spans="1:18">
      <c r="A348" s="7" t="str">
        <f t="shared" si="14"/>
        <v/>
      </c>
      <c r="B348" s="5"/>
      <c r="C348" s="5"/>
      <c r="D348" s="5"/>
      <c r="E348" s="5"/>
      <c r="F348" s="7"/>
      <c r="G348" s="9"/>
      <c r="H348" s="5"/>
      <c r="I348" s="5"/>
      <c r="J348" s="5"/>
      <c r="K348" s="5"/>
      <c r="L348" s="5"/>
      <c r="M348" s="5"/>
      <c r="N348" s="9"/>
      <c r="O348" s="9" t="str">
        <f t="shared" ca="1" si="15"/>
        <v/>
      </c>
      <c r="P348" s="9"/>
      <c r="Q348" s="5"/>
      <c r="R348" s="9"/>
    </row>
    <row r="349" spans="1:18">
      <c r="A349" s="7" t="str">
        <f t="shared" si="14"/>
        <v/>
      </c>
      <c r="B349" s="5"/>
      <c r="C349" s="5"/>
      <c r="D349" s="5"/>
      <c r="E349" s="5"/>
      <c r="F349" s="7"/>
      <c r="G349" s="9"/>
      <c r="H349" s="5"/>
      <c r="I349" s="5"/>
      <c r="J349" s="5"/>
      <c r="K349" s="5"/>
      <c r="L349" s="5"/>
      <c r="M349" s="5"/>
      <c r="N349" s="9"/>
      <c r="O349" s="9" t="str">
        <f t="shared" ca="1" si="15"/>
        <v/>
      </c>
      <c r="P349" s="9"/>
      <c r="Q349" s="5"/>
      <c r="R349" s="9"/>
    </row>
    <row r="350" spans="1:18">
      <c r="A350" s="7" t="str">
        <f t="shared" si="14"/>
        <v/>
      </c>
      <c r="B350" s="5"/>
      <c r="C350" s="5"/>
      <c r="D350" s="5"/>
      <c r="E350" s="5"/>
      <c r="F350" s="7"/>
      <c r="G350" s="9"/>
      <c r="H350" s="5"/>
      <c r="I350" s="5"/>
      <c r="J350" s="5"/>
      <c r="K350" s="5"/>
      <c r="L350" s="5"/>
      <c r="M350" s="5"/>
      <c r="N350" s="9"/>
      <c r="O350" s="9" t="str">
        <f t="shared" ca="1" si="15"/>
        <v/>
      </c>
      <c r="P350" s="9"/>
      <c r="Q350" s="5"/>
      <c r="R350" s="9"/>
    </row>
    <row r="351" spans="1:18">
      <c r="A351" s="7" t="str">
        <f t="shared" si="14"/>
        <v/>
      </c>
      <c r="B351" s="5"/>
      <c r="C351" s="5"/>
      <c r="D351" s="5"/>
      <c r="E351" s="5"/>
      <c r="F351" s="7"/>
      <c r="G351" s="9"/>
      <c r="H351" s="5"/>
      <c r="I351" s="5"/>
      <c r="J351" s="5"/>
      <c r="K351" s="5"/>
      <c r="L351" s="5"/>
      <c r="M351" s="5"/>
      <c r="N351" s="9"/>
      <c r="O351" s="9" t="str">
        <f t="shared" ca="1" si="15"/>
        <v/>
      </c>
      <c r="P351" s="9"/>
      <c r="Q351" s="5"/>
      <c r="R351" s="9"/>
    </row>
    <row r="352" spans="1:18">
      <c r="A352" s="7" t="str">
        <f t="shared" si="14"/>
        <v/>
      </c>
      <c r="B352" s="5"/>
      <c r="C352" s="5"/>
      <c r="D352" s="5"/>
      <c r="E352" s="5"/>
      <c r="F352" s="7"/>
      <c r="G352" s="9"/>
      <c r="H352" s="5"/>
      <c r="I352" s="5"/>
      <c r="J352" s="5"/>
      <c r="K352" s="5"/>
      <c r="L352" s="5"/>
      <c r="M352" s="5"/>
      <c r="N352" s="9"/>
      <c r="O352" s="9" t="str">
        <f t="shared" ca="1" si="15"/>
        <v/>
      </c>
      <c r="P352" s="9"/>
      <c r="Q352" s="5"/>
      <c r="R352" s="9"/>
    </row>
    <row r="353" spans="1:18">
      <c r="A353" s="7" t="str">
        <f t="shared" si="14"/>
        <v/>
      </c>
      <c r="B353" s="5"/>
      <c r="C353" s="5"/>
      <c r="D353" s="5"/>
      <c r="E353" s="5"/>
      <c r="F353" s="7"/>
      <c r="G353" s="9"/>
      <c r="H353" s="5"/>
      <c r="I353" s="5"/>
      <c r="J353" s="5"/>
      <c r="K353" s="5"/>
      <c r="L353" s="5"/>
      <c r="M353" s="5"/>
      <c r="N353" s="9"/>
      <c r="O353" s="9" t="str">
        <f t="shared" ca="1" si="15"/>
        <v/>
      </c>
      <c r="P353" s="9"/>
      <c r="Q353" s="5"/>
      <c r="R353" s="9"/>
    </row>
    <row r="354" spans="1:18">
      <c r="A354" s="7" t="str">
        <f t="shared" si="14"/>
        <v/>
      </c>
      <c r="B354" s="5"/>
      <c r="C354" s="5"/>
      <c r="D354" s="5"/>
      <c r="E354" s="5"/>
      <c r="F354" s="7"/>
      <c r="G354" s="9"/>
      <c r="H354" s="5"/>
      <c r="I354" s="5"/>
      <c r="J354" s="5"/>
      <c r="K354" s="5"/>
      <c r="L354" s="5"/>
      <c r="M354" s="5"/>
      <c r="N354" s="9"/>
      <c r="O354" s="9" t="str">
        <f t="shared" ca="1" si="15"/>
        <v/>
      </c>
      <c r="P354" s="9"/>
      <c r="Q354" s="5"/>
      <c r="R354" s="9"/>
    </row>
    <row r="355" spans="1:18">
      <c r="A355" s="7" t="str">
        <f t="shared" si="14"/>
        <v/>
      </c>
      <c r="B355" s="5"/>
      <c r="C355" s="5"/>
      <c r="D355" s="5"/>
      <c r="E355" s="5"/>
      <c r="F355" s="7"/>
      <c r="G355" s="9"/>
      <c r="H355" s="5"/>
      <c r="I355" s="5"/>
      <c r="J355" s="5"/>
      <c r="K355" s="5"/>
      <c r="L355" s="5"/>
      <c r="M355" s="5"/>
      <c r="N355" s="9"/>
      <c r="O355" s="9" t="str">
        <f t="shared" ca="1" si="15"/>
        <v/>
      </c>
      <c r="P355" s="9"/>
      <c r="Q355" s="5"/>
      <c r="R355" s="9"/>
    </row>
    <row r="356" spans="1:18">
      <c r="A356" s="7" t="str">
        <f t="shared" si="14"/>
        <v/>
      </c>
      <c r="B356" s="5"/>
      <c r="C356" s="5"/>
      <c r="D356" s="5"/>
      <c r="E356" s="5"/>
      <c r="F356" s="7"/>
      <c r="G356" s="9"/>
      <c r="H356" s="5"/>
      <c r="I356" s="5"/>
      <c r="J356" s="5"/>
      <c r="K356" s="5"/>
      <c r="L356" s="5"/>
      <c r="M356" s="5"/>
      <c r="N356" s="9"/>
      <c r="O356" s="9" t="str">
        <f t="shared" ca="1" si="15"/>
        <v/>
      </c>
      <c r="P356" s="9"/>
      <c r="Q356" s="5"/>
      <c r="R356" s="9"/>
    </row>
    <row r="357" spans="1:18">
      <c r="A357" s="7" t="str">
        <f t="shared" si="14"/>
        <v/>
      </c>
      <c r="B357" s="5"/>
      <c r="C357" s="5"/>
      <c r="D357" s="5"/>
      <c r="E357" s="5"/>
      <c r="F357" s="7"/>
      <c r="G357" s="9"/>
      <c r="H357" s="5"/>
      <c r="I357" s="5"/>
      <c r="J357" s="5"/>
      <c r="K357" s="5"/>
      <c r="L357" s="5"/>
      <c r="M357" s="5"/>
      <c r="N357" s="9"/>
      <c r="O357" s="9" t="str">
        <f t="shared" ca="1" si="15"/>
        <v/>
      </c>
      <c r="P357" s="9"/>
      <c r="Q357" s="5"/>
      <c r="R357" s="9"/>
    </row>
    <row r="358" spans="1:18">
      <c r="A358" s="7" t="str">
        <f t="shared" si="14"/>
        <v/>
      </c>
      <c r="B358" s="5"/>
      <c r="C358" s="5"/>
      <c r="D358" s="5"/>
      <c r="E358" s="5"/>
      <c r="F358" s="7"/>
      <c r="G358" s="9"/>
      <c r="H358" s="5"/>
      <c r="I358" s="5"/>
      <c r="J358" s="5"/>
      <c r="K358" s="5"/>
      <c r="L358" s="5"/>
      <c r="M358" s="5"/>
      <c r="N358" s="9"/>
      <c r="O358" s="9" t="str">
        <f t="shared" ca="1" si="15"/>
        <v/>
      </c>
      <c r="P358" s="9"/>
      <c r="Q358" s="5"/>
      <c r="R358" s="9"/>
    </row>
    <row r="359" spans="1:18">
      <c r="A359" s="7" t="str">
        <f t="shared" si="14"/>
        <v/>
      </c>
      <c r="B359" s="5"/>
      <c r="C359" s="5"/>
      <c r="D359" s="5"/>
      <c r="E359" s="5"/>
      <c r="F359" s="7"/>
      <c r="G359" s="9"/>
      <c r="H359" s="5"/>
      <c r="I359" s="5"/>
      <c r="J359" s="5"/>
      <c r="K359" s="5"/>
      <c r="L359" s="5"/>
      <c r="M359" s="5"/>
      <c r="N359" s="9"/>
      <c r="O359" s="9" t="str">
        <f t="shared" ca="1" si="15"/>
        <v/>
      </c>
      <c r="P359" s="9"/>
      <c r="Q359" s="5"/>
      <c r="R359" s="9"/>
    </row>
    <row r="360" spans="1:18">
      <c r="A360" s="7" t="str">
        <f t="shared" si="14"/>
        <v/>
      </c>
      <c r="B360" s="5"/>
      <c r="C360" s="5"/>
      <c r="D360" s="5"/>
      <c r="E360" s="5"/>
      <c r="F360" s="7"/>
      <c r="G360" s="9"/>
      <c r="H360" s="5"/>
      <c r="I360" s="5"/>
      <c r="J360" s="5"/>
      <c r="K360" s="5"/>
      <c r="L360" s="5"/>
      <c r="M360" s="5"/>
      <c r="N360" s="9"/>
      <c r="O360" s="9" t="str">
        <f t="shared" ca="1" si="15"/>
        <v/>
      </c>
      <c r="P360" s="9"/>
      <c r="Q360" s="5"/>
      <c r="R360" s="9"/>
    </row>
    <row r="361" spans="1:18">
      <c r="A361" s="7" t="str">
        <f t="shared" si="14"/>
        <v/>
      </c>
      <c r="B361" s="5"/>
      <c r="C361" s="5"/>
      <c r="D361" s="5"/>
      <c r="E361" s="5"/>
      <c r="F361" s="7"/>
      <c r="G361" s="9"/>
      <c r="H361" s="5"/>
      <c r="I361" s="5"/>
      <c r="J361" s="5"/>
      <c r="K361" s="5"/>
      <c r="L361" s="5"/>
      <c r="M361" s="5"/>
      <c r="N361" s="9"/>
      <c r="O361" s="9" t="str">
        <f t="shared" ca="1" si="15"/>
        <v/>
      </c>
      <c r="P361" s="9"/>
      <c r="Q361" s="5"/>
      <c r="R361" s="9"/>
    </row>
    <row r="362" spans="1:18">
      <c r="A362" s="7" t="str">
        <f t="shared" si="14"/>
        <v/>
      </c>
      <c r="B362" s="5"/>
      <c r="C362" s="5"/>
      <c r="D362" s="5"/>
      <c r="E362" s="5"/>
      <c r="F362" s="7"/>
      <c r="G362" s="9"/>
      <c r="H362" s="5"/>
      <c r="I362" s="5"/>
      <c r="J362" s="5"/>
      <c r="K362" s="5"/>
      <c r="L362" s="5"/>
      <c r="M362" s="5"/>
      <c r="N362" s="9"/>
      <c r="O362" s="9" t="str">
        <f t="shared" ca="1" si="15"/>
        <v/>
      </c>
      <c r="P362" s="9"/>
      <c r="Q362" s="5"/>
      <c r="R362" s="9"/>
    </row>
    <row r="363" spans="1:18">
      <c r="A363" s="7" t="str">
        <f t="shared" si="14"/>
        <v/>
      </c>
      <c r="B363" s="5"/>
      <c r="C363" s="5"/>
      <c r="D363" s="5"/>
      <c r="E363" s="5"/>
      <c r="F363" s="7"/>
      <c r="G363" s="9"/>
      <c r="H363" s="5"/>
      <c r="I363" s="5"/>
      <c r="J363" s="5"/>
      <c r="K363" s="5"/>
      <c r="L363" s="5"/>
      <c r="M363" s="5"/>
      <c r="N363" s="9"/>
      <c r="O363" s="9" t="str">
        <f t="shared" ca="1" si="15"/>
        <v/>
      </c>
      <c r="P363" s="9"/>
      <c r="Q363" s="5"/>
      <c r="R363" s="9"/>
    </row>
    <row r="364" spans="1:18">
      <c r="A364" s="7" t="str">
        <f t="shared" si="14"/>
        <v/>
      </c>
      <c r="B364" s="5"/>
      <c r="C364" s="5"/>
      <c r="D364" s="5"/>
      <c r="E364" s="5"/>
      <c r="F364" s="7"/>
      <c r="G364" s="9"/>
      <c r="H364" s="5"/>
      <c r="I364" s="5"/>
      <c r="J364" s="5"/>
      <c r="K364" s="5"/>
      <c r="L364" s="5"/>
      <c r="M364" s="5"/>
      <c r="N364" s="9"/>
      <c r="O364" s="9" t="str">
        <f t="shared" ca="1" si="15"/>
        <v/>
      </c>
      <c r="P364" s="9"/>
      <c r="Q364" s="5"/>
      <c r="R364" s="9"/>
    </row>
    <row r="365" spans="1:18">
      <c r="A365" s="7" t="str">
        <f t="shared" si="14"/>
        <v/>
      </c>
      <c r="B365" s="5"/>
      <c r="C365" s="5"/>
      <c r="D365" s="5"/>
      <c r="E365" s="5"/>
      <c r="F365" s="7"/>
      <c r="G365" s="9"/>
      <c r="H365" s="5"/>
      <c r="I365" s="5"/>
      <c r="J365" s="5"/>
      <c r="K365" s="5"/>
      <c r="L365" s="5"/>
      <c r="M365" s="5"/>
      <c r="N365" s="9"/>
      <c r="O365" s="9" t="str">
        <f t="shared" ca="1" si="15"/>
        <v/>
      </c>
      <c r="P365" s="9"/>
      <c r="Q365" s="5"/>
      <c r="R365" s="9"/>
    </row>
    <row r="366" spans="1:18">
      <c r="A366" s="7" t="str">
        <f t="shared" si="14"/>
        <v/>
      </c>
      <c r="B366" s="5"/>
      <c r="C366" s="5"/>
      <c r="D366" s="5"/>
      <c r="E366" s="5"/>
      <c r="F366" s="7"/>
      <c r="G366" s="9"/>
      <c r="H366" s="5"/>
      <c r="I366" s="5"/>
      <c r="J366" s="5"/>
      <c r="K366" s="5"/>
      <c r="L366" s="5"/>
      <c r="M366" s="5"/>
      <c r="N366" s="9"/>
      <c r="O366" s="9" t="str">
        <f t="shared" ca="1" si="15"/>
        <v/>
      </c>
      <c r="P366" s="9"/>
      <c r="Q366" s="5"/>
      <c r="R366" s="9"/>
    </row>
    <row r="367" spans="1:18">
      <c r="A367" s="7" t="str">
        <f t="shared" si="14"/>
        <v/>
      </c>
      <c r="B367" s="5"/>
      <c r="C367" s="5"/>
      <c r="D367" s="5"/>
      <c r="E367" s="5"/>
      <c r="F367" s="7"/>
      <c r="G367" s="9"/>
      <c r="H367" s="5"/>
      <c r="I367" s="5"/>
      <c r="J367" s="5"/>
      <c r="K367" s="5"/>
      <c r="L367" s="5"/>
      <c r="M367" s="5"/>
      <c r="N367" s="9"/>
      <c r="O367" s="9" t="str">
        <f t="shared" ca="1" si="15"/>
        <v/>
      </c>
      <c r="P367" s="9"/>
      <c r="Q367" s="5"/>
      <c r="R367" s="9"/>
    </row>
    <row r="368" spans="1:18">
      <c r="A368" s="7" t="str">
        <f t="shared" si="14"/>
        <v/>
      </c>
      <c r="B368" s="5"/>
      <c r="C368" s="5"/>
      <c r="D368" s="5"/>
      <c r="E368" s="5"/>
      <c r="F368" s="7"/>
      <c r="G368" s="9"/>
      <c r="H368" s="5"/>
      <c r="I368" s="5"/>
      <c r="J368" s="5"/>
      <c r="K368" s="5"/>
      <c r="L368" s="5"/>
      <c r="M368" s="5"/>
      <c r="N368" s="9"/>
      <c r="O368" s="9" t="str">
        <f t="shared" ca="1" si="15"/>
        <v/>
      </c>
      <c r="P368" s="9"/>
      <c r="Q368" s="5"/>
      <c r="R368" s="9"/>
    </row>
    <row r="369" spans="1:18">
      <c r="A369" s="7" t="str">
        <f t="shared" si="14"/>
        <v/>
      </c>
      <c r="B369" s="5"/>
      <c r="C369" s="5"/>
      <c r="D369" s="5"/>
      <c r="E369" s="5"/>
      <c r="F369" s="7"/>
      <c r="G369" s="9"/>
      <c r="H369" s="5"/>
      <c r="I369" s="5"/>
      <c r="J369" s="5"/>
      <c r="K369" s="5"/>
      <c r="L369" s="5"/>
      <c r="M369" s="5"/>
      <c r="N369" s="9"/>
      <c r="O369" s="9" t="str">
        <f t="shared" ca="1" si="15"/>
        <v/>
      </c>
      <c r="P369" s="9"/>
      <c r="Q369" s="5"/>
      <c r="R369" s="9"/>
    </row>
    <row r="370" spans="1:18">
      <c r="A370" s="7" t="str">
        <f t="shared" si="14"/>
        <v/>
      </c>
      <c r="B370" s="5"/>
      <c r="C370" s="5"/>
      <c r="D370" s="5"/>
      <c r="E370" s="5"/>
      <c r="F370" s="7"/>
      <c r="G370" s="9"/>
      <c r="H370" s="5"/>
      <c r="I370" s="5"/>
      <c r="J370" s="5"/>
      <c r="K370" s="5"/>
      <c r="L370" s="5"/>
      <c r="M370" s="5"/>
      <c r="N370" s="9"/>
      <c r="O370" s="9" t="str">
        <f t="shared" ca="1" si="15"/>
        <v/>
      </c>
      <c r="P370" s="9"/>
      <c r="Q370" s="5"/>
      <c r="R370" s="9"/>
    </row>
    <row r="371" spans="1:18">
      <c r="A371" s="7" t="str">
        <f t="shared" si="14"/>
        <v/>
      </c>
      <c r="B371" s="5"/>
      <c r="C371" s="5"/>
      <c r="D371" s="5"/>
      <c r="E371" s="5"/>
      <c r="F371" s="7"/>
      <c r="G371" s="9"/>
      <c r="H371" s="5"/>
      <c r="I371" s="5"/>
      <c r="J371" s="5"/>
      <c r="K371" s="5"/>
      <c r="L371" s="5"/>
      <c r="M371" s="5"/>
      <c r="N371" s="9"/>
      <c r="O371" s="9" t="str">
        <f t="shared" ca="1" si="15"/>
        <v/>
      </c>
      <c r="P371" s="9"/>
      <c r="Q371" s="5"/>
      <c r="R371" s="9"/>
    </row>
    <row r="372" spans="1:18">
      <c r="A372" s="7" t="str">
        <f t="shared" si="14"/>
        <v/>
      </c>
      <c r="B372" s="5"/>
      <c r="C372" s="5"/>
      <c r="D372" s="5"/>
      <c r="E372" s="5"/>
      <c r="F372" s="7"/>
      <c r="G372" s="9"/>
      <c r="H372" s="5"/>
      <c r="I372" s="5"/>
      <c r="J372" s="5"/>
      <c r="K372" s="5"/>
      <c r="L372" s="5"/>
      <c r="M372" s="5"/>
      <c r="N372" s="9"/>
      <c r="O372" s="9" t="str">
        <f t="shared" ca="1" si="15"/>
        <v/>
      </c>
      <c r="P372" s="9"/>
      <c r="Q372" s="5"/>
      <c r="R372" s="9"/>
    </row>
    <row r="373" spans="1:18">
      <c r="A373" s="7" t="str">
        <f t="shared" si="14"/>
        <v/>
      </c>
      <c r="B373" s="5"/>
      <c r="C373" s="5"/>
      <c r="D373" s="5"/>
      <c r="E373" s="5"/>
      <c r="F373" s="7"/>
      <c r="G373" s="9"/>
      <c r="H373" s="5"/>
      <c r="I373" s="5"/>
      <c r="J373" s="5"/>
      <c r="K373" s="5"/>
      <c r="L373" s="5"/>
      <c r="M373" s="5"/>
      <c r="N373" s="9"/>
      <c r="O373" s="9" t="str">
        <f t="shared" ca="1" si="15"/>
        <v/>
      </c>
      <c r="P373" s="9"/>
      <c r="Q373" s="5"/>
      <c r="R373" s="9"/>
    </row>
    <row r="374" spans="1:18">
      <c r="A374" s="7" t="str">
        <f t="shared" si="14"/>
        <v/>
      </c>
      <c r="B374" s="5"/>
      <c r="C374" s="5"/>
      <c r="D374" s="5"/>
      <c r="E374" s="5"/>
      <c r="F374" s="7"/>
      <c r="G374" s="9"/>
      <c r="H374" s="5"/>
      <c r="I374" s="5"/>
      <c r="J374" s="5"/>
      <c r="K374" s="5"/>
      <c r="L374" s="5"/>
      <c r="M374" s="5"/>
      <c r="N374" s="9"/>
      <c r="O374" s="9" t="str">
        <f t="shared" ca="1" si="15"/>
        <v/>
      </c>
      <c r="P374" s="9"/>
      <c r="Q374" s="5"/>
      <c r="R374" s="9"/>
    </row>
    <row r="375" spans="1:18">
      <c r="A375" s="7" t="str">
        <f t="shared" si="14"/>
        <v/>
      </c>
      <c r="B375" s="5"/>
      <c r="C375" s="5"/>
      <c r="D375" s="5"/>
      <c r="E375" s="5"/>
      <c r="F375" s="7"/>
      <c r="G375" s="9"/>
      <c r="H375" s="5"/>
      <c r="I375" s="5"/>
      <c r="J375" s="5"/>
      <c r="K375" s="5"/>
      <c r="L375" s="5"/>
      <c r="M375" s="5"/>
      <c r="N375" s="9"/>
      <c r="O375" s="9" t="str">
        <f t="shared" ca="1" si="15"/>
        <v/>
      </c>
      <c r="P375" s="9"/>
      <c r="Q375" s="5"/>
      <c r="R375" s="9"/>
    </row>
    <row r="376" spans="1:18">
      <c r="A376" s="7" t="str">
        <f t="shared" si="14"/>
        <v/>
      </c>
      <c r="B376" s="5"/>
      <c r="C376" s="5"/>
      <c r="D376" s="5"/>
      <c r="E376" s="5"/>
      <c r="F376" s="7"/>
      <c r="G376" s="9"/>
      <c r="H376" s="5"/>
      <c r="I376" s="5"/>
      <c r="J376" s="5"/>
      <c r="K376" s="5"/>
      <c r="L376" s="5"/>
      <c r="M376" s="5"/>
      <c r="N376" s="9"/>
      <c r="O376" s="9" t="str">
        <f t="shared" ca="1" si="15"/>
        <v/>
      </c>
      <c r="P376" s="9"/>
      <c r="Q376" s="5"/>
      <c r="R376" s="9"/>
    </row>
    <row r="377" spans="1:18">
      <c r="A377" s="7" t="str">
        <f t="shared" si="14"/>
        <v/>
      </c>
      <c r="B377" s="5"/>
      <c r="C377" s="5"/>
      <c r="D377" s="5"/>
      <c r="E377" s="5"/>
      <c r="F377" s="7"/>
      <c r="G377" s="9"/>
      <c r="H377" s="5"/>
      <c r="I377" s="5"/>
      <c r="J377" s="5"/>
      <c r="K377" s="5"/>
      <c r="L377" s="5"/>
      <c r="M377" s="5"/>
      <c r="N377" s="9"/>
      <c r="O377" s="9" t="str">
        <f t="shared" ca="1" si="15"/>
        <v/>
      </c>
      <c r="P377" s="9"/>
      <c r="Q377" s="5"/>
      <c r="R377" s="9"/>
    </row>
    <row r="378" spans="1:18">
      <c r="A378" s="7" t="str">
        <f t="shared" si="14"/>
        <v/>
      </c>
      <c r="B378" s="5"/>
      <c r="C378" s="5"/>
      <c r="D378" s="5"/>
      <c r="E378" s="5"/>
      <c r="F378" s="7"/>
      <c r="G378" s="9"/>
      <c r="H378" s="5"/>
      <c r="I378" s="5"/>
      <c r="J378" s="5"/>
      <c r="K378" s="5"/>
      <c r="L378" s="5"/>
      <c r="M378" s="5"/>
      <c r="N378" s="9"/>
      <c r="O378" s="9" t="str">
        <f t="shared" ca="1" si="15"/>
        <v/>
      </c>
      <c r="P378" s="9"/>
      <c r="Q378" s="5"/>
      <c r="R378" s="9"/>
    </row>
    <row r="379" spans="1:18">
      <c r="A379" s="7" t="str">
        <f t="shared" si="14"/>
        <v/>
      </c>
      <c r="B379" s="5"/>
      <c r="C379" s="5"/>
      <c r="D379" s="5"/>
      <c r="E379" s="5"/>
      <c r="F379" s="7"/>
      <c r="G379" s="9"/>
      <c r="H379" s="5"/>
      <c r="I379" s="5"/>
      <c r="J379" s="5"/>
      <c r="K379" s="5"/>
      <c r="L379" s="5"/>
      <c r="M379" s="5"/>
      <c r="N379" s="9"/>
      <c r="O379" s="9" t="str">
        <f t="shared" ca="1" si="15"/>
        <v/>
      </c>
      <c r="P379" s="9"/>
      <c r="Q379" s="5"/>
      <c r="R379" s="9"/>
    </row>
    <row r="380" spans="1:18">
      <c r="A380" s="7" t="str">
        <f t="shared" si="14"/>
        <v/>
      </c>
      <c r="B380" s="5"/>
      <c r="C380" s="5"/>
      <c r="D380" s="5"/>
      <c r="E380" s="5"/>
      <c r="F380" s="7"/>
      <c r="G380" s="9"/>
      <c r="H380" s="5"/>
      <c r="I380" s="5"/>
      <c r="J380" s="5"/>
      <c r="K380" s="5"/>
      <c r="L380" s="5"/>
      <c r="M380" s="5"/>
      <c r="N380" s="9"/>
      <c r="O380" s="9" t="str">
        <f t="shared" ca="1" si="15"/>
        <v/>
      </c>
      <c r="P380" s="9"/>
      <c r="Q380" s="5"/>
      <c r="R380" s="9"/>
    </row>
    <row r="381" spans="1:18">
      <c r="A381" s="7" t="str">
        <f t="shared" si="14"/>
        <v/>
      </c>
      <c r="B381" s="5"/>
      <c r="C381" s="5"/>
      <c r="D381" s="5"/>
      <c r="E381" s="5"/>
      <c r="F381" s="7"/>
      <c r="G381" s="9"/>
      <c r="H381" s="5"/>
      <c r="I381" s="5"/>
      <c r="J381" s="5"/>
      <c r="K381" s="5"/>
      <c r="L381" s="5"/>
      <c r="M381" s="5"/>
      <c r="N381" s="9"/>
      <c r="O381" s="9" t="str">
        <f t="shared" ca="1" si="15"/>
        <v/>
      </c>
      <c r="P381" s="9"/>
      <c r="Q381" s="5"/>
      <c r="R381" s="9"/>
    </row>
    <row r="382" spans="1:18">
      <c r="A382" s="7" t="str">
        <f t="shared" si="14"/>
        <v/>
      </c>
      <c r="B382" s="5"/>
      <c r="C382" s="5"/>
      <c r="D382" s="5"/>
      <c r="E382" s="5"/>
      <c r="F382" s="7"/>
      <c r="G382" s="9"/>
      <c r="H382" s="5"/>
      <c r="I382" s="5"/>
      <c r="J382" s="5"/>
      <c r="K382" s="5"/>
      <c r="L382" s="5"/>
      <c r="M382" s="5"/>
      <c r="N382" s="9"/>
      <c r="O382" s="9" t="str">
        <f t="shared" ca="1" si="15"/>
        <v/>
      </c>
      <c r="P382" s="9"/>
      <c r="Q382" s="5"/>
      <c r="R382" s="9"/>
    </row>
    <row r="383" spans="1:18">
      <c r="A383" s="7" t="str">
        <f t="shared" si="14"/>
        <v/>
      </c>
      <c r="B383" s="5"/>
      <c r="C383" s="5"/>
      <c r="D383" s="5"/>
      <c r="E383" s="5"/>
      <c r="F383" s="7"/>
      <c r="G383" s="9"/>
      <c r="H383" s="5"/>
      <c r="I383" s="5"/>
      <c r="J383" s="5"/>
      <c r="K383" s="5"/>
      <c r="L383" s="5"/>
      <c r="M383" s="5"/>
      <c r="N383" s="9"/>
      <c r="O383" s="9" t="str">
        <f t="shared" ca="1" si="15"/>
        <v/>
      </c>
      <c r="P383" s="9"/>
      <c r="Q383" s="5"/>
      <c r="R383" s="9"/>
    </row>
    <row r="384" spans="1:18">
      <c r="A384" s="7" t="str">
        <f t="shared" si="14"/>
        <v/>
      </c>
      <c r="B384" s="5"/>
      <c r="C384" s="5"/>
      <c r="D384" s="5"/>
      <c r="E384" s="5"/>
      <c r="F384" s="7"/>
      <c r="G384" s="9"/>
      <c r="H384" s="5"/>
      <c r="I384" s="5"/>
      <c r="J384" s="5"/>
      <c r="K384" s="5"/>
      <c r="L384" s="5"/>
      <c r="M384" s="5"/>
      <c r="N384" s="9"/>
      <c r="O384" s="9" t="str">
        <f t="shared" ca="1" si="15"/>
        <v/>
      </c>
      <c r="P384" s="9"/>
      <c r="Q384" s="5"/>
      <c r="R384" s="9"/>
    </row>
    <row r="385" spans="1:18">
      <c r="A385" s="7" t="str">
        <f t="shared" si="14"/>
        <v/>
      </c>
      <c r="B385" s="5"/>
      <c r="C385" s="5"/>
      <c r="D385" s="5"/>
      <c r="E385" s="5"/>
      <c r="F385" s="7"/>
      <c r="G385" s="9"/>
      <c r="H385" s="5"/>
      <c r="I385" s="5"/>
      <c r="J385" s="5"/>
      <c r="K385" s="5"/>
      <c r="L385" s="5"/>
      <c r="M385" s="5"/>
      <c r="N385" s="9"/>
      <c r="O385" s="9" t="str">
        <f t="shared" ca="1" si="15"/>
        <v/>
      </c>
      <c r="P385" s="9"/>
      <c r="Q385" s="5"/>
      <c r="R385" s="9"/>
    </row>
    <row r="386" spans="1:18">
      <c r="A386" s="7" t="str">
        <f t="shared" si="14"/>
        <v/>
      </c>
      <c r="B386" s="5"/>
      <c r="C386" s="5"/>
      <c r="D386" s="5"/>
      <c r="E386" s="5"/>
      <c r="F386" s="7"/>
      <c r="G386" s="9"/>
      <c r="H386" s="5"/>
      <c r="I386" s="5"/>
      <c r="J386" s="5"/>
      <c r="K386" s="5"/>
      <c r="L386" s="5"/>
      <c r="M386" s="5"/>
      <c r="N386" s="9"/>
      <c r="O386" s="9" t="str">
        <f t="shared" ca="1" si="15"/>
        <v/>
      </c>
      <c r="P386" s="9"/>
      <c r="Q386" s="5"/>
      <c r="R386" s="9"/>
    </row>
    <row r="387" spans="1:18">
      <c r="A387" s="7" t="str">
        <f t="shared" si="14"/>
        <v/>
      </c>
      <c r="B387" s="5"/>
      <c r="C387" s="5"/>
      <c r="D387" s="5"/>
      <c r="E387" s="5"/>
      <c r="F387" s="7"/>
      <c r="G387" s="9"/>
      <c r="H387" s="5"/>
      <c r="I387" s="5"/>
      <c r="J387" s="5"/>
      <c r="K387" s="5"/>
      <c r="L387" s="5"/>
      <c r="M387" s="5"/>
      <c r="N387" s="9"/>
      <c r="O387" s="9" t="str">
        <f t="shared" ca="1" si="15"/>
        <v/>
      </c>
      <c r="P387" s="9"/>
      <c r="Q387" s="5"/>
      <c r="R387" s="9"/>
    </row>
    <row r="388" spans="1:18">
      <c r="A388" s="7" t="str">
        <f t="shared" ref="A388:A451" si="16">IF(B388="","",ROW()-3)</f>
        <v/>
      </c>
      <c r="B388" s="5"/>
      <c r="C388" s="5"/>
      <c r="D388" s="5"/>
      <c r="E388" s="5"/>
      <c r="F388" s="7"/>
      <c r="G388" s="9"/>
      <c r="H388" s="5"/>
      <c r="I388" s="5"/>
      <c r="J388" s="5"/>
      <c r="K388" s="5"/>
      <c r="L388" s="5"/>
      <c r="M388" s="5"/>
      <c r="N388" s="9"/>
      <c r="O388" s="9" t="str">
        <f t="shared" ca="1" si="15"/>
        <v/>
      </c>
      <c r="P388" s="9"/>
      <c r="Q388" s="5"/>
      <c r="R388" s="9"/>
    </row>
    <row r="389" spans="1:18">
      <c r="A389" s="7" t="str">
        <f t="shared" si="16"/>
        <v/>
      </c>
      <c r="B389" s="5"/>
      <c r="C389" s="5"/>
      <c r="D389" s="5"/>
      <c r="E389" s="5"/>
      <c r="F389" s="7"/>
      <c r="G389" s="9"/>
      <c r="H389" s="5"/>
      <c r="I389" s="5"/>
      <c r="J389" s="5"/>
      <c r="K389" s="5"/>
      <c r="L389" s="5"/>
      <c r="M389" s="5"/>
      <c r="N389" s="9"/>
      <c r="O389" s="9" t="str">
        <f t="shared" ca="1" si="15"/>
        <v/>
      </c>
      <c r="P389" s="9"/>
      <c r="Q389" s="5"/>
      <c r="R389" s="9"/>
    </row>
    <row r="390" spans="1:18">
      <c r="A390" s="7" t="str">
        <f t="shared" si="16"/>
        <v/>
      </c>
      <c r="B390" s="5"/>
      <c r="C390" s="5"/>
      <c r="D390" s="5"/>
      <c r="E390" s="5"/>
      <c r="F390" s="7"/>
      <c r="G390" s="9"/>
      <c r="H390" s="5"/>
      <c r="I390" s="5"/>
      <c r="J390" s="5"/>
      <c r="K390" s="5"/>
      <c r="L390" s="5"/>
      <c r="M390" s="5"/>
      <c r="N390" s="9"/>
      <c r="O390" s="9" t="str">
        <f t="shared" ca="1" si="15"/>
        <v/>
      </c>
      <c r="P390" s="9"/>
      <c r="Q390" s="5"/>
      <c r="R390" s="9"/>
    </row>
    <row r="391" spans="1:18">
      <c r="A391" s="7" t="str">
        <f t="shared" si="16"/>
        <v/>
      </c>
      <c r="B391" s="5"/>
      <c r="C391" s="5"/>
      <c r="D391" s="5"/>
      <c r="E391" s="5"/>
      <c r="F391" s="7"/>
      <c r="G391" s="9"/>
      <c r="H391" s="5"/>
      <c r="I391" s="5"/>
      <c r="J391" s="5"/>
      <c r="K391" s="5"/>
      <c r="L391" s="5"/>
      <c r="M391" s="5"/>
      <c r="N391" s="9"/>
      <c r="O391" s="9" t="str">
        <f t="shared" ca="1" si="15"/>
        <v/>
      </c>
      <c r="P391" s="9"/>
      <c r="Q391" s="5"/>
      <c r="R391" s="9"/>
    </row>
    <row r="392" spans="1:18">
      <c r="A392" s="7" t="str">
        <f t="shared" si="16"/>
        <v/>
      </c>
      <c r="B392" s="5"/>
      <c r="C392" s="5"/>
      <c r="D392" s="5"/>
      <c r="E392" s="5"/>
      <c r="F392" s="7"/>
      <c r="G392" s="9"/>
      <c r="H392" s="5"/>
      <c r="I392" s="5"/>
      <c r="J392" s="5"/>
      <c r="K392" s="5"/>
      <c r="L392" s="5"/>
      <c r="M392" s="5"/>
      <c r="N392" s="9"/>
      <c r="O392" s="9" t="str">
        <f t="shared" ca="1" si="15"/>
        <v/>
      </c>
      <c r="P392" s="9"/>
      <c r="Q392" s="5"/>
      <c r="R392" s="9"/>
    </row>
    <row r="393" spans="1:18">
      <c r="A393" s="7" t="str">
        <f t="shared" si="16"/>
        <v/>
      </c>
      <c r="B393" s="5"/>
      <c r="C393" s="5"/>
      <c r="D393" s="5"/>
      <c r="E393" s="5"/>
      <c r="F393" s="7"/>
      <c r="G393" s="9"/>
      <c r="H393" s="5"/>
      <c r="I393" s="5"/>
      <c r="J393" s="5"/>
      <c r="K393" s="5"/>
      <c r="L393" s="5"/>
      <c r="M393" s="5"/>
      <c r="N393" s="9"/>
      <c r="O393" s="9" t="str">
        <f t="shared" ca="1" si="15"/>
        <v/>
      </c>
      <c r="P393" s="9"/>
      <c r="Q393" s="5"/>
      <c r="R393" s="9"/>
    </row>
    <row r="394" spans="1:18">
      <c r="A394" s="7" t="str">
        <f t="shared" si="16"/>
        <v/>
      </c>
      <c r="B394" s="5"/>
      <c r="C394" s="5"/>
      <c r="D394" s="5"/>
      <c r="E394" s="5"/>
      <c r="F394" s="7"/>
      <c r="G394" s="9"/>
      <c r="H394" s="5"/>
      <c r="I394" s="5"/>
      <c r="J394" s="5"/>
      <c r="K394" s="5"/>
      <c r="L394" s="5"/>
      <c r="M394" s="5"/>
      <c r="N394" s="9"/>
      <c r="O394" s="9" t="str">
        <f t="shared" ca="1" si="15"/>
        <v/>
      </c>
      <c r="P394" s="9"/>
      <c r="Q394" s="5"/>
      <c r="R394" s="9"/>
    </row>
    <row r="395" spans="1:18">
      <c r="A395" s="7" t="str">
        <f t="shared" si="16"/>
        <v/>
      </c>
      <c r="B395" s="5"/>
      <c r="C395" s="5"/>
      <c r="D395" s="5"/>
      <c r="E395" s="5"/>
      <c r="F395" s="7"/>
      <c r="G395" s="9"/>
      <c r="H395" s="5"/>
      <c r="I395" s="5"/>
      <c r="J395" s="5"/>
      <c r="K395" s="5"/>
      <c r="L395" s="5"/>
      <c r="M395" s="5"/>
      <c r="N395" s="9"/>
      <c r="O395" s="9" t="str">
        <f t="shared" ca="1" si="15"/>
        <v/>
      </c>
      <c r="P395" s="9"/>
      <c r="Q395" s="5"/>
      <c r="R395" s="9"/>
    </row>
    <row r="396" spans="1:18">
      <c r="A396" s="7" t="str">
        <f t="shared" si="16"/>
        <v/>
      </c>
      <c r="B396" s="5"/>
      <c r="C396" s="5"/>
      <c r="D396" s="5"/>
      <c r="E396" s="5"/>
      <c r="F396" s="7"/>
      <c r="G396" s="9"/>
      <c r="H396" s="5"/>
      <c r="I396" s="5"/>
      <c r="J396" s="5"/>
      <c r="K396" s="5"/>
      <c r="L396" s="5"/>
      <c r="M396" s="5"/>
      <c r="N396" s="9"/>
      <c r="O396" s="9" t="str">
        <f t="shared" ca="1" si="15"/>
        <v/>
      </c>
      <c r="P396" s="9"/>
      <c r="Q396" s="5"/>
      <c r="R396" s="9"/>
    </row>
    <row r="397" spans="1:18">
      <c r="A397" s="7" t="str">
        <f t="shared" si="16"/>
        <v/>
      </c>
      <c r="B397" s="5"/>
      <c r="C397" s="5"/>
      <c r="D397" s="5"/>
      <c r="E397" s="5"/>
      <c r="F397" s="7"/>
      <c r="G397" s="9"/>
      <c r="H397" s="5"/>
      <c r="I397" s="5"/>
      <c r="J397" s="5"/>
      <c r="K397" s="5"/>
      <c r="L397" s="5"/>
      <c r="M397" s="5"/>
      <c r="N397" s="9"/>
      <c r="O397" s="9" t="str">
        <f t="shared" ca="1" si="15"/>
        <v/>
      </c>
      <c r="P397" s="9"/>
      <c r="Q397" s="5"/>
      <c r="R397" s="9"/>
    </row>
    <row r="398" spans="1:18">
      <c r="A398" s="7" t="str">
        <f t="shared" si="16"/>
        <v/>
      </c>
      <c r="B398" s="5"/>
      <c r="C398" s="5"/>
      <c r="D398" s="5"/>
      <c r="E398" s="5"/>
      <c r="F398" s="7"/>
      <c r="G398" s="9"/>
      <c r="H398" s="5"/>
      <c r="I398" s="5"/>
      <c r="J398" s="5"/>
      <c r="K398" s="5"/>
      <c r="L398" s="5"/>
      <c r="M398" s="5"/>
      <c r="N398" s="9"/>
      <c r="O398" s="9" t="str">
        <f t="shared" ref="O398:O461" ca="1" si="17">IF(OR($B398="",$N398&lt;&gt;"Yes",$G398="",$M398=""),"",IF(AND(ISNUMBER($P398),$P398&lt;=TODAY()),$P398+IF($M398="Low",3,IF($M398="Medium",7,21)),$G398+IF($M398="Low",2,IF($M398="Medium",5,14))))</f>
        <v/>
      </c>
      <c r="P398" s="9"/>
      <c r="Q398" s="5"/>
      <c r="R398" s="9"/>
    </row>
    <row r="399" spans="1:18">
      <c r="A399" s="7" t="str">
        <f t="shared" si="16"/>
        <v/>
      </c>
      <c r="B399" s="5"/>
      <c r="C399" s="5"/>
      <c r="D399" s="5"/>
      <c r="E399" s="5"/>
      <c r="F399" s="7"/>
      <c r="G399" s="9"/>
      <c r="H399" s="5"/>
      <c r="I399" s="5"/>
      <c r="J399" s="5"/>
      <c r="K399" s="5"/>
      <c r="L399" s="5"/>
      <c r="M399" s="5"/>
      <c r="N399" s="9"/>
      <c r="O399" s="9" t="str">
        <f t="shared" ca="1" si="17"/>
        <v/>
      </c>
      <c r="P399" s="9"/>
      <c r="Q399" s="5"/>
      <c r="R399" s="9"/>
    </row>
    <row r="400" spans="1:18">
      <c r="A400" s="7" t="str">
        <f t="shared" si="16"/>
        <v/>
      </c>
      <c r="B400" s="5"/>
      <c r="C400" s="5"/>
      <c r="D400" s="5"/>
      <c r="E400" s="5"/>
      <c r="F400" s="7"/>
      <c r="G400" s="9"/>
      <c r="H400" s="5"/>
      <c r="I400" s="5"/>
      <c r="J400" s="5"/>
      <c r="K400" s="5"/>
      <c r="L400" s="5"/>
      <c r="M400" s="5"/>
      <c r="N400" s="9"/>
      <c r="O400" s="9" t="str">
        <f t="shared" ca="1" si="17"/>
        <v/>
      </c>
      <c r="P400" s="9"/>
      <c r="Q400" s="5"/>
      <c r="R400" s="9"/>
    </row>
    <row r="401" spans="1:18">
      <c r="A401" s="7" t="str">
        <f t="shared" si="16"/>
        <v/>
      </c>
      <c r="B401" s="5"/>
      <c r="C401" s="5"/>
      <c r="D401" s="5"/>
      <c r="E401" s="5"/>
      <c r="F401" s="7"/>
      <c r="G401" s="9"/>
      <c r="H401" s="5"/>
      <c r="I401" s="5"/>
      <c r="J401" s="5"/>
      <c r="K401" s="5"/>
      <c r="L401" s="5"/>
      <c r="M401" s="5"/>
      <c r="N401" s="9"/>
      <c r="O401" s="9" t="str">
        <f t="shared" ca="1" si="17"/>
        <v/>
      </c>
      <c r="P401" s="9"/>
      <c r="Q401" s="5"/>
      <c r="R401" s="9"/>
    </row>
    <row r="402" spans="1:18">
      <c r="A402" s="7" t="str">
        <f t="shared" si="16"/>
        <v/>
      </c>
      <c r="B402" s="5"/>
      <c r="C402" s="5"/>
      <c r="D402" s="5"/>
      <c r="E402" s="5"/>
      <c r="F402" s="7"/>
      <c r="G402" s="9"/>
      <c r="H402" s="5"/>
      <c r="I402" s="5"/>
      <c r="J402" s="5"/>
      <c r="K402" s="5"/>
      <c r="L402" s="5"/>
      <c r="M402" s="5"/>
      <c r="N402" s="9"/>
      <c r="O402" s="9" t="str">
        <f t="shared" ca="1" si="17"/>
        <v/>
      </c>
      <c r="P402" s="9"/>
      <c r="Q402" s="5"/>
      <c r="R402" s="9"/>
    </row>
    <row r="403" spans="1:18">
      <c r="A403" s="7" t="str">
        <f t="shared" si="16"/>
        <v/>
      </c>
      <c r="B403" s="5"/>
      <c r="C403" s="5"/>
      <c r="D403" s="5"/>
      <c r="E403" s="5"/>
      <c r="F403" s="7"/>
      <c r="G403" s="9"/>
      <c r="H403" s="5"/>
      <c r="I403" s="5"/>
      <c r="J403" s="5"/>
      <c r="K403" s="5"/>
      <c r="L403" s="5"/>
      <c r="M403" s="5"/>
      <c r="N403" s="9"/>
      <c r="O403" s="9" t="str">
        <f t="shared" ca="1" si="17"/>
        <v/>
      </c>
      <c r="P403" s="9"/>
      <c r="Q403" s="5"/>
      <c r="R403" s="9"/>
    </row>
    <row r="404" spans="1:18">
      <c r="A404" s="7" t="str">
        <f t="shared" si="16"/>
        <v/>
      </c>
      <c r="B404" s="5"/>
      <c r="C404" s="5"/>
      <c r="D404" s="5"/>
      <c r="E404" s="5"/>
      <c r="F404" s="7"/>
      <c r="G404" s="9"/>
      <c r="H404" s="5"/>
      <c r="I404" s="5"/>
      <c r="J404" s="5"/>
      <c r="K404" s="5"/>
      <c r="L404" s="5"/>
      <c r="M404" s="5"/>
      <c r="N404" s="9"/>
      <c r="O404" s="9" t="str">
        <f t="shared" ca="1" si="17"/>
        <v/>
      </c>
      <c r="P404" s="9"/>
      <c r="Q404" s="5"/>
      <c r="R404" s="9"/>
    </row>
    <row r="405" spans="1:18">
      <c r="A405" s="7" t="str">
        <f t="shared" si="16"/>
        <v/>
      </c>
      <c r="B405" s="5"/>
      <c r="C405" s="5"/>
      <c r="D405" s="5"/>
      <c r="E405" s="5"/>
      <c r="F405" s="7"/>
      <c r="G405" s="9"/>
      <c r="H405" s="5"/>
      <c r="I405" s="5"/>
      <c r="J405" s="5"/>
      <c r="K405" s="5"/>
      <c r="L405" s="5"/>
      <c r="M405" s="5"/>
      <c r="N405" s="9"/>
      <c r="O405" s="9" t="str">
        <f t="shared" ca="1" si="17"/>
        <v/>
      </c>
      <c r="P405" s="9"/>
      <c r="Q405" s="5"/>
      <c r="R405" s="9"/>
    </row>
    <row r="406" spans="1:18">
      <c r="A406" s="7" t="str">
        <f t="shared" si="16"/>
        <v/>
      </c>
      <c r="B406" s="5"/>
      <c r="C406" s="5"/>
      <c r="D406" s="5"/>
      <c r="E406" s="5"/>
      <c r="F406" s="7"/>
      <c r="G406" s="9"/>
      <c r="H406" s="5"/>
      <c r="I406" s="5"/>
      <c r="J406" s="5"/>
      <c r="K406" s="5"/>
      <c r="L406" s="5"/>
      <c r="M406" s="5"/>
      <c r="N406" s="9"/>
      <c r="O406" s="9" t="str">
        <f t="shared" ca="1" si="17"/>
        <v/>
      </c>
      <c r="P406" s="9"/>
      <c r="Q406" s="5"/>
      <c r="R406" s="9"/>
    </row>
    <row r="407" spans="1:18">
      <c r="A407" s="7" t="str">
        <f t="shared" si="16"/>
        <v/>
      </c>
      <c r="B407" s="5"/>
      <c r="C407" s="5"/>
      <c r="D407" s="5"/>
      <c r="E407" s="5"/>
      <c r="F407" s="7"/>
      <c r="G407" s="9"/>
      <c r="H407" s="5"/>
      <c r="I407" s="5"/>
      <c r="J407" s="5"/>
      <c r="K407" s="5"/>
      <c r="L407" s="5"/>
      <c r="M407" s="5"/>
      <c r="N407" s="9"/>
      <c r="O407" s="9" t="str">
        <f t="shared" ca="1" si="17"/>
        <v/>
      </c>
      <c r="P407" s="9"/>
      <c r="Q407" s="5"/>
      <c r="R407" s="9"/>
    </row>
    <row r="408" spans="1:18">
      <c r="A408" s="7" t="str">
        <f t="shared" si="16"/>
        <v/>
      </c>
      <c r="B408" s="5"/>
      <c r="C408" s="5"/>
      <c r="D408" s="5"/>
      <c r="E408" s="5"/>
      <c r="F408" s="7"/>
      <c r="G408" s="9"/>
      <c r="H408" s="5"/>
      <c r="I408" s="5"/>
      <c r="J408" s="5"/>
      <c r="K408" s="5"/>
      <c r="L408" s="5"/>
      <c r="M408" s="5"/>
      <c r="N408" s="9"/>
      <c r="O408" s="9" t="str">
        <f t="shared" ca="1" si="17"/>
        <v/>
      </c>
      <c r="P408" s="9"/>
      <c r="Q408" s="5"/>
      <c r="R408" s="9"/>
    </row>
    <row r="409" spans="1:18">
      <c r="A409" s="7" t="str">
        <f t="shared" si="16"/>
        <v/>
      </c>
      <c r="B409" s="5"/>
      <c r="C409" s="5"/>
      <c r="D409" s="5"/>
      <c r="E409" s="5"/>
      <c r="F409" s="7"/>
      <c r="G409" s="9"/>
      <c r="H409" s="5"/>
      <c r="I409" s="5"/>
      <c r="J409" s="5"/>
      <c r="K409" s="5"/>
      <c r="L409" s="5"/>
      <c r="M409" s="5"/>
      <c r="N409" s="9"/>
      <c r="O409" s="9" t="str">
        <f t="shared" ca="1" si="17"/>
        <v/>
      </c>
      <c r="P409" s="9"/>
      <c r="Q409" s="5"/>
      <c r="R409" s="9"/>
    </row>
    <row r="410" spans="1:18">
      <c r="A410" s="7" t="str">
        <f t="shared" si="16"/>
        <v/>
      </c>
      <c r="B410" s="5"/>
      <c r="C410" s="5"/>
      <c r="D410" s="5"/>
      <c r="E410" s="5"/>
      <c r="F410" s="7"/>
      <c r="G410" s="9"/>
      <c r="H410" s="5"/>
      <c r="I410" s="5"/>
      <c r="J410" s="5"/>
      <c r="K410" s="5"/>
      <c r="L410" s="5"/>
      <c r="M410" s="5"/>
      <c r="N410" s="9"/>
      <c r="O410" s="9" t="str">
        <f t="shared" ca="1" si="17"/>
        <v/>
      </c>
      <c r="P410" s="9"/>
      <c r="Q410" s="5"/>
      <c r="R410" s="9"/>
    </row>
    <row r="411" spans="1:18">
      <c r="A411" s="7" t="str">
        <f t="shared" si="16"/>
        <v/>
      </c>
      <c r="B411" s="5"/>
      <c r="C411" s="5"/>
      <c r="D411" s="5"/>
      <c r="E411" s="5"/>
      <c r="F411" s="7"/>
      <c r="G411" s="9"/>
      <c r="H411" s="5"/>
      <c r="I411" s="5"/>
      <c r="J411" s="5"/>
      <c r="K411" s="5"/>
      <c r="L411" s="5"/>
      <c r="M411" s="5"/>
      <c r="N411" s="9"/>
      <c r="O411" s="9" t="str">
        <f t="shared" ca="1" si="17"/>
        <v/>
      </c>
      <c r="P411" s="9"/>
      <c r="Q411" s="5"/>
      <c r="R411" s="9"/>
    </row>
    <row r="412" spans="1:18">
      <c r="A412" s="7" t="str">
        <f t="shared" si="16"/>
        <v/>
      </c>
      <c r="B412" s="5"/>
      <c r="C412" s="5"/>
      <c r="D412" s="5"/>
      <c r="E412" s="5"/>
      <c r="F412" s="7"/>
      <c r="G412" s="9"/>
      <c r="H412" s="5"/>
      <c r="I412" s="5"/>
      <c r="J412" s="5"/>
      <c r="K412" s="5"/>
      <c r="L412" s="5"/>
      <c r="M412" s="5"/>
      <c r="N412" s="9"/>
      <c r="O412" s="9" t="str">
        <f t="shared" ca="1" si="17"/>
        <v/>
      </c>
      <c r="P412" s="9"/>
      <c r="Q412" s="5"/>
      <c r="R412" s="9"/>
    </row>
    <row r="413" spans="1:18">
      <c r="A413" s="7" t="str">
        <f t="shared" si="16"/>
        <v/>
      </c>
      <c r="B413" s="5"/>
      <c r="C413" s="5"/>
      <c r="D413" s="5"/>
      <c r="E413" s="5"/>
      <c r="F413" s="7"/>
      <c r="G413" s="9"/>
      <c r="H413" s="5"/>
      <c r="I413" s="5"/>
      <c r="J413" s="5"/>
      <c r="K413" s="5"/>
      <c r="L413" s="5"/>
      <c r="M413" s="5"/>
      <c r="N413" s="9"/>
      <c r="O413" s="9" t="str">
        <f t="shared" ca="1" si="17"/>
        <v/>
      </c>
      <c r="P413" s="9"/>
      <c r="Q413" s="5"/>
      <c r="R413" s="9"/>
    </row>
    <row r="414" spans="1:18">
      <c r="A414" s="7" t="str">
        <f t="shared" si="16"/>
        <v/>
      </c>
      <c r="B414" s="5"/>
      <c r="C414" s="5"/>
      <c r="D414" s="5"/>
      <c r="E414" s="5"/>
      <c r="F414" s="7"/>
      <c r="G414" s="9"/>
      <c r="H414" s="5"/>
      <c r="I414" s="5"/>
      <c r="J414" s="5"/>
      <c r="K414" s="5"/>
      <c r="L414" s="5"/>
      <c r="M414" s="5"/>
      <c r="N414" s="9"/>
      <c r="O414" s="9" t="str">
        <f t="shared" ca="1" si="17"/>
        <v/>
      </c>
      <c r="P414" s="9"/>
      <c r="Q414" s="5"/>
      <c r="R414" s="9"/>
    </row>
    <row r="415" spans="1:18">
      <c r="A415" s="7" t="str">
        <f t="shared" si="16"/>
        <v/>
      </c>
      <c r="B415" s="5"/>
      <c r="C415" s="5"/>
      <c r="D415" s="5"/>
      <c r="E415" s="5"/>
      <c r="F415" s="7"/>
      <c r="G415" s="9"/>
      <c r="H415" s="5"/>
      <c r="I415" s="5"/>
      <c r="J415" s="5"/>
      <c r="K415" s="5"/>
      <c r="L415" s="5"/>
      <c r="M415" s="5"/>
      <c r="N415" s="9"/>
      <c r="O415" s="9" t="str">
        <f t="shared" ca="1" si="17"/>
        <v/>
      </c>
      <c r="P415" s="9"/>
      <c r="Q415" s="5"/>
      <c r="R415" s="9"/>
    </row>
    <row r="416" spans="1:18">
      <c r="A416" s="7" t="str">
        <f t="shared" si="16"/>
        <v/>
      </c>
      <c r="B416" s="5"/>
      <c r="C416" s="5"/>
      <c r="D416" s="5"/>
      <c r="E416" s="5"/>
      <c r="F416" s="7"/>
      <c r="G416" s="9"/>
      <c r="H416" s="5"/>
      <c r="I416" s="5"/>
      <c r="J416" s="5"/>
      <c r="K416" s="5"/>
      <c r="L416" s="5"/>
      <c r="M416" s="5"/>
      <c r="N416" s="9"/>
      <c r="O416" s="9" t="str">
        <f t="shared" ca="1" si="17"/>
        <v/>
      </c>
      <c r="P416" s="9"/>
      <c r="Q416" s="5"/>
      <c r="R416" s="9"/>
    </row>
    <row r="417" spans="1:18">
      <c r="A417" s="7" t="str">
        <f t="shared" si="16"/>
        <v/>
      </c>
      <c r="B417" s="5"/>
      <c r="C417" s="5"/>
      <c r="D417" s="5"/>
      <c r="E417" s="5"/>
      <c r="F417" s="7"/>
      <c r="G417" s="9"/>
      <c r="H417" s="5"/>
      <c r="I417" s="5"/>
      <c r="J417" s="5"/>
      <c r="K417" s="5"/>
      <c r="L417" s="5"/>
      <c r="M417" s="5"/>
      <c r="N417" s="9"/>
      <c r="O417" s="9" t="str">
        <f t="shared" ca="1" si="17"/>
        <v/>
      </c>
      <c r="P417" s="9"/>
      <c r="Q417" s="5"/>
      <c r="R417" s="9"/>
    </row>
    <row r="418" spans="1:18">
      <c r="A418" s="7" t="str">
        <f t="shared" si="16"/>
        <v/>
      </c>
      <c r="B418" s="5"/>
      <c r="C418" s="5"/>
      <c r="D418" s="5"/>
      <c r="E418" s="5"/>
      <c r="F418" s="7"/>
      <c r="G418" s="9"/>
      <c r="H418" s="5"/>
      <c r="I418" s="5"/>
      <c r="J418" s="5"/>
      <c r="K418" s="5"/>
      <c r="L418" s="5"/>
      <c r="M418" s="5"/>
      <c r="N418" s="9"/>
      <c r="O418" s="9" t="str">
        <f t="shared" ca="1" si="17"/>
        <v/>
      </c>
      <c r="P418" s="9"/>
      <c r="Q418" s="5"/>
      <c r="R418" s="9"/>
    </row>
    <row r="419" spans="1:18">
      <c r="A419" s="7" t="str">
        <f t="shared" si="16"/>
        <v/>
      </c>
      <c r="B419" s="5"/>
      <c r="C419" s="5"/>
      <c r="D419" s="5"/>
      <c r="E419" s="5"/>
      <c r="F419" s="7"/>
      <c r="G419" s="9"/>
      <c r="H419" s="5"/>
      <c r="I419" s="5"/>
      <c r="J419" s="5"/>
      <c r="K419" s="5"/>
      <c r="L419" s="5"/>
      <c r="M419" s="5"/>
      <c r="N419" s="9"/>
      <c r="O419" s="9" t="str">
        <f t="shared" ca="1" si="17"/>
        <v/>
      </c>
      <c r="P419" s="9"/>
      <c r="Q419" s="5"/>
      <c r="R419" s="9"/>
    </row>
    <row r="420" spans="1:18">
      <c r="A420" s="7" t="str">
        <f t="shared" si="16"/>
        <v/>
      </c>
      <c r="B420" s="5"/>
      <c r="C420" s="5"/>
      <c r="D420" s="5"/>
      <c r="E420" s="5"/>
      <c r="F420" s="7"/>
      <c r="G420" s="9"/>
      <c r="H420" s="5"/>
      <c r="I420" s="5"/>
      <c r="J420" s="5"/>
      <c r="K420" s="5"/>
      <c r="L420" s="5"/>
      <c r="M420" s="5"/>
      <c r="N420" s="9"/>
      <c r="O420" s="9" t="str">
        <f t="shared" ca="1" si="17"/>
        <v/>
      </c>
      <c r="P420" s="9"/>
      <c r="Q420" s="5"/>
      <c r="R420" s="9"/>
    </row>
    <row r="421" spans="1:18">
      <c r="A421" s="7" t="str">
        <f t="shared" si="16"/>
        <v/>
      </c>
      <c r="B421" s="5"/>
      <c r="C421" s="5"/>
      <c r="D421" s="5"/>
      <c r="E421" s="5"/>
      <c r="F421" s="7"/>
      <c r="G421" s="9"/>
      <c r="H421" s="5"/>
      <c r="I421" s="5"/>
      <c r="J421" s="5"/>
      <c r="K421" s="5"/>
      <c r="L421" s="5"/>
      <c r="M421" s="5"/>
      <c r="N421" s="9"/>
      <c r="O421" s="9" t="str">
        <f t="shared" ca="1" si="17"/>
        <v/>
      </c>
      <c r="P421" s="9"/>
      <c r="Q421" s="5"/>
      <c r="R421" s="9"/>
    </row>
    <row r="422" spans="1:18">
      <c r="A422" s="7" t="str">
        <f t="shared" si="16"/>
        <v/>
      </c>
      <c r="B422" s="5"/>
      <c r="C422" s="5"/>
      <c r="D422" s="5"/>
      <c r="E422" s="5"/>
      <c r="F422" s="7"/>
      <c r="G422" s="9"/>
      <c r="H422" s="5"/>
      <c r="I422" s="5"/>
      <c r="J422" s="5"/>
      <c r="K422" s="5"/>
      <c r="L422" s="5"/>
      <c r="M422" s="5"/>
      <c r="N422" s="9"/>
      <c r="O422" s="9" t="str">
        <f t="shared" ca="1" si="17"/>
        <v/>
      </c>
      <c r="P422" s="9"/>
      <c r="Q422" s="5"/>
      <c r="R422" s="9"/>
    </row>
    <row r="423" spans="1:18">
      <c r="A423" s="7" t="str">
        <f t="shared" si="16"/>
        <v/>
      </c>
      <c r="B423" s="5"/>
      <c r="C423" s="5"/>
      <c r="D423" s="5"/>
      <c r="E423" s="5"/>
      <c r="F423" s="7"/>
      <c r="G423" s="9"/>
      <c r="H423" s="5"/>
      <c r="I423" s="5"/>
      <c r="J423" s="5"/>
      <c r="K423" s="5"/>
      <c r="L423" s="5"/>
      <c r="M423" s="5"/>
      <c r="N423" s="9"/>
      <c r="O423" s="9" t="str">
        <f t="shared" ca="1" si="17"/>
        <v/>
      </c>
      <c r="P423" s="9"/>
      <c r="Q423" s="5"/>
      <c r="R423" s="9"/>
    </row>
    <row r="424" spans="1:18">
      <c r="A424" s="7" t="str">
        <f t="shared" si="16"/>
        <v/>
      </c>
      <c r="B424" s="5"/>
      <c r="C424" s="5"/>
      <c r="D424" s="5"/>
      <c r="E424" s="5"/>
      <c r="F424" s="7"/>
      <c r="G424" s="9"/>
      <c r="H424" s="5"/>
      <c r="I424" s="5"/>
      <c r="J424" s="5"/>
      <c r="K424" s="5"/>
      <c r="L424" s="5"/>
      <c r="M424" s="5"/>
      <c r="N424" s="9"/>
      <c r="O424" s="9" t="str">
        <f t="shared" ca="1" si="17"/>
        <v/>
      </c>
      <c r="P424" s="9"/>
      <c r="Q424" s="5"/>
      <c r="R424" s="9"/>
    </row>
    <row r="425" spans="1:18">
      <c r="A425" s="7" t="str">
        <f t="shared" si="16"/>
        <v/>
      </c>
      <c r="B425" s="5"/>
      <c r="C425" s="5"/>
      <c r="D425" s="5"/>
      <c r="E425" s="5"/>
      <c r="F425" s="7"/>
      <c r="G425" s="9"/>
      <c r="H425" s="5"/>
      <c r="I425" s="5"/>
      <c r="J425" s="5"/>
      <c r="K425" s="5"/>
      <c r="L425" s="5"/>
      <c r="M425" s="5"/>
      <c r="N425" s="9"/>
      <c r="O425" s="9" t="str">
        <f t="shared" ca="1" si="17"/>
        <v/>
      </c>
      <c r="P425" s="9"/>
      <c r="Q425" s="5"/>
      <c r="R425" s="9"/>
    </row>
    <row r="426" spans="1:18">
      <c r="A426" s="7" t="str">
        <f t="shared" si="16"/>
        <v/>
      </c>
      <c r="B426" s="5"/>
      <c r="C426" s="5"/>
      <c r="D426" s="5"/>
      <c r="E426" s="5"/>
      <c r="F426" s="7"/>
      <c r="G426" s="9"/>
      <c r="H426" s="5"/>
      <c r="I426" s="5"/>
      <c r="J426" s="5"/>
      <c r="K426" s="5"/>
      <c r="L426" s="5"/>
      <c r="M426" s="5"/>
      <c r="N426" s="9"/>
      <c r="O426" s="9" t="str">
        <f t="shared" ca="1" si="17"/>
        <v/>
      </c>
      <c r="P426" s="9"/>
      <c r="Q426" s="5"/>
      <c r="R426" s="9"/>
    </row>
    <row r="427" spans="1:18">
      <c r="A427" s="7" t="str">
        <f t="shared" si="16"/>
        <v/>
      </c>
      <c r="B427" s="5"/>
      <c r="C427" s="5"/>
      <c r="D427" s="5"/>
      <c r="E427" s="5"/>
      <c r="F427" s="7"/>
      <c r="G427" s="9"/>
      <c r="H427" s="5"/>
      <c r="I427" s="5"/>
      <c r="J427" s="5"/>
      <c r="K427" s="5"/>
      <c r="L427" s="5"/>
      <c r="M427" s="5"/>
      <c r="N427" s="9"/>
      <c r="O427" s="9" t="str">
        <f t="shared" ca="1" si="17"/>
        <v/>
      </c>
      <c r="P427" s="9"/>
      <c r="Q427" s="5"/>
      <c r="R427" s="9"/>
    </row>
    <row r="428" spans="1:18">
      <c r="A428" s="7" t="str">
        <f t="shared" si="16"/>
        <v/>
      </c>
      <c r="B428" s="5"/>
      <c r="C428" s="5"/>
      <c r="D428" s="5"/>
      <c r="E428" s="5"/>
      <c r="F428" s="7"/>
      <c r="G428" s="9"/>
      <c r="H428" s="5"/>
      <c r="I428" s="5"/>
      <c r="J428" s="5"/>
      <c r="K428" s="5"/>
      <c r="L428" s="5"/>
      <c r="M428" s="5"/>
      <c r="N428" s="9"/>
      <c r="O428" s="9" t="str">
        <f t="shared" ca="1" si="17"/>
        <v/>
      </c>
      <c r="P428" s="9"/>
      <c r="Q428" s="5"/>
      <c r="R428" s="9"/>
    </row>
    <row r="429" spans="1:18">
      <c r="A429" s="7" t="str">
        <f t="shared" si="16"/>
        <v/>
      </c>
      <c r="B429" s="5"/>
      <c r="C429" s="5"/>
      <c r="D429" s="5"/>
      <c r="E429" s="5"/>
      <c r="F429" s="7"/>
      <c r="G429" s="9"/>
      <c r="H429" s="5"/>
      <c r="I429" s="5"/>
      <c r="J429" s="5"/>
      <c r="K429" s="5"/>
      <c r="L429" s="5"/>
      <c r="M429" s="5"/>
      <c r="N429" s="9"/>
      <c r="O429" s="9" t="str">
        <f t="shared" ca="1" si="17"/>
        <v/>
      </c>
      <c r="P429" s="9"/>
      <c r="Q429" s="5"/>
      <c r="R429" s="9"/>
    </row>
    <row r="430" spans="1:18">
      <c r="A430" s="7" t="str">
        <f t="shared" si="16"/>
        <v/>
      </c>
      <c r="B430" s="5"/>
      <c r="C430" s="5"/>
      <c r="D430" s="5"/>
      <c r="E430" s="5"/>
      <c r="F430" s="7"/>
      <c r="G430" s="9"/>
      <c r="H430" s="5"/>
      <c r="I430" s="5"/>
      <c r="J430" s="5"/>
      <c r="K430" s="5"/>
      <c r="L430" s="5"/>
      <c r="M430" s="5"/>
      <c r="N430" s="9"/>
      <c r="O430" s="9" t="str">
        <f t="shared" ca="1" si="17"/>
        <v/>
      </c>
      <c r="P430" s="9"/>
      <c r="Q430" s="5"/>
      <c r="R430" s="9"/>
    </row>
    <row r="431" spans="1:18">
      <c r="A431" s="7" t="str">
        <f t="shared" si="16"/>
        <v/>
      </c>
      <c r="B431" s="5"/>
      <c r="C431" s="5"/>
      <c r="D431" s="5"/>
      <c r="E431" s="5"/>
      <c r="F431" s="7"/>
      <c r="G431" s="9"/>
      <c r="H431" s="5"/>
      <c r="I431" s="5"/>
      <c r="J431" s="5"/>
      <c r="K431" s="5"/>
      <c r="L431" s="5"/>
      <c r="M431" s="5"/>
      <c r="N431" s="9"/>
      <c r="O431" s="9" t="str">
        <f t="shared" ca="1" si="17"/>
        <v/>
      </c>
      <c r="P431" s="9"/>
      <c r="Q431" s="5"/>
      <c r="R431" s="9"/>
    </row>
    <row r="432" spans="1:18">
      <c r="A432" s="7" t="str">
        <f t="shared" si="16"/>
        <v/>
      </c>
      <c r="B432" s="5"/>
      <c r="C432" s="5"/>
      <c r="D432" s="5"/>
      <c r="E432" s="5"/>
      <c r="F432" s="7"/>
      <c r="G432" s="9"/>
      <c r="H432" s="5"/>
      <c r="I432" s="5"/>
      <c r="J432" s="5"/>
      <c r="K432" s="5"/>
      <c r="L432" s="5"/>
      <c r="M432" s="5"/>
      <c r="N432" s="9"/>
      <c r="O432" s="9" t="str">
        <f t="shared" ca="1" si="17"/>
        <v/>
      </c>
      <c r="P432" s="9"/>
      <c r="Q432" s="5"/>
      <c r="R432" s="9"/>
    </row>
    <row r="433" spans="1:18">
      <c r="A433" s="7" t="str">
        <f t="shared" si="16"/>
        <v/>
      </c>
      <c r="B433" s="5"/>
      <c r="C433" s="5"/>
      <c r="D433" s="5"/>
      <c r="E433" s="5"/>
      <c r="F433" s="7"/>
      <c r="G433" s="9"/>
      <c r="H433" s="5"/>
      <c r="I433" s="5"/>
      <c r="J433" s="5"/>
      <c r="K433" s="5"/>
      <c r="L433" s="5"/>
      <c r="M433" s="5"/>
      <c r="N433" s="9"/>
      <c r="O433" s="9" t="str">
        <f t="shared" ca="1" si="17"/>
        <v/>
      </c>
      <c r="P433" s="9"/>
      <c r="Q433" s="5"/>
      <c r="R433" s="9"/>
    </row>
    <row r="434" spans="1:18">
      <c r="A434" s="7" t="str">
        <f t="shared" si="16"/>
        <v/>
      </c>
      <c r="B434" s="5"/>
      <c r="C434" s="5"/>
      <c r="D434" s="5"/>
      <c r="E434" s="5"/>
      <c r="F434" s="7"/>
      <c r="G434" s="9"/>
      <c r="H434" s="5"/>
      <c r="I434" s="5"/>
      <c r="J434" s="5"/>
      <c r="K434" s="5"/>
      <c r="L434" s="5"/>
      <c r="M434" s="5"/>
      <c r="N434" s="9"/>
      <c r="O434" s="9" t="str">
        <f t="shared" ca="1" si="17"/>
        <v/>
      </c>
      <c r="P434" s="9"/>
      <c r="Q434" s="5"/>
      <c r="R434" s="9"/>
    </row>
    <row r="435" spans="1:18">
      <c r="A435" s="7" t="str">
        <f t="shared" si="16"/>
        <v/>
      </c>
      <c r="B435" s="5"/>
      <c r="C435" s="5"/>
      <c r="D435" s="5"/>
      <c r="E435" s="5"/>
      <c r="F435" s="7"/>
      <c r="G435" s="9"/>
      <c r="H435" s="5"/>
      <c r="I435" s="5"/>
      <c r="J435" s="5"/>
      <c r="K435" s="5"/>
      <c r="L435" s="5"/>
      <c r="M435" s="5"/>
      <c r="N435" s="9"/>
      <c r="O435" s="9" t="str">
        <f t="shared" ca="1" si="17"/>
        <v/>
      </c>
      <c r="P435" s="9"/>
      <c r="Q435" s="5"/>
      <c r="R435" s="9"/>
    </row>
    <row r="436" spans="1:18">
      <c r="A436" s="7" t="str">
        <f t="shared" si="16"/>
        <v/>
      </c>
      <c r="B436" s="5"/>
      <c r="C436" s="5"/>
      <c r="D436" s="5"/>
      <c r="E436" s="5"/>
      <c r="F436" s="7"/>
      <c r="G436" s="9"/>
      <c r="H436" s="5"/>
      <c r="I436" s="5"/>
      <c r="J436" s="5"/>
      <c r="K436" s="5"/>
      <c r="L436" s="5"/>
      <c r="M436" s="5"/>
      <c r="N436" s="9"/>
      <c r="O436" s="9" t="str">
        <f t="shared" ca="1" si="17"/>
        <v/>
      </c>
      <c r="P436" s="9"/>
      <c r="Q436" s="5"/>
      <c r="R436" s="9"/>
    </row>
    <row r="437" spans="1:18">
      <c r="A437" s="7" t="str">
        <f t="shared" si="16"/>
        <v/>
      </c>
      <c r="B437" s="5"/>
      <c r="C437" s="5"/>
      <c r="D437" s="5"/>
      <c r="E437" s="5"/>
      <c r="F437" s="7"/>
      <c r="G437" s="9"/>
      <c r="H437" s="5"/>
      <c r="I437" s="5"/>
      <c r="J437" s="5"/>
      <c r="K437" s="5"/>
      <c r="L437" s="5"/>
      <c r="M437" s="5"/>
      <c r="N437" s="9"/>
      <c r="O437" s="9" t="str">
        <f t="shared" ca="1" si="17"/>
        <v/>
      </c>
      <c r="P437" s="9"/>
      <c r="Q437" s="5"/>
      <c r="R437" s="9"/>
    </row>
    <row r="438" spans="1:18">
      <c r="A438" s="7" t="str">
        <f t="shared" si="16"/>
        <v/>
      </c>
      <c r="B438" s="5"/>
      <c r="C438" s="5"/>
      <c r="D438" s="5"/>
      <c r="E438" s="5"/>
      <c r="F438" s="7"/>
      <c r="G438" s="9"/>
      <c r="H438" s="5"/>
      <c r="I438" s="5"/>
      <c r="J438" s="5"/>
      <c r="K438" s="5"/>
      <c r="L438" s="5"/>
      <c r="M438" s="5"/>
      <c r="N438" s="9"/>
      <c r="O438" s="9" t="str">
        <f t="shared" ca="1" si="17"/>
        <v/>
      </c>
      <c r="P438" s="9"/>
      <c r="Q438" s="5"/>
      <c r="R438" s="9"/>
    </row>
    <row r="439" spans="1:18">
      <c r="A439" s="7" t="str">
        <f t="shared" si="16"/>
        <v/>
      </c>
      <c r="B439" s="5"/>
      <c r="C439" s="5"/>
      <c r="D439" s="5"/>
      <c r="E439" s="5"/>
      <c r="F439" s="7"/>
      <c r="G439" s="9"/>
      <c r="H439" s="5"/>
      <c r="I439" s="5"/>
      <c r="J439" s="5"/>
      <c r="K439" s="5"/>
      <c r="L439" s="5"/>
      <c r="M439" s="5"/>
      <c r="N439" s="9"/>
      <c r="O439" s="9" t="str">
        <f t="shared" ca="1" si="17"/>
        <v/>
      </c>
      <c r="P439" s="9"/>
      <c r="Q439" s="5"/>
      <c r="R439" s="9"/>
    </row>
    <row r="440" spans="1:18">
      <c r="A440" s="7" t="str">
        <f t="shared" si="16"/>
        <v/>
      </c>
      <c r="B440" s="5"/>
      <c r="C440" s="5"/>
      <c r="D440" s="5"/>
      <c r="E440" s="5"/>
      <c r="F440" s="7"/>
      <c r="G440" s="9"/>
      <c r="H440" s="5"/>
      <c r="I440" s="5"/>
      <c r="J440" s="5"/>
      <c r="K440" s="5"/>
      <c r="L440" s="5"/>
      <c r="M440" s="5"/>
      <c r="N440" s="9"/>
      <c r="O440" s="9" t="str">
        <f t="shared" ca="1" si="17"/>
        <v/>
      </c>
      <c r="P440" s="9"/>
      <c r="Q440" s="5"/>
      <c r="R440" s="9"/>
    </row>
    <row r="441" spans="1:18">
      <c r="A441" s="7" t="str">
        <f t="shared" si="16"/>
        <v/>
      </c>
      <c r="B441" s="5"/>
      <c r="C441" s="5"/>
      <c r="D441" s="5"/>
      <c r="E441" s="5"/>
      <c r="F441" s="7"/>
      <c r="G441" s="9"/>
      <c r="H441" s="5"/>
      <c r="I441" s="5"/>
      <c r="J441" s="5"/>
      <c r="K441" s="5"/>
      <c r="L441" s="5"/>
      <c r="M441" s="5"/>
      <c r="N441" s="9"/>
      <c r="O441" s="9" t="str">
        <f t="shared" ca="1" si="17"/>
        <v/>
      </c>
      <c r="P441" s="9"/>
      <c r="Q441" s="5"/>
      <c r="R441" s="9"/>
    </row>
    <row r="442" spans="1:18">
      <c r="A442" s="7" t="str">
        <f t="shared" si="16"/>
        <v/>
      </c>
      <c r="B442" s="5"/>
      <c r="C442" s="5"/>
      <c r="D442" s="5"/>
      <c r="E442" s="5"/>
      <c r="F442" s="7"/>
      <c r="G442" s="9"/>
      <c r="H442" s="5"/>
      <c r="I442" s="5"/>
      <c r="J442" s="5"/>
      <c r="K442" s="5"/>
      <c r="L442" s="5"/>
      <c r="M442" s="5"/>
      <c r="N442" s="9"/>
      <c r="O442" s="9" t="str">
        <f t="shared" ca="1" si="17"/>
        <v/>
      </c>
      <c r="P442" s="9"/>
      <c r="Q442" s="5"/>
      <c r="R442" s="9"/>
    </row>
    <row r="443" spans="1:18">
      <c r="A443" s="7" t="str">
        <f t="shared" si="16"/>
        <v/>
      </c>
      <c r="B443" s="5"/>
      <c r="C443" s="5"/>
      <c r="D443" s="5"/>
      <c r="E443" s="5"/>
      <c r="F443" s="7"/>
      <c r="G443" s="9"/>
      <c r="H443" s="5"/>
      <c r="I443" s="5"/>
      <c r="J443" s="5"/>
      <c r="K443" s="5"/>
      <c r="L443" s="5"/>
      <c r="M443" s="5"/>
      <c r="N443" s="9"/>
      <c r="O443" s="9" t="str">
        <f t="shared" ca="1" si="17"/>
        <v/>
      </c>
      <c r="P443" s="9"/>
      <c r="Q443" s="5"/>
      <c r="R443" s="9"/>
    </row>
    <row r="444" spans="1:18">
      <c r="A444" s="7" t="str">
        <f t="shared" si="16"/>
        <v/>
      </c>
      <c r="B444" s="5"/>
      <c r="C444" s="5"/>
      <c r="D444" s="5"/>
      <c r="E444" s="5"/>
      <c r="F444" s="7"/>
      <c r="G444" s="9"/>
      <c r="H444" s="5"/>
      <c r="I444" s="5"/>
      <c r="J444" s="5"/>
      <c r="K444" s="5"/>
      <c r="L444" s="5"/>
      <c r="M444" s="5"/>
      <c r="N444" s="9"/>
      <c r="O444" s="9" t="str">
        <f t="shared" ca="1" si="17"/>
        <v/>
      </c>
      <c r="P444" s="9"/>
      <c r="Q444" s="5"/>
      <c r="R444" s="9"/>
    </row>
    <row r="445" spans="1:18">
      <c r="A445" s="7" t="str">
        <f t="shared" si="16"/>
        <v/>
      </c>
      <c r="B445" s="5"/>
      <c r="C445" s="5"/>
      <c r="D445" s="5"/>
      <c r="E445" s="5"/>
      <c r="F445" s="7"/>
      <c r="G445" s="9"/>
      <c r="H445" s="5"/>
      <c r="I445" s="5"/>
      <c r="J445" s="5"/>
      <c r="K445" s="5"/>
      <c r="L445" s="5"/>
      <c r="M445" s="5"/>
      <c r="N445" s="9"/>
      <c r="O445" s="9" t="str">
        <f t="shared" ca="1" si="17"/>
        <v/>
      </c>
      <c r="P445" s="9"/>
      <c r="Q445" s="5"/>
      <c r="R445" s="9"/>
    </row>
    <row r="446" spans="1:18">
      <c r="A446" s="7" t="str">
        <f t="shared" si="16"/>
        <v/>
      </c>
      <c r="B446" s="5"/>
      <c r="C446" s="5"/>
      <c r="D446" s="5"/>
      <c r="E446" s="5"/>
      <c r="F446" s="7"/>
      <c r="G446" s="9"/>
      <c r="H446" s="5"/>
      <c r="I446" s="5"/>
      <c r="J446" s="5"/>
      <c r="K446" s="5"/>
      <c r="L446" s="5"/>
      <c r="M446" s="5"/>
      <c r="N446" s="9"/>
      <c r="O446" s="9" t="str">
        <f t="shared" ca="1" si="17"/>
        <v/>
      </c>
      <c r="P446" s="9"/>
      <c r="Q446" s="5"/>
      <c r="R446" s="9"/>
    </row>
    <row r="447" spans="1:18">
      <c r="A447" s="7" t="str">
        <f t="shared" si="16"/>
        <v/>
      </c>
      <c r="B447" s="5"/>
      <c r="C447" s="5"/>
      <c r="D447" s="5"/>
      <c r="E447" s="5"/>
      <c r="F447" s="7"/>
      <c r="G447" s="9"/>
      <c r="H447" s="5"/>
      <c r="I447" s="5"/>
      <c r="J447" s="5"/>
      <c r="K447" s="5"/>
      <c r="L447" s="5"/>
      <c r="M447" s="5"/>
      <c r="N447" s="9"/>
      <c r="O447" s="9" t="str">
        <f t="shared" ca="1" si="17"/>
        <v/>
      </c>
      <c r="P447" s="9"/>
      <c r="Q447" s="5"/>
      <c r="R447" s="9"/>
    </row>
    <row r="448" spans="1:18">
      <c r="A448" s="7" t="str">
        <f t="shared" si="16"/>
        <v/>
      </c>
      <c r="B448" s="5"/>
      <c r="C448" s="5"/>
      <c r="D448" s="5"/>
      <c r="E448" s="5"/>
      <c r="F448" s="7"/>
      <c r="G448" s="9"/>
      <c r="H448" s="5"/>
      <c r="I448" s="5"/>
      <c r="J448" s="5"/>
      <c r="K448" s="5"/>
      <c r="L448" s="5"/>
      <c r="M448" s="5"/>
      <c r="N448" s="9"/>
      <c r="O448" s="9" t="str">
        <f t="shared" ca="1" si="17"/>
        <v/>
      </c>
      <c r="P448" s="9"/>
      <c r="Q448" s="5"/>
      <c r="R448" s="9"/>
    </row>
    <row r="449" spans="1:18">
      <c r="A449" s="7" t="str">
        <f t="shared" si="16"/>
        <v/>
      </c>
      <c r="B449" s="5"/>
      <c r="C449" s="5"/>
      <c r="D449" s="5"/>
      <c r="E449" s="5"/>
      <c r="F449" s="7"/>
      <c r="G449" s="9"/>
      <c r="H449" s="5"/>
      <c r="I449" s="5"/>
      <c r="J449" s="5"/>
      <c r="K449" s="5"/>
      <c r="L449" s="5"/>
      <c r="M449" s="5"/>
      <c r="N449" s="9"/>
      <c r="O449" s="9" t="str">
        <f t="shared" ca="1" si="17"/>
        <v/>
      </c>
      <c r="P449" s="9"/>
      <c r="Q449" s="5"/>
      <c r="R449" s="9"/>
    </row>
    <row r="450" spans="1:18">
      <c r="A450" s="7" t="str">
        <f t="shared" si="16"/>
        <v/>
      </c>
      <c r="B450" s="5"/>
      <c r="C450" s="5"/>
      <c r="D450" s="5"/>
      <c r="E450" s="5"/>
      <c r="F450" s="7"/>
      <c r="G450" s="9"/>
      <c r="H450" s="5"/>
      <c r="I450" s="5"/>
      <c r="J450" s="5"/>
      <c r="K450" s="5"/>
      <c r="L450" s="5"/>
      <c r="M450" s="5"/>
      <c r="N450" s="9"/>
      <c r="O450" s="9" t="str">
        <f t="shared" ca="1" si="17"/>
        <v/>
      </c>
      <c r="P450" s="9"/>
      <c r="Q450" s="5"/>
      <c r="R450" s="9"/>
    </row>
    <row r="451" spans="1:18">
      <c r="A451" s="7" t="str">
        <f t="shared" si="16"/>
        <v/>
      </c>
      <c r="B451" s="5"/>
      <c r="C451" s="5"/>
      <c r="D451" s="5"/>
      <c r="E451" s="5"/>
      <c r="F451" s="7"/>
      <c r="G451" s="9"/>
      <c r="H451" s="5"/>
      <c r="I451" s="5"/>
      <c r="J451" s="5"/>
      <c r="K451" s="5"/>
      <c r="L451" s="5"/>
      <c r="M451" s="5"/>
      <c r="N451" s="9"/>
      <c r="O451" s="9" t="str">
        <f t="shared" ca="1" si="17"/>
        <v/>
      </c>
      <c r="P451" s="9"/>
      <c r="Q451" s="5"/>
      <c r="R451" s="9"/>
    </row>
    <row r="452" spans="1:18">
      <c r="A452" s="7" t="str">
        <f t="shared" ref="A452:A515" si="18">IF(B452="","",ROW()-3)</f>
        <v/>
      </c>
      <c r="B452" s="5"/>
      <c r="C452" s="5"/>
      <c r="D452" s="5"/>
      <c r="E452" s="5"/>
      <c r="F452" s="7"/>
      <c r="G452" s="9"/>
      <c r="H452" s="5"/>
      <c r="I452" s="5"/>
      <c r="J452" s="5"/>
      <c r="K452" s="5"/>
      <c r="L452" s="5"/>
      <c r="M452" s="5"/>
      <c r="N452" s="9"/>
      <c r="O452" s="9" t="str">
        <f t="shared" ca="1" si="17"/>
        <v/>
      </c>
      <c r="P452" s="9"/>
      <c r="Q452" s="5"/>
      <c r="R452" s="9"/>
    </row>
    <row r="453" spans="1:18">
      <c r="A453" s="7" t="str">
        <f t="shared" si="18"/>
        <v/>
      </c>
      <c r="B453" s="5"/>
      <c r="C453" s="5"/>
      <c r="D453" s="5"/>
      <c r="E453" s="5"/>
      <c r="F453" s="7"/>
      <c r="G453" s="9"/>
      <c r="H453" s="5"/>
      <c r="I453" s="5"/>
      <c r="J453" s="5"/>
      <c r="K453" s="5"/>
      <c r="L453" s="5"/>
      <c r="M453" s="5"/>
      <c r="N453" s="9"/>
      <c r="O453" s="9" t="str">
        <f t="shared" ca="1" si="17"/>
        <v/>
      </c>
      <c r="P453" s="9"/>
      <c r="Q453" s="5"/>
      <c r="R453" s="9"/>
    </row>
    <row r="454" spans="1:18">
      <c r="A454" s="7" t="str">
        <f t="shared" si="18"/>
        <v/>
      </c>
      <c r="B454" s="5"/>
      <c r="C454" s="5"/>
      <c r="D454" s="5"/>
      <c r="E454" s="5"/>
      <c r="F454" s="7"/>
      <c r="G454" s="9"/>
      <c r="H454" s="5"/>
      <c r="I454" s="5"/>
      <c r="J454" s="5"/>
      <c r="K454" s="5"/>
      <c r="L454" s="5"/>
      <c r="M454" s="5"/>
      <c r="N454" s="9"/>
      <c r="O454" s="9" t="str">
        <f t="shared" ca="1" si="17"/>
        <v/>
      </c>
      <c r="P454" s="9"/>
      <c r="Q454" s="5"/>
      <c r="R454" s="9"/>
    </row>
    <row r="455" spans="1:18">
      <c r="A455" s="7" t="str">
        <f t="shared" si="18"/>
        <v/>
      </c>
      <c r="B455" s="5"/>
      <c r="C455" s="5"/>
      <c r="D455" s="5"/>
      <c r="E455" s="5"/>
      <c r="F455" s="7"/>
      <c r="G455" s="9"/>
      <c r="H455" s="5"/>
      <c r="I455" s="5"/>
      <c r="J455" s="5"/>
      <c r="K455" s="5"/>
      <c r="L455" s="5"/>
      <c r="M455" s="5"/>
      <c r="N455" s="9"/>
      <c r="O455" s="9" t="str">
        <f t="shared" ca="1" si="17"/>
        <v/>
      </c>
      <c r="P455" s="9"/>
      <c r="Q455" s="5"/>
      <c r="R455" s="9"/>
    </row>
    <row r="456" spans="1:18">
      <c r="A456" s="7" t="str">
        <f t="shared" si="18"/>
        <v/>
      </c>
      <c r="B456" s="5"/>
      <c r="C456" s="5"/>
      <c r="D456" s="5"/>
      <c r="E456" s="5"/>
      <c r="F456" s="7"/>
      <c r="G456" s="9"/>
      <c r="H456" s="5"/>
      <c r="I456" s="5"/>
      <c r="J456" s="5"/>
      <c r="K456" s="5"/>
      <c r="L456" s="5"/>
      <c r="M456" s="5"/>
      <c r="N456" s="9"/>
      <c r="O456" s="9" t="str">
        <f t="shared" ca="1" si="17"/>
        <v/>
      </c>
      <c r="P456" s="9"/>
      <c r="Q456" s="5"/>
      <c r="R456" s="9"/>
    </row>
    <row r="457" spans="1:18">
      <c r="A457" s="7" t="str">
        <f t="shared" si="18"/>
        <v/>
      </c>
      <c r="B457" s="5"/>
      <c r="C457" s="5"/>
      <c r="D457" s="5"/>
      <c r="E457" s="5"/>
      <c r="F457" s="7"/>
      <c r="G457" s="9"/>
      <c r="H457" s="5"/>
      <c r="I457" s="5"/>
      <c r="J457" s="5"/>
      <c r="K457" s="5"/>
      <c r="L457" s="5"/>
      <c r="M457" s="5"/>
      <c r="N457" s="9"/>
      <c r="O457" s="9" t="str">
        <f t="shared" ca="1" si="17"/>
        <v/>
      </c>
      <c r="P457" s="9"/>
      <c r="Q457" s="5"/>
      <c r="R457" s="9"/>
    </row>
    <row r="458" spans="1:18">
      <c r="A458" s="7" t="str">
        <f t="shared" si="18"/>
        <v/>
      </c>
      <c r="B458" s="5"/>
      <c r="C458" s="5"/>
      <c r="D458" s="5"/>
      <c r="E458" s="5"/>
      <c r="F458" s="7"/>
      <c r="G458" s="9"/>
      <c r="H458" s="5"/>
      <c r="I458" s="5"/>
      <c r="J458" s="5"/>
      <c r="K458" s="5"/>
      <c r="L458" s="5"/>
      <c r="M458" s="5"/>
      <c r="N458" s="9"/>
      <c r="O458" s="9" t="str">
        <f t="shared" ca="1" si="17"/>
        <v/>
      </c>
      <c r="P458" s="9"/>
      <c r="Q458" s="5"/>
      <c r="R458" s="9"/>
    </row>
    <row r="459" spans="1:18">
      <c r="A459" s="7" t="str">
        <f t="shared" si="18"/>
        <v/>
      </c>
      <c r="B459" s="5"/>
      <c r="C459" s="5"/>
      <c r="D459" s="5"/>
      <c r="E459" s="5"/>
      <c r="F459" s="7"/>
      <c r="G459" s="9"/>
      <c r="H459" s="5"/>
      <c r="I459" s="5"/>
      <c r="J459" s="5"/>
      <c r="K459" s="5"/>
      <c r="L459" s="5"/>
      <c r="M459" s="5"/>
      <c r="N459" s="9"/>
      <c r="O459" s="9" t="str">
        <f t="shared" ca="1" si="17"/>
        <v/>
      </c>
      <c r="P459" s="9"/>
      <c r="Q459" s="5"/>
      <c r="R459" s="9"/>
    </row>
    <row r="460" spans="1:18">
      <c r="A460" s="7" t="str">
        <f t="shared" si="18"/>
        <v/>
      </c>
      <c r="B460" s="5"/>
      <c r="C460" s="5"/>
      <c r="D460" s="5"/>
      <c r="E460" s="5"/>
      <c r="F460" s="7"/>
      <c r="G460" s="9"/>
      <c r="H460" s="5"/>
      <c r="I460" s="5"/>
      <c r="J460" s="5"/>
      <c r="K460" s="5"/>
      <c r="L460" s="5"/>
      <c r="M460" s="5"/>
      <c r="N460" s="9"/>
      <c r="O460" s="9" t="str">
        <f t="shared" ca="1" si="17"/>
        <v/>
      </c>
      <c r="P460" s="9"/>
      <c r="Q460" s="5"/>
      <c r="R460" s="9"/>
    </row>
    <row r="461" spans="1:18">
      <c r="A461" s="7" t="str">
        <f t="shared" si="18"/>
        <v/>
      </c>
      <c r="B461" s="5"/>
      <c r="C461" s="5"/>
      <c r="D461" s="5"/>
      <c r="E461" s="5"/>
      <c r="F461" s="7"/>
      <c r="G461" s="9"/>
      <c r="H461" s="5"/>
      <c r="I461" s="5"/>
      <c r="J461" s="5"/>
      <c r="K461" s="5"/>
      <c r="L461" s="5"/>
      <c r="M461" s="5"/>
      <c r="N461" s="9"/>
      <c r="O461" s="9" t="str">
        <f t="shared" ca="1" si="17"/>
        <v/>
      </c>
      <c r="P461" s="9"/>
      <c r="Q461" s="5"/>
      <c r="R461" s="9"/>
    </row>
    <row r="462" spans="1:18">
      <c r="A462" s="7" t="str">
        <f t="shared" si="18"/>
        <v/>
      </c>
      <c r="B462" s="5"/>
      <c r="C462" s="5"/>
      <c r="D462" s="5"/>
      <c r="E462" s="5"/>
      <c r="F462" s="7"/>
      <c r="G462" s="9"/>
      <c r="H462" s="5"/>
      <c r="I462" s="5"/>
      <c r="J462" s="5"/>
      <c r="K462" s="5"/>
      <c r="L462" s="5"/>
      <c r="M462" s="5"/>
      <c r="N462" s="9"/>
      <c r="O462" s="9" t="str">
        <f t="shared" ref="O462:O525" ca="1" si="19">IF(OR($B462="",$N462&lt;&gt;"Yes",$G462="",$M462=""),"",IF(AND(ISNUMBER($P462),$P462&lt;=TODAY()),$P462+IF($M462="Low",3,IF($M462="Medium",7,21)),$G462+IF($M462="Low",2,IF($M462="Medium",5,14))))</f>
        <v/>
      </c>
      <c r="P462" s="9"/>
      <c r="Q462" s="5"/>
      <c r="R462" s="9"/>
    </row>
    <row r="463" spans="1:18">
      <c r="A463" s="7" t="str">
        <f t="shared" si="18"/>
        <v/>
      </c>
      <c r="B463" s="5"/>
      <c r="C463" s="5"/>
      <c r="D463" s="5"/>
      <c r="E463" s="5"/>
      <c r="F463" s="7"/>
      <c r="G463" s="9"/>
      <c r="H463" s="5"/>
      <c r="I463" s="5"/>
      <c r="J463" s="5"/>
      <c r="K463" s="5"/>
      <c r="L463" s="5"/>
      <c r="M463" s="5"/>
      <c r="N463" s="9"/>
      <c r="O463" s="9" t="str">
        <f t="shared" ca="1" si="19"/>
        <v/>
      </c>
      <c r="P463" s="9"/>
      <c r="Q463" s="5"/>
      <c r="R463" s="9"/>
    </row>
    <row r="464" spans="1:18">
      <c r="A464" s="7" t="str">
        <f t="shared" si="18"/>
        <v/>
      </c>
      <c r="B464" s="5"/>
      <c r="C464" s="5"/>
      <c r="D464" s="5"/>
      <c r="E464" s="5"/>
      <c r="F464" s="7"/>
      <c r="G464" s="9"/>
      <c r="H464" s="5"/>
      <c r="I464" s="5"/>
      <c r="J464" s="5"/>
      <c r="K464" s="5"/>
      <c r="L464" s="5"/>
      <c r="M464" s="5"/>
      <c r="N464" s="9"/>
      <c r="O464" s="9" t="str">
        <f t="shared" ca="1" si="19"/>
        <v/>
      </c>
      <c r="P464" s="9"/>
      <c r="Q464" s="5"/>
      <c r="R464" s="9"/>
    </row>
    <row r="465" spans="1:18">
      <c r="A465" s="7" t="str">
        <f t="shared" si="18"/>
        <v/>
      </c>
      <c r="B465" s="5"/>
      <c r="C465" s="5"/>
      <c r="D465" s="5"/>
      <c r="E465" s="5"/>
      <c r="F465" s="7"/>
      <c r="G465" s="9"/>
      <c r="H465" s="5"/>
      <c r="I465" s="5"/>
      <c r="J465" s="5"/>
      <c r="K465" s="5"/>
      <c r="L465" s="5"/>
      <c r="M465" s="5"/>
      <c r="N465" s="9"/>
      <c r="O465" s="9" t="str">
        <f t="shared" ca="1" si="19"/>
        <v/>
      </c>
      <c r="P465" s="9"/>
      <c r="Q465" s="5"/>
      <c r="R465" s="9"/>
    </row>
    <row r="466" spans="1:18">
      <c r="A466" s="7" t="str">
        <f t="shared" si="18"/>
        <v/>
      </c>
      <c r="B466" s="5"/>
      <c r="C466" s="5"/>
      <c r="D466" s="5"/>
      <c r="E466" s="5"/>
      <c r="F466" s="7"/>
      <c r="G466" s="9"/>
      <c r="H466" s="5"/>
      <c r="I466" s="5"/>
      <c r="J466" s="5"/>
      <c r="K466" s="5"/>
      <c r="L466" s="5"/>
      <c r="M466" s="5"/>
      <c r="N466" s="9"/>
      <c r="O466" s="9" t="str">
        <f t="shared" ca="1" si="19"/>
        <v/>
      </c>
      <c r="P466" s="9"/>
      <c r="Q466" s="5"/>
      <c r="R466" s="9"/>
    </row>
    <row r="467" spans="1:18">
      <c r="A467" s="7" t="str">
        <f t="shared" si="18"/>
        <v/>
      </c>
      <c r="B467" s="5"/>
      <c r="C467" s="5"/>
      <c r="D467" s="5"/>
      <c r="E467" s="5"/>
      <c r="F467" s="7"/>
      <c r="G467" s="9"/>
      <c r="H467" s="5"/>
      <c r="I467" s="5"/>
      <c r="J467" s="5"/>
      <c r="K467" s="5"/>
      <c r="L467" s="5"/>
      <c r="M467" s="5"/>
      <c r="N467" s="9"/>
      <c r="O467" s="9" t="str">
        <f t="shared" ca="1" si="19"/>
        <v/>
      </c>
      <c r="P467" s="9"/>
      <c r="Q467" s="5"/>
      <c r="R467" s="9"/>
    </row>
    <row r="468" spans="1:18">
      <c r="A468" s="7" t="str">
        <f t="shared" si="18"/>
        <v/>
      </c>
      <c r="B468" s="5"/>
      <c r="C468" s="5"/>
      <c r="D468" s="5"/>
      <c r="E468" s="5"/>
      <c r="F468" s="7"/>
      <c r="G468" s="9"/>
      <c r="H468" s="5"/>
      <c r="I468" s="5"/>
      <c r="J468" s="5"/>
      <c r="K468" s="5"/>
      <c r="L468" s="5"/>
      <c r="M468" s="5"/>
      <c r="N468" s="9"/>
      <c r="O468" s="9" t="str">
        <f t="shared" ca="1" si="19"/>
        <v/>
      </c>
      <c r="P468" s="9"/>
      <c r="Q468" s="5"/>
      <c r="R468" s="9"/>
    </row>
    <row r="469" spans="1:18">
      <c r="A469" s="7" t="str">
        <f t="shared" si="18"/>
        <v/>
      </c>
      <c r="B469" s="5"/>
      <c r="C469" s="5"/>
      <c r="D469" s="5"/>
      <c r="E469" s="5"/>
      <c r="F469" s="7"/>
      <c r="G469" s="9"/>
      <c r="H469" s="5"/>
      <c r="I469" s="5"/>
      <c r="J469" s="5"/>
      <c r="K469" s="5"/>
      <c r="L469" s="5"/>
      <c r="M469" s="5"/>
      <c r="N469" s="9"/>
      <c r="O469" s="9" t="str">
        <f t="shared" ca="1" si="19"/>
        <v/>
      </c>
      <c r="P469" s="9"/>
      <c r="Q469" s="5"/>
      <c r="R469" s="9"/>
    </row>
    <row r="470" spans="1:18">
      <c r="A470" s="7" t="str">
        <f t="shared" si="18"/>
        <v/>
      </c>
      <c r="B470" s="5"/>
      <c r="C470" s="5"/>
      <c r="D470" s="5"/>
      <c r="E470" s="5"/>
      <c r="F470" s="7"/>
      <c r="G470" s="9"/>
      <c r="H470" s="5"/>
      <c r="I470" s="5"/>
      <c r="J470" s="5"/>
      <c r="K470" s="5"/>
      <c r="L470" s="5"/>
      <c r="M470" s="5"/>
      <c r="N470" s="9"/>
      <c r="O470" s="9" t="str">
        <f t="shared" ca="1" si="19"/>
        <v/>
      </c>
      <c r="P470" s="9"/>
      <c r="Q470" s="5"/>
      <c r="R470" s="9"/>
    </row>
    <row r="471" spans="1:18">
      <c r="A471" s="7" t="str">
        <f t="shared" si="18"/>
        <v/>
      </c>
      <c r="B471" s="5"/>
      <c r="C471" s="5"/>
      <c r="D471" s="5"/>
      <c r="E471" s="5"/>
      <c r="F471" s="7"/>
      <c r="G471" s="9"/>
      <c r="H471" s="5"/>
      <c r="I471" s="5"/>
      <c r="J471" s="5"/>
      <c r="K471" s="5"/>
      <c r="L471" s="5"/>
      <c r="M471" s="5"/>
      <c r="N471" s="9"/>
      <c r="O471" s="9" t="str">
        <f t="shared" ca="1" si="19"/>
        <v/>
      </c>
      <c r="P471" s="9"/>
      <c r="Q471" s="5"/>
      <c r="R471" s="9"/>
    </row>
    <row r="472" spans="1:18">
      <c r="A472" s="7" t="str">
        <f t="shared" si="18"/>
        <v/>
      </c>
      <c r="B472" s="5"/>
      <c r="C472" s="5"/>
      <c r="D472" s="5"/>
      <c r="E472" s="5"/>
      <c r="F472" s="7"/>
      <c r="G472" s="9"/>
      <c r="H472" s="5"/>
      <c r="I472" s="5"/>
      <c r="J472" s="5"/>
      <c r="K472" s="5"/>
      <c r="L472" s="5"/>
      <c r="M472" s="5"/>
      <c r="N472" s="9"/>
      <c r="O472" s="9" t="str">
        <f t="shared" ca="1" si="19"/>
        <v/>
      </c>
      <c r="P472" s="9"/>
      <c r="Q472" s="5"/>
      <c r="R472" s="9"/>
    </row>
    <row r="473" spans="1:18">
      <c r="A473" s="7" t="str">
        <f t="shared" si="18"/>
        <v/>
      </c>
      <c r="B473" s="5"/>
      <c r="C473" s="5"/>
      <c r="D473" s="5"/>
      <c r="E473" s="5"/>
      <c r="F473" s="7"/>
      <c r="G473" s="9"/>
      <c r="H473" s="5"/>
      <c r="I473" s="5"/>
      <c r="J473" s="5"/>
      <c r="K473" s="5"/>
      <c r="L473" s="5"/>
      <c r="M473" s="5"/>
      <c r="N473" s="9"/>
      <c r="O473" s="9" t="str">
        <f t="shared" ca="1" si="19"/>
        <v/>
      </c>
      <c r="P473" s="9"/>
      <c r="Q473" s="5"/>
      <c r="R473" s="9"/>
    </row>
    <row r="474" spans="1:18">
      <c r="A474" s="7" t="str">
        <f t="shared" si="18"/>
        <v/>
      </c>
      <c r="B474" s="5"/>
      <c r="C474" s="5"/>
      <c r="D474" s="5"/>
      <c r="E474" s="5"/>
      <c r="F474" s="7"/>
      <c r="G474" s="9"/>
      <c r="H474" s="5"/>
      <c r="I474" s="5"/>
      <c r="J474" s="5"/>
      <c r="K474" s="5"/>
      <c r="L474" s="5"/>
      <c r="M474" s="5"/>
      <c r="N474" s="9"/>
      <c r="O474" s="9" t="str">
        <f t="shared" ca="1" si="19"/>
        <v/>
      </c>
      <c r="P474" s="9"/>
      <c r="Q474" s="5"/>
      <c r="R474" s="9"/>
    </row>
    <row r="475" spans="1:18">
      <c r="A475" s="7" t="str">
        <f t="shared" si="18"/>
        <v/>
      </c>
      <c r="B475" s="5"/>
      <c r="C475" s="5"/>
      <c r="D475" s="5"/>
      <c r="E475" s="5"/>
      <c r="F475" s="7"/>
      <c r="G475" s="9"/>
      <c r="H475" s="5"/>
      <c r="I475" s="5"/>
      <c r="J475" s="5"/>
      <c r="K475" s="5"/>
      <c r="L475" s="5"/>
      <c r="M475" s="5"/>
      <c r="N475" s="9"/>
      <c r="O475" s="9" t="str">
        <f t="shared" ca="1" si="19"/>
        <v/>
      </c>
      <c r="P475" s="9"/>
      <c r="Q475" s="5"/>
      <c r="R475" s="9"/>
    </row>
    <row r="476" spans="1:18">
      <c r="A476" s="7" t="str">
        <f t="shared" si="18"/>
        <v/>
      </c>
      <c r="B476" s="5"/>
      <c r="C476" s="5"/>
      <c r="D476" s="5"/>
      <c r="E476" s="5"/>
      <c r="F476" s="7"/>
      <c r="G476" s="9"/>
      <c r="H476" s="5"/>
      <c r="I476" s="5"/>
      <c r="J476" s="5"/>
      <c r="K476" s="5"/>
      <c r="L476" s="5"/>
      <c r="M476" s="5"/>
      <c r="N476" s="9"/>
      <c r="O476" s="9" t="str">
        <f t="shared" ca="1" si="19"/>
        <v/>
      </c>
      <c r="P476" s="9"/>
      <c r="Q476" s="5"/>
      <c r="R476" s="9"/>
    </row>
    <row r="477" spans="1:18">
      <c r="A477" s="7" t="str">
        <f t="shared" si="18"/>
        <v/>
      </c>
      <c r="B477" s="5"/>
      <c r="C477" s="5"/>
      <c r="D477" s="5"/>
      <c r="E477" s="5"/>
      <c r="F477" s="7"/>
      <c r="G477" s="9"/>
      <c r="H477" s="5"/>
      <c r="I477" s="5"/>
      <c r="J477" s="5"/>
      <c r="K477" s="5"/>
      <c r="L477" s="5"/>
      <c r="M477" s="5"/>
      <c r="N477" s="9"/>
      <c r="O477" s="9" t="str">
        <f t="shared" ca="1" si="19"/>
        <v/>
      </c>
      <c r="P477" s="9"/>
      <c r="Q477" s="5"/>
      <c r="R477" s="9"/>
    </row>
    <row r="478" spans="1:18">
      <c r="A478" s="7" t="str">
        <f t="shared" si="18"/>
        <v/>
      </c>
      <c r="B478" s="5"/>
      <c r="C478" s="5"/>
      <c r="D478" s="5"/>
      <c r="E478" s="5"/>
      <c r="F478" s="7"/>
      <c r="G478" s="9"/>
      <c r="H478" s="5"/>
      <c r="I478" s="5"/>
      <c r="J478" s="5"/>
      <c r="K478" s="5"/>
      <c r="L478" s="5"/>
      <c r="M478" s="5"/>
      <c r="N478" s="9"/>
      <c r="O478" s="9" t="str">
        <f t="shared" ca="1" si="19"/>
        <v/>
      </c>
      <c r="P478" s="9"/>
      <c r="Q478" s="5"/>
      <c r="R478" s="9"/>
    </row>
    <row r="479" spans="1:18">
      <c r="A479" s="7" t="str">
        <f t="shared" si="18"/>
        <v/>
      </c>
      <c r="B479" s="5"/>
      <c r="C479" s="5"/>
      <c r="D479" s="5"/>
      <c r="E479" s="5"/>
      <c r="F479" s="7"/>
      <c r="G479" s="9"/>
      <c r="H479" s="5"/>
      <c r="I479" s="5"/>
      <c r="J479" s="5"/>
      <c r="K479" s="5"/>
      <c r="L479" s="5"/>
      <c r="M479" s="5"/>
      <c r="N479" s="9"/>
      <c r="O479" s="9" t="str">
        <f t="shared" ca="1" si="19"/>
        <v/>
      </c>
      <c r="P479" s="9"/>
      <c r="Q479" s="5"/>
      <c r="R479" s="9"/>
    </row>
    <row r="480" spans="1:18">
      <c r="A480" s="7" t="str">
        <f t="shared" si="18"/>
        <v/>
      </c>
      <c r="B480" s="5"/>
      <c r="C480" s="5"/>
      <c r="D480" s="5"/>
      <c r="E480" s="5"/>
      <c r="F480" s="7"/>
      <c r="G480" s="9"/>
      <c r="H480" s="5"/>
      <c r="I480" s="5"/>
      <c r="J480" s="5"/>
      <c r="K480" s="5"/>
      <c r="L480" s="5"/>
      <c r="M480" s="5"/>
      <c r="N480" s="9"/>
      <c r="O480" s="9" t="str">
        <f t="shared" ca="1" si="19"/>
        <v/>
      </c>
      <c r="P480" s="9"/>
      <c r="Q480" s="5"/>
      <c r="R480" s="9"/>
    </row>
    <row r="481" spans="1:18">
      <c r="A481" s="7" t="str">
        <f t="shared" si="18"/>
        <v/>
      </c>
      <c r="B481" s="5"/>
      <c r="C481" s="5"/>
      <c r="D481" s="5"/>
      <c r="E481" s="5"/>
      <c r="F481" s="7"/>
      <c r="G481" s="9"/>
      <c r="H481" s="5"/>
      <c r="I481" s="5"/>
      <c r="J481" s="5"/>
      <c r="K481" s="5"/>
      <c r="L481" s="5"/>
      <c r="M481" s="5"/>
      <c r="N481" s="9"/>
      <c r="O481" s="9" t="str">
        <f t="shared" ca="1" si="19"/>
        <v/>
      </c>
      <c r="P481" s="9"/>
      <c r="Q481" s="5"/>
      <c r="R481" s="9"/>
    </row>
    <row r="482" spans="1:18">
      <c r="A482" s="7" t="str">
        <f t="shared" si="18"/>
        <v/>
      </c>
      <c r="B482" s="5"/>
      <c r="C482" s="5"/>
      <c r="D482" s="5"/>
      <c r="E482" s="5"/>
      <c r="F482" s="7"/>
      <c r="G482" s="9"/>
      <c r="H482" s="5"/>
      <c r="I482" s="5"/>
      <c r="J482" s="5"/>
      <c r="K482" s="5"/>
      <c r="L482" s="5"/>
      <c r="M482" s="5"/>
      <c r="N482" s="9"/>
      <c r="O482" s="9" t="str">
        <f t="shared" ca="1" si="19"/>
        <v/>
      </c>
      <c r="P482" s="9"/>
      <c r="Q482" s="5"/>
      <c r="R482" s="9"/>
    </row>
    <row r="483" spans="1:18">
      <c r="A483" s="7" t="str">
        <f t="shared" si="18"/>
        <v/>
      </c>
      <c r="B483" s="5"/>
      <c r="C483" s="5"/>
      <c r="D483" s="5"/>
      <c r="E483" s="5"/>
      <c r="F483" s="7"/>
      <c r="G483" s="9"/>
      <c r="H483" s="5"/>
      <c r="I483" s="5"/>
      <c r="J483" s="5"/>
      <c r="K483" s="5"/>
      <c r="L483" s="5"/>
      <c r="M483" s="5"/>
      <c r="N483" s="9"/>
      <c r="O483" s="9" t="str">
        <f t="shared" ca="1" si="19"/>
        <v/>
      </c>
      <c r="P483" s="9"/>
      <c r="Q483" s="5"/>
      <c r="R483" s="9"/>
    </row>
    <row r="484" spans="1:18">
      <c r="A484" s="7" t="str">
        <f t="shared" si="18"/>
        <v/>
      </c>
      <c r="B484" s="5"/>
      <c r="C484" s="5"/>
      <c r="D484" s="5"/>
      <c r="E484" s="5"/>
      <c r="F484" s="7"/>
      <c r="G484" s="9"/>
      <c r="H484" s="5"/>
      <c r="I484" s="5"/>
      <c r="J484" s="5"/>
      <c r="K484" s="5"/>
      <c r="L484" s="5"/>
      <c r="M484" s="5"/>
      <c r="N484" s="9"/>
      <c r="O484" s="9" t="str">
        <f t="shared" ca="1" si="19"/>
        <v/>
      </c>
      <c r="P484" s="9"/>
      <c r="Q484" s="5"/>
      <c r="R484" s="9"/>
    </row>
    <row r="485" spans="1:18">
      <c r="A485" s="7" t="str">
        <f t="shared" si="18"/>
        <v/>
      </c>
      <c r="B485" s="5"/>
      <c r="C485" s="5"/>
      <c r="D485" s="5"/>
      <c r="E485" s="5"/>
      <c r="F485" s="7"/>
      <c r="G485" s="9"/>
      <c r="H485" s="5"/>
      <c r="I485" s="5"/>
      <c r="J485" s="5"/>
      <c r="K485" s="5"/>
      <c r="L485" s="5"/>
      <c r="M485" s="5"/>
      <c r="N485" s="9"/>
      <c r="O485" s="9" t="str">
        <f t="shared" ca="1" si="19"/>
        <v/>
      </c>
      <c r="P485" s="9"/>
      <c r="Q485" s="5"/>
      <c r="R485" s="9"/>
    </row>
    <row r="486" spans="1:18">
      <c r="A486" s="7" t="str">
        <f t="shared" si="18"/>
        <v/>
      </c>
      <c r="B486" s="5"/>
      <c r="C486" s="5"/>
      <c r="D486" s="5"/>
      <c r="E486" s="5"/>
      <c r="F486" s="7"/>
      <c r="G486" s="9"/>
      <c r="H486" s="5"/>
      <c r="I486" s="5"/>
      <c r="J486" s="5"/>
      <c r="K486" s="5"/>
      <c r="L486" s="5"/>
      <c r="M486" s="5"/>
      <c r="N486" s="9"/>
      <c r="O486" s="9" t="str">
        <f t="shared" ca="1" si="19"/>
        <v/>
      </c>
      <c r="P486" s="9"/>
      <c r="Q486" s="5"/>
      <c r="R486" s="9"/>
    </row>
    <row r="487" spans="1:18">
      <c r="A487" s="7" t="str">
        <f t="shared" si="18"/>
        <v/>
      </c>
      <c r="B487" s="5"/>
      <c r="C487" s="5"/>
      <c r="D487" s="5"/>
      <c r="E487" s="5"/>
      <c r="F487" s="7"/>
      <c r="G487" s="9"/>
      <c r="H487" s="5"/>
      <c r="I487" s="5"/>
      <c r="J487" s="5"/>
      <c r="K487" s="5"/>
      <c r="L487" s="5"/>
      <c r="M487" s="5"/>
      <c r="N487" s="9"/>
      <c r="O487" s="9" t="str">
        <f t="shared" ca="1" si="19"/>
        <v/>
      </c>
      <c r="P487" s="9"/>
      <c r="Q487" s="5"/>
      <c r="R487" s="9"/>
    </row>
    <row r="488" spans="1:18">
      <c r="A488" s="7" t="str">
        <f t="shared" si="18"/>
        <v/>
      </c>
      <c r="B488" s="5"/>
      <c r="C488" s="5"/>
      <c r="D488" s="5"/>
      <c r="E488" s="5"/>
      <c r="F488" s="7"/>
      <c r="G488" s="9"/>
      <c r="H488" s="5"/>
      <c r="I488" s="5"/>
      <c r="J488" s="5"/>
      <c r="K488" s="5"/>
      <c r="L488" s="5"/>
      <c r="M488" s="5"/>
      <c r="N488" s="9"/>
      <c r="O488" s="9" t="str">
        <f t="shared" ca="1" si="19"/>
        <v/>
      </c>
      <c r="P488" s="9"/>
      <c r="Q488" s="5"/>
      <c r="R488" s="9"/>
    </row>
    <row r="489" spans="1:18">
      <c r="A489" s="7" t="str">
        <f t="shared" si="18"/>
        <v/>
      </c>
      <c r="B489" s="5"/>
      <c r="C489" s="5"/>
      <c r="D489" s="5"/>
      <c r="E489" s="5"/>
      <c r="F489" s="7"/>
      <c r="G489" s="9"/>
      <c r="H489" s="5"/>
      <c r="I489" s="5"/>
      <c r="J489" s="5"/>
      <c r="K489" s="5"/>
      <c r="L489" s="5"/>
      <c r="M489" s="5"/>
      <c r="N489" s="9"/>
      <c r="O489" s="9" t="str">
        <f t="shared" ca="1" si="19"/>
        <v/>
      </c>
      <c r="P489" s="9"/>
      <c r="Q489" s="5"/>
      <c r="R489" s="9"/>
    </row>
    <row r="490" spans="1:18">
      <c r="A490" s="7" t="str">
        <f t="shared" si="18"/>
        <v/>
      </c>
      <c r="B490" s="5"/>
      <c r="C490" s="5"/>
      <c r="D490" s="5"/>
      <c r="E490" s="5"/>
      <c r="F490" s="7"/>
      <c r="G490" s="9"/>
      <c r="H490" s="5"/>
      <c r="I490" s="5"/>
      <c r="J490" s="5"/>
      <c r="K490" s="5"/>
      <c r="L490" s="5"/>
      <c r="M490" s="5"/>
      <c r="N490" s="9"/>
      <c r="O490" s="9" t="str">
        <f t="shared" ca="1" si="19"/>
        <v/>
      </c>
      <c r="P490" s="9"/>
      <c r="Q490" s="5"/>
      <c r="R490" s="9"/>
    </row>
    <row r="491" spans="1:18">
      <c r="A491" s="7" t="str">
        <f t="shared" si="18"/>
        <v/>
      </c>
      <c r="B491" s="5"/>
      <c r="C491" s="5"/>
      <c r="D491" s="5"/>
      <c r="E491" s="5"/>
      <c r="F491" s="7"/>
      <c r="G491" s="9"/>
      <c r="H491" s="5"/>
      <c r="I491" s="5"/>
      <c r="J491" s="5"/>
      <c r="K491" s="5"/>
      <c r="L491" s="5"/>
      <c r="M491" s="5"/>
      <c r="N491" s="9"/>
      <c r="O491" s="9" t="str">
        <f t="shared" ca="1" si="19"/>
        <v/>
      </c>
      <c r="P491" s="9"/>
      <c r="Q491" s="5"/>
      <c r="R491" s="9"/>
    </row>
    <row r="492" spans="1:18">
      <c r="A492" s="7" t="str">
        <f t="shared" si="18"/>
        <v/>
      </c>
      <c r="B492" s="5"/>
      <c r="C492" s="5"/>
      <c r="D492" s="5"/>
      <c r="E492" s="5"/>
      <c r="F492" s="7"/>
      <c r="G492" s="9"/>
      <c r="H492" s="5"/>
      <c r="I492" s="5"/>
      <c r="J492" s="5"/>
      <c r="K492" s="5"/>
      <c r="L492" s="5"/>
      <c r="M492" s="5"/>
      <c r="N492" s="9"/>
      <c r="O492" s="9" t="str">
        <f t="shared" ca="1" si="19"/>
        <v/>
      </c>
      <c r="P492" s="9"/>
      <c r="Q492" s="5"/>
      <c r="R492" s="9"/>
    </row>
    <row r="493" spans="1:18">
      <c r="A493" s="7" t="str">
        <f t="shared" si="18"/>
        <v/>
      </c>
      <c r="B493" s="5"/>
      <c r="C493" s="5"/>
      <c r="D493" s="5"/>
      <c r="E493" s="5"/>
      <c r="F493" s="7"/>
      <c r="G493" s="9"/>
      <c r="H493" s="5"/>
      <c r="I493" s="5"/>
      <c r="J493" s="5"/>
      <c r="K493" s="5"/>
      <c r="L493" s="5"/>
      <c r="M493" s="5"/>
      <c r="N493" s="9"/>
      <c r="O493" s="9" t="str">
        <f t="shared" ca="1" si="19"/>
        <v/>
      </c>
      <c r="P493" s="9"/>
      <c r="Q493" s="5"/>
      <c r="R493" s="9"/>
    </row>
    <row r="494" spans="1:18">
      <c r="A494" s="7" t="str">
        <f t="shared" si="18"/>
        <v/>
      </c>
      <c r="B494" s="5"/>
      <c r="C494" s="5"/>
      <c r="D494" s="5"/>
      <c r="E494" s="5"/>
      <c r="F494" s="7"/>
      <c r="G494" s="9"/>
      <c r="H494" s="5"/>
      <c r="I494" s="5"/>
      <c r="J494" s="5"/>
      <c r="K494" s="5"/>
      <c r="L494" s="5"/>
      <c r="M494" s="5"/>
      <c r="N494" s="9"/>
      <c r="O494" s="9" t="str">
        <f t="shared" ca="1" si="19"/>
        <v/>
      </c>
      <c r="P494" s="9"/>
      <c r="Q494" s="5"/>
      <c r="R494" s="9"/>
    </row>
    <row r="495" spans="1:18">
      <c r="A495" s="7" t="str">
        <f t="shared" si="18"/>
        <v/>
      </c>
      <c r="B495" s="5"/>
      <c r="C495" s="5"/>
      <c r="D495" s="5"/>
      <c r="E495" s="5"/>
      <c r="F495" s="7"/>
      <c r="G495" s="9"/>
      <c r="H495" s="5"/>
      <c r="I495" s="5"/>
      <c r="J495" s="5"/>
      <c r="K495" s="5"/>
      <c r="L495" s="5"/>
      <c r="M495" s="5"/>
      <c r="N495" s="9"/>
      <c r="O495" s="9" t="str">
        <f t="shared" ca="1" si="19"/>
        <v/>
      </c>
      <c r="P495" s="9"/>
      <c r="Q495" s="5"/>
      <c r="R495" s="9"/>
    </row>
    <row r="496" spans="1:18">
      <c r="A496" s="7" t="str">
        <f t="shared" si="18"/>
        <v/>
      </c>
      <c r="B496" s="5"/>
      <c r="C496" s="5"/>
      <c r="D496" s="5"/>
      <c r="E496" s="5"/>
      <c r="F496" s="7"/>
      <c r="G496" s="9"/>
      <c r="H496" s="5"/>
      <c r="I496" s="5"/>
      <c r="J496" s="5"/>
      <c r="K496" s="5"/>
      <c r="L496" s="5"/>
      <c r="M496" s="5"/>
      <c r="N496" s="9"/>
      <c r="O496" s="9" t="str">
        <f t="shared" ca="1" si="19"/>
        <v/>
      </c>
      <c r="P496" s="9"/>
      <c r="Q496" s="5"/>
      <c r="R496" s="9"/>
    </row>
    <row r="497" spans="1:18">
      <c r="A497" s="7" t="str">
        <f t="shared" si="18"/>
        <v/>
      </c>
      <c r="B497" s="5"/>
      <c r="C497" s="5"/>
      <c r="D497" s="5"/>
      <c r="E497" s="5"/>
      <c r="F497" s="7"/>
      <c r="G497" s="9"/>
      <c r="H497" s="5"/>
      <c r="I497" s="5"/>
      <c r="J497" s="5"/>
      <c r="K497" s="5"/>
      <c r="L497" s="5"/>
      <c r="M497" s="5"/>
      <c r="N497" s="9"/>
      <c r="O497" s="9" t="str">
        <f t="shared" ca="1" si="19"/>
        <v/>
      </c>
      <c r="P497" s="9"/>
      <c r="Q497" s="5"/>
      <c r="R497" s="9"/>
    </row>
    <row r="498" spans="1:18">
      <c r="A498" s="7" t="str">
        <f t="shared" si="18"/>
        <v/>
      </c>
      <c r="B498" s="5"/>
      <c r="C498" s="5"/>
      <c r="D498" s="5"/>
      <c r="E498" s="5"/>
      <c r="F498" s="7"/>
      <c r="G498" s="9"/>
      <c r="H498" s="5"/>
      <c r="I498" s="5"/>
      <c r="J498" s="5"/>
      <c r="K498" s="5"/>
      <c r="L498" s="5"/>
      <c r="M498" s="5"/>
      <c r="N498" s="9"/>
      <c r="O498" s="9" t="str">
        <f t="shared" ca="1" si="19"/>
        <v/>
      </c>
      <c r="P498" s="9"/>
      <c r="Q498" s="5"/>
      <c r="R498" s="9"/>
    </row>
    <row r="499" spans="1:18">
      <c r="A499" s="7" t="str">
        <f t="shared" si="18"/>
        <v/>
      </c>
      <c r="B499" s="5"/>
      <c r="C499" s="5"/>
      <c r="D499" s="5"/>
      <c r="E499" s="5"/>
      <c r="F499" s="7"/>
      <c r="G499" s="9"/>
      <c r="H499" s="5"/>
      <c r="I499" s="5"/>
      <c r="J499" s="5"/>
      <c r="K499" s="5"/>
      <c r="L499" s="5"/>
      <c r="M499" s="5"/>
      <c r="N499" s="9"/>
      <c r="O499" s="9" t="str">
        <f t="shared" ca="1" si="19"/>
        <v/>
      </c>
      <c r="P499" s="9"/>
      <c r="Q499" s="5"/>
      <c r="R499" s="9"/>
    </row>
    <row r="500" spans="1:18">
      <c r="A500" s="7" t="str">
        <f t="shared" si="18"/>
        <v/>
      </c>
      <c r="B500" s="5"/>
      <c r="C500" s="5"/>
      <c r="D500" s="5"/>
      <c r="E500" s="5"/>
      <c r="F500" s="7"/>
      <c r="G500" s="9"/>
      <c r="H500" s="5"/>
      <c r="I500" s="5"/>
      <c r="J500" s="5"/>
      <c r="K500" s="5"/>
      <c r="L500" s="5"/>
      <c r="M500" s="5"/>
      <c r="N500" s="9"/>
      <c r="O500" s="9" t="str">
        <f t="shared" ca="1" si="19"/>
        <v/>
      </c>
      <c r="P500" s="9"/>
      <c r="Q500" s="5"/>
      <c r="R500" s="9"/>
    </row>
    <row r="501" spans="1:18">
      <c r="A501" s="7" t="str">
        <f t="shared" si="18"/>
        <v/>
      </c>
      <c r="B501" s="5"/>
      <c r="C501" s="5"/>
      <c r="D501" s="5"/>
      <c r="E501" s="5"/>
      <c r="F501" s="7"/>
      <c r="G501" s="9"/>
      <c r="H501" s="5"/>
      <c r="I501" s="5"/>
      <c r="J501" s="5"/>
      <c r="K501" s="5"/>
      <c r="L501" s="5"/>
      <c r="M501" s="5"/>
      <c r="N501" s="9"/>
      <c r="O501" s="9" t="str">
        <f t="shared" ca="1" si="19"/>
        <v/>
      </c>
      <c r="P501" s="9"/>
      <c r="Q501" s="5"/>
      <c r="R501" s="9"/>
    </row>
    <row r="502" spans="1:18">
      <c r="A502" s="7" t="str">
        <f t="shared" si="18"/>
        <v/>
      </c>
      <c r="B502" s="5"/>
      <c r="C502" s="5"/>
      <c r="D502" s="5"/>
      <c r="E502" s="5"/>
      <c r="F502" s="7"/>
      <c r="G502" s="9"/>
      <c r="H502" s="5"/>
      <c r="I502" s="5"/>
      <c r="J502" s="5"/>
      <c r="K502" s="5"/>
      <c r="L502" s="5"/>
      <c r="M502" s="5"/>
      <c r="N502" s="9"/>
      <c r="O502" s="9" t="str">
        <f t="shared" ca="1" si="19"/>
        <v/>
      </c>
      <c r="P502" s="9"/>
      <c r="Q502" s="5"/>
      <c r="R502" s="9"/>
    </row>
    <row r="503" spans="1:18">
      <c r="A503" s="7" t="str">
        <f t="shared" si="18"/>
        <v/>
      </c>
      <c r="B503" s="5"/>
      <c r="C503" s="5"/>
      <c r="D503" s="5"/>
      <c r="E503" s="5"/>
      <c r="F503" s="7"/>
      <c r="G503" s="9"/>
      <c r="H503" s="5"/>
      <c r="I503" s="5"/>
      <c r="J503" s="5"/>
      <c r="K503" s="5"/>
      <c r="L503" s="5"/>
      <c r="M503" s="5"/>
      <c r="N503" s="9"/>
      <c r="O503" s="9" t="str">
        <f t="shared" ca="1" si="19"/>
        <v/>
      </c>
      <c r="P503" s="9"/>
      <c r="Q503" s="5"/>
      <c r="R503" s="9"/>
    </row>
    <row r="504" spans="1:18">
      <c r="A504" s="7" t="str">
        <f t="shared" si="18"/>
        <v/>
      </c>
      <c r="B504" s="5"/>
      <c r="C504" s="5"/>
      <c r="D504" s="5"/>
      <c r="E504" s="5"/>
      <c r="F504" s="7"/>
      <c r="G504" s="9"/>
      <c r="H504" s="5"/>
      <c r="I504" s="5"/>
      <c r="J504" s="5"/>
      <c r="K504" s="5"/>
      <c r="L504" s="5"/>
      <c r="M504" s="5"/>
      <c r="N504" s="9"/>
      <c r="O504" s="9" t="str">
        <f t="shared" ca="1" si="19"/>
        <v/>
      </c>
      <c r="P504" s="9"/>
      <c r="Q504" s="5"/>
      <c r="R504" s="9"/>
    </row>
    <row r="505" spans="1:18">
      <c r="A505" s="7" t="str">
        <f t="shared" si="18"/>
        <v/>
      </c>
      <c r="B505" s="5"/>
      <c r="C505" s="5"/>
      <c r="D505" s="5"/>
      <c r="E505" s="5"/>
      <c r="F505" s="7"/>
      <c r="G505" s="9"/>
      <c r="H505" s="5"/>
      <c r="I505" s="5"/>
      <c r="J505" s="5"/>
      <c r="K505" s="5"/>
      <c r="L505" s="5"/>
      <c r="M505" s="5"/>
      <c r="N505" s="9"/>
      <c r="O505" s="9" t="str">
        <f t="shared" ca="1" si="19"/>
        <v/>
      </c>
      <c r="P505" s="9"/>
      <c r="Q505" s="5"/>
      <c r="R505" s="9"/>
    </row>
    <row r="506" spans="1:18">
      <c r="A506" s="7" t="str">
        <f t="shared" si="18"/>
        <v/>
      </c>
      <c r="B506" s="5"/>
      <c r="C506" s="5"/>
      <c r="D506" s="5"/>
      <c r="E506" s="5"/>
      <c r="F506" s="7"/>
      <c r="G506" s="9"/>
      <c r="H506" s="5"/>
      <c r="I506" s="5"/>
      <c r="J506" s="5"/>
      <c r="K506" s="5"/>
      <c r="L506" s="5"/>
      <c r="M506" s="5"/>
      <c r="N506" s="9"/>
      <c r="O506" s="9" t="str">
        <f t="shared" ca="1" si="19"/>
        <v/>
      </c>
      <c r="P506" s="9"/>
      <c r="Q506" s="5"/>
      <c r="R506" s="9"/>
    </row>
    <row r="507" spans="1:18">
      <c r="A507" s="7" t="str">
        <f t="shared" si="18"/>
        <v/>
      </c>
      <c r="B507" s="5"/>
      <c r="C507" s="5"/>
      <c r="D507" s="5"/>
      <c r="E507" s="5"/>
      <c r="F507" s="7"/>
      <c r="G507" s="9"/>
      <c r="H507" s="5"/>
      <c r="I507" s="5"/>
      <c r="J507" s="5"/>
      <c r="K507" s="5"/>
      <c r="L507" s="5"/>
      <c r="M507" s="5"/>
      <c r="N507" s="9"/>
      <c r="O507" s="9" t="str">
        <f t="shared" ca="1" si="19"/>
        <v/>
      </c>
      <c r="P507" s="9"/>
      <c r="Q507" s="5"/>
      <c r="R507" s="9"/>
    </row>
    <row r="508" spans="1:18">
      <c r="A508" s="7" t="str">
        <f t="shared" si="18"/>
        <v/>
      </c>
      <c r="B508" s="5"/>
      <c r="C508" s="5"/>
      <c r="D508" s="5"/>
      <c r="E508" s="5"/>
      <c r="F508" s="7"/>
      <c r="G508" s="9"/>
      <c r="H508" s="5"/>
      <c r="I508" s="5"/>
      <c r="J508" s="5"/>
      <c r="K508" s="5"/>
      <c r="L508" s="5"/>
      <c r="M508" s="5"/>
      <c r="N508" s="9"/>
      <c r="O508" s="9" t="str">
        <f t="shared" ca="1" si="19"/>
        <v/>
      </c>
      <c r="P508" s="9"/>
      <c r="Q508" s="5"/>
      <c r="R508" s="9"/>
    </row>
    <row r="509" spans="1:18">
      <c r="A509" s="7" t="str">
        <f t="shared" si="18"/>
        <v/>
      </c>
      <c r="B509" s="5"/>
      <c r="C509" s="5"/>
      <c r="D509" s="5"/>
      <c r="E509" s="5"/>
      <c r="F509" s="7"/>
      <c r="G509" s="9"/>
      <c r="H509" s="5"/>
      <c r="I509" s="5"/>
      <c r="J509" s="5"/>
      <c r="K509" s="5"/>
      <c r="L509" s="5"/>
      <c r="M509" s="5"/>
      <c r="N509" s="9"/>
      <c r="O509" s="9" t="str">
        <f t="shared" ca="1" si="19"/>
        <v/>
      </c>
      <c r="P509" s="9"/>
      <c r="Q509" s="5"/>
      <c r="R509" s="9"/>
    </row>
    <row r="510" spans="1:18">
      <c r="A510" s="7" t="str">
        <f t="shared" si="18"/>
        <v/>
      </c>
      <c r="B510" s="5"/>
      <c r="C510" s="5"/>
      <c r="D510" s="5"/>
      <c r="E510" s="5"/>
      <c r="F510" s="7"/>
      <c r="G510" s="9"/>
      <c r="H510" s="5"/>
      <c r="I510" s="5"/>
      <c r="J510" s="5"/>
      <c r="K510" s="5"/>
      <c r="L510" s="5"/>
      <c r="M510" s="5"/>
      <c r="N510" s="9"/>
      <c r="O510" s="9" t="str">
        <f t="shared" ca="1" si="19"/>
        <v/>
      </c>
      <c r="P510" s="9"/>
      <c r="Q510" s="5"/>
      <c r="R510" s="9"/>
    </row>
    <row r="511" spans="1:18">
      <c r="A511" s="7" t="str">
        <f t="shared" si="18"/>
        <v/>
      </c>
      <c r="B511" s="5"/>
      <c r="C511" s="5"/>
      <c r="D511" s="5"/>
      <c r="E511" s="5"/>
      <c r="F511" s="7"/>
      <c r="G511" s="9"/>
      <c r="H511" s="5"/>
      <c r="I511" s="5"/>
      <c r="J511" s="5"/>
      <c r="K511" s="5"/>
      <c r="L511" s="5"/>
      <c r="M511" s="5"/>
      <c r="N511" s="9"/>
      <c r="O511" s="9" t="str">
        <f t="shared" ca="1" si="19"/>
        <v/>
      </c>
      <c r="P511" s="9"/>
      <c r="Q511" s="5"/>
      <c r="R511" s="9"/>
    </row>
    <row r="512" spans="1:18">
      <c r="A512" s="7" t="str">
        <f t="shared" si="18"/>
        <v/>
      </c>
      <c r="B512" s="5"/>
      <c r="C512" s="5"/>
      <c r="D512" s="5"/>
      <c r="E512" s="5"/>
      <c r="F512" s="7"/>
      <c r="G512" s="9"/>
      <c r="H512" s="5"/>
      <c r="I512" s="5"/>
      <c r="J512" s="5"/>
      <c r="K512" s="5"/>
      <c r="L512" s="5"/>
      <c r="M512" s="5"/>
      <c r="N512" s="9"/>
      <c r="O512" s="9" t="str">
        <f t="shared" ca="1" si="19"/>
        <v/>
      </c>
      <c r="P512" s="9"/>
      <c r="Q512" s="5"/>
      <c r="R512" s="9"/>
    </row>
    <row r="513" spans="1:18">
      <c r="A513" s="7" t="str">
        <f t="shared" si="18"/>
        <v/>
      </c>
      <c r="B513" s="5"/>
      <c r="C513" s="5"/>
      <c r="D513" s="5"/>
      <c r="E513" s="5"/>
      <c r="F513" s="7"/>
      <c r="G513" s="9"/>
      <c r="H513" s="5"/>
      <c r="I513" s="5"/>
      <c r="J513" s="5"/>
      <c r="K513" s="5"/>
      <c r="L513" s="5"/>
      <c r="M513" s="5"/>
      <c r="N513" s="9"/>
      <c r="O513" s="9" t="str">
        <f t="shared" ca="1" si="19"/>
        <v/>
      </c>
      <c r="P513" s="9"/>
      <c r="Q513" s="5"/>
      <c r="R513" s="9"/>
    </row>
    <row r="514" spans="1:18">
      <c r="A514" s="7" t="str">
        <f t="shared" si="18"/>
        <v/>
      </c>
      <c r="B514" s="5"/>
      <c r="C514" s="5"/>
      <c r="D514" s="5"/>
      <c r="E514" s="5"/>
      <c r="F514" s="7"/>
      <c r="G514" s="9"/>
      <c r="H514" s="5"/>
      <c r="I514" s="5"/>
      <c r="J514" s="5"/>
      <c r="K514" s="5"/>
      <c r="L514" s="5"/>
      <c r="M514" s="5"/>
      <c r="N514" s="9"/>
      <c r="O514" s="9" t="str">
        <f t="shared" ca="1" si="19"/>
        <v/>
      </c>
      <c r="P514" s="9"/>
      <c r="Q514" s="5"/>
      <c r="R514" s="9"/>
    </row>
    <row r="515" spans="1:18">
      <c r="A515" s="7" t="str">
        <f t="shared" si="18"/>
        <v/>
      </c>
      <c r="B515" s="5"/>
      <c r="C515" s="5"/>
      <c r="D515" s="5"/>
      <c r="E515" s="5"/>
      <c r="F515" s="7"/>
      <c r="G515" s="9"/>
      <c r="H515" s="5"/>
      <c r="I515" s="5"/>
      <c r="J515" s="5"/>
      <c r="K515" s="5"/>
      <c r="L515" s="5"/>
      <c r="M515" s="5"/>
      <c r="N515" s="9"/>
      <c r="O515" s="9" t="str">
        <f t="shared" ca="1" si="19"/>
        <v/>
      </c>
      <c r="P515" s="9"/>
      <c r="Q515" s="5"/>
      <c r="R515" s="9"/>
    </row>
    <row r="516" spans="1:18">
      <c r="A516" s="7" t="str">
        <f t="shared" ref="A516:A579" si="20">IF(B516="","",ROW()-3)</f>
        <v/>
      </c>
      <c r="B516" s="5"/>
      <c r="C516" s="5"/>
      <c r="D516" s="5"/>
      <c r="E516" s="5"/>
      <c r="F516" s="7"/>
      <c r="G516" s="9"/>
      <c r="H516" s="5"/>
      <c r="I516" s="5"/>
      <c r="J516" s="5"/>
      <c r="K516" s="5"/>
      <c r="L516" s="5"/>
      <c r="M516" s="5"/>
      <c r="N516" s="9"/>
      <c r="O516" s="9" t="str">
        <f t="shared" ca="1" si="19"/>
        <v/>
      </c>
      <c r="P516" s="9"/>
      <c r="Q516" s="5"/>
      <c r="R516" s="9"/>
    </row>
    <row r="517" spans="1:18">
      <c r="A517" s="7" t="str">
        <f t="shared" si="20"/>
        <v/>
      </c>
      <c r="B517" s="5"/>
      <c r="C517" s="5"/>
      <c r="D517" s="5"/>
      <c r="E517" s="5"/>
      <c r="F517" s="7"/>
      <c r="G517" s="9"/>
      <c r="H517" s="5"/>
      <c r="I517" s="5"/>
      <c r="J517" s="5"/>
      <c r="K517" s="5"/>
      <c r="L517" s="5"/>
      <c r="M517" s="5"/>
      <c r="N517" s="9"/>
      <c r="O517" s="9" t="str">
        <f t="shared" ca="1" si="19"/>
        <v/>
      </c>
      <c r="P517" s="9"/>
      <c r="Q517" s="5"/>
      <c r="R517" s="9"/>
    </row>
    <row r="518" spans="1:18">
      <c r="A518" s="7" t="str">
        <f t="shared" si="20"/>
        <v/>
      </c>
      <c r="B518" s="5"/>
      <c r="C518" s="5"/>
      <c r="D518" s="5"/>
      <c r="E518" s="5"/>
      <c r="F518" s="7"/>
      <c r="G518" s="9"/>
      <c r="H518" s="5"/>
      <c r="I518" s="5"/>
      <c r="J518" s="5"/>
      <c r="K518" s="5"/>
      <c r="L518" s="5"/>
      <c r="M518" s="5"/>
      <c r="N518" s="9"/>
      <c r="O518" s="9" t="str">
        <f t="shared" ca="1" si="19"/>
        <v/>
      </c>
      <c r="P518" s="9"/>
      <c r="Q518" s="5"/>
      <c r="R518" s="9"/>
    </row>
    <row r="519" spans="1:18">
      <c r="A519" s="7" t="str">
        <f t="shared" si="20"/>
        <v/>
      </c>
      <c r="B519" s="5"/>
      <c r="C519" s="5"/>
      <c r="D519" s="5"/>
      <c r="E519" s="5"/>
      <c r="F519" s="7"/>
      <c r="G519" s="9"/>
      <c r="H519" s="5"/>
      <c r="I519" s="5"/>
      <c r="J519" s="5"/>
      <c r="K519" s="5"/>
      <c r="L519" s="5"/>
      <c r="M519" s="5"/>
      <c r="N519" s="9"/>
      <c r="O519" s="9" t="str">
        <f t="shared" ca="1" si="19"/>
        <v/>
      </c>
      <c r="P519" s="9"/>
      <c r="Q519" s="5"/>
      <c r="R519" s="9"/>
    </row>
    <row r="520" spans="1:18">
      <c r="A520" s="7" t="str">
        <f t="shared" si="20"/>
        <v/>
      </c>
      <c r="B520" s="5"/>
      <c r="C520" s="5"/>
      <c r="D520" s="5"/>
      <c r="E520" s="5"/>
      <c r="F520" s="7"/>
      <c r="G520" s="9"/>
      <c r="H520" s="5"/>
      <c r="I520" s="5"/>
      <c r="J520" s="5"/>
      <c r="K520" s="5"/>
      <c r="L520" s="5"/>
      <c r="M520" s="5"/>
      <c r="N520" s="9"/>
      <c r="O520" s="9" t="str">
        <f t="shared" ca="1" si="19"/>
        <v/>
      </c>
      <c r="P520" s="9"/>
      <c r="Q520" s="5"/>
      <c r="R520" s="9"/>
    </row>
    <row r="521" spans="1:18">
      <c r="A521" s="7" t="str">
        <f t="shared" si="20"/>
        <v/>
      </c>
      <c r="B521" s="5"/>
      <c r="C521" s="5"/>
      <c r="D521" s="5"/>
      <c r="E521" s="5"/>
      <c r="F521" s="7"/>
      <c r="G521" s="9"/>
      <c r="H521" s="5"/>
      <c r="I521" s="5"/>
      <c r="J521" s="5"/>
      <c r="K521" s="5"/>
      <c r="L521" s="5"/>
      <c r="M521" s="5"/>
      <c r="N521" s="9"/>
      <c r="O521" s="9" t="str">
        <f t="shared" ca="1" si="19"/>
        <v/>
      </c>
      <c r="P521" s="9"/>
      <c r="Q521" s="5"/>
      <c r="R521" s="9"/>
    </row>
    <row r="522" spans="1:18">
      <c r="A522" s="7" t="str">
        <f t="shared" si="20"/>
        <v/>
      </c>
      <c r="B522" s="5"/>
      <c r="C522" s="5"/>
      <c r="D522" s="5"/>
      <c r="E522" s="5"/>
      <c r="F522" s="7"/>
      <c r="G522" s="9"/>
      <c r="H522" s="5"/>
      <c r="I522" s="5"/>
      <c r="J522" s="5"/>
      <c r="K522" s="5"/>
      <c r="L522" s="5"/>
      <c r="M522" s="5"/>
      <c r="N522" s="9"/>
      <c r="O522" s="9" t="str">
        <f t="shared" ca="1" si="19"/>
        <v/>
      </c>
      <c r="P522" s="9"/>
      <c r="Q522" s="5"/>
      <c r="R522" s="9"/>
    </row>
    <row r="523" spans="1:18">
      <c r="A523" s="7" t="str">
        <f t="shared" si="20"/>
        <v/>
      </c>
      <c r="B523" s="5"/>
      <c r="C523" s="5"/>
      <c r="D523" s="5"/>
      <c r="E523" s="5"/>
      <c r="F523" s="7"/>
      <c r="G523" s="9"/>
      <c r="H523" s="5"/>
      <c r="I523" s="5"/>
      <c r="J523" s="5"/>
      <c r="K523" s="5"/>
      <c r="L523" s="5"/>
      <c r="M523" s="5"/>
      <c r="N523" s="9"/>
      <c r="O523" s="9" t="str">
        <f t="shared" ca="1" si="19"/>
        <v/>
      </c>
      <c r="P523" s="9"/>
      <c r="Q523" s="5"/>
      <c r="R523" s="9"/>
    </row>
    <row r="524" spans="1:18">
      <c r="A524" s="7" t="str">
        <f t="shared" si="20"/>
        <v/>
      </c>
      <c r="B524" s="5"/>
      <c r="C524" s="5"/>
      <c r="D524" s="5"/>
      <c r="E524" s="5"/>
      <c r="F524" s="7"/>
      <c r="G524" s="9"/>
      <c r="H524" s="5"/>
      <c r="I524" s="5"/>
      <c r="J524" s="5"/>
      <c r="K524" s="5"/>
      <c r="L524" s="5"/>
      <c r="M524" s="5"/>
      <c r="N524" s="9"/>
      <c r="O524" s="9" t="str">
        <f t="shared" ca="1" si="19"/>
        <v/>
      </c>
      <c r="P524" s="9"/>
      <c r="Q524" s="5"/>
      <c r="R524" s="9"/>
    </row>
    <row r="525" spans="1:18">
      <c r="A525" s="7" t="str">
        <f t="shared" si="20"/>
        <v/>
      </c>
      <c r="B525" s="5"/>
      <c r="C525" s="5"/>
      <c r="D525" s="5"/>
      <c r="E525" s="5"/>
      <c r="F525" s="7"/>
      <c r="G525" s="9"/>
      <c r="H525" s="5"/>
      <c r="I525" s="5"/>
      <c r="J525" s="5"/>
      <c r="K525" s="5"/>
      <c r="L525" s="5"/>
      <c r="M525" s="5"/>
      <c r="N525" s="9"/>
      <c r="O525" s="9" t="str">
        <f t="shared" ca="1" si="19"/>
        <v/>
      </c>
      <c r="P525" s="9"/>
      <c r="Q525" s="5"/>
      <c r="R525" s="9"/>
    </row>
    <row r="526" spans="1:18">
      <c r="A526" s="7" t="str">
        <f t="shared" si="20"/>
        <v/>
      </c>
      <c r="B526" s="5"/>
      <c r="C526" s="5"/>
      <c r="D526" s="5"/>
      <c r="E526" s="5"/>
      <c r="F526" s="7"/>
      <c r="G526" s="9"/>
      <c r="H526" s="5"/>
      <c r="I526" s="5"/>
      <c r="J526" s="5"/>
      <c r="K526" s="5"/>
      <c r="L526" s="5"/>
      <c r="M526" s="5"/>
      <c r="N526" s="9"/>
      <c r="O526" s="9" t="str">
        <f t="shared" ref="O526:O589" ca="1" si="21">IF(OR($B526="",$N526&lt;&gt;"Yes",$G526="",$M526=""),"",IF(AND(ISNUMBER($P526),$P526&lt;=TODAY()),$P526+IF($M526="Low",3,IF($M526="Medium",7,21)),$G526+IF($M526="Low",2,IF($M526="Medium",5,14))))</f>
        <v/>
      </c>
      <c r="P526" s="9"/>
      <c r="Q526" s="5"/>
      <c r="R526" s="9"/>
    </row>
    <row r="527" spans="1:18">
      <c r="A527" s="7" t="str">
        <f t="shared" si="20"/>
        <v/>
      </c>
      <c r="B527" s="5"/>
      <c r="C527" s="5"/>
      <c r="D527" s="5"/>
      <c r="E527" s="5"/>
      <c r="F527" s="7"/>
      <c r="G527" s="9"/>
      <c r="H527" s="5"/>
      <c r="I527" s="5"/>
      <c r="J527" s="5"/>
      <c r="K527" s="5"/>
      <c r="L527" s="5"/>
      <c r="M527" s="5"/>
      <c r="N527" s="9"/>
      <c r="O527" s="9" t="str">
        <f t="shared" ca="1" si="21"/>
        <v/>
      </c>
      <c r="P527" s="9"/>
      <c r="Q527" s="5"/>
      <c r="R527" s="9"/>
    </row>
    <row r="528" spans="1:18">
      <c r="A528" s="7" t="str">
        <f t="shared" si="20"/>
        <v/>
      </c>
      <c r="B528" s="5"/>
      <c r="C528" s="5"/>
      <c r="D528" s="5"/>
      <c r="E528" s="5"/>
      <c r="F528" s="7"/>
      <c r="G528" s="9"/>
      <c r="H528" s="5"/>
      <c r="I528" s="5"/>
      <c r="J528" s="5"/>
      <c r="K528" s="5"/>
      <c r="L528" s="5"/>
      <c r="M528" s="5"/>
      <c r="N528" s="9"/>
      <c r="O528" s="9" t="str">
        <f t="shared" ca="1" si="21"/>
        <v/>
      </c>
      <c r="P528" s="9"/>
      <c r="Q528" s="5"/>
      <c r="R528" s="9"/>
    </row>
    <row r="529" spans="1:18">
      <c r="A529" s="7" t="str">
        <f t="shared" si="20"/>
        <v/>
      </c>
      <c r="B529" s="5"/>
      <c r="C529" s="5"/>
      <c r="D529" s="5"/>
      <c r="E529" s="5"/>
      <c r="F529" s="7"/>
      <c r="G529" s="9"/>
      <c r="H529" s="5"/>
      <c r="I529" s="5"/>
      <c r="J529" s="5"/>
      <c r="K529" s="5"/>
      <c r="L529" s="5"/>
      <c r="M529" s="5"/>
      <c r="N529" s="9"/>
      <c r="O529" s="9" t="str">
        <f t="shared" ca="1" si="21"/>
        <v/>
      </c>
      <c r="P529" s="9"/>
      <c r="Q529" s="5"/>
      <c r="R529" s="9"/>
    </row>
    <row r="530" spans="1:18">
      <c r="A530" s="7" t="str">
        <f t="shared" si="20"/>
        <v/>
      </c>
      <c r="B530" s="5"/>
      <c r="C530" s="5"/>
      <c r="D530" s="5"/>
      <c r="E530" s="5"/>
      <c r="F530" s="7"/>
      <c r="G530" s="9"/>
      <c r="H530" s="5"/>
      <c r="I530" s="5"/>
      <c r="J530" s="5"/>
      <c r="K530" s="5"/>
      <c r="L530" s="5"/>
      <c r="M530" s="5"/>
      <c r="N530" s="9"/>
      <c r="O530" s="9" t="str">
        <f t="shared" ca="1" si="21"/>
        <v/>
      </c>
      <c r="P530" s="9"/>
      <c r="Q530" s="5"/>
      <c r="R530" s="9"/>
    </row>
    <row r="531" spans="1:18">
      <c r="A531" s="7" t="str">
        <f t="shared" si="20"/>
        <v/>
      </c>
      <c r="B531" s="5"/>
      <c r="C531" s="5"/>
      <c r="D531" s="5"/>
      <c r="E531" s="5"/>
      <c r="F531" s="7"/>
      <c r="G531" s="9"/>
      <c r="H531" s="5"/>
      <c r="I531" s="5"/>
      <c r="J531" s="5"/>
      <c r="K531" s="5"/>
      <c r="L531" s="5"/>
      <c r="M531" s="5"/>
      <c r="N531" s="9"/>
      <c r="O531" s="9" t="str">
        <f t="shared" ca="1" si="21"/>
        <v/>
      </c>
      <c r="P531" s="9"/>
      <c r="Q531" s="5"/>
      <c r="R531" s="9"/>
    </row>
    <row r="532" spans="1:18">
      <c r="A532" s="7" t="str">
        <f t="shared" si="20"/>
        <v/>
      </c>
      <c r="B532" s="5"/>
      <c r="C532" s="5"/>
      <c r="D532" s="5"/>
      <c r="E532" s="5"/>
      <c r="F532" s="7"/>
      <c r="G532" s="9"/>
      <c r="H532" s="5"/>
      <c r="I532" s="5"/>
      <c r="J532" s="5"/>
      <c r="K532" s="5"/>
      <c r="L532" s="5"/>
      <c r="M532" s="5"/>
      <c r="N532" s="9"/>
      <c r="O532" s="9" t="str">
        <f t="shared" ca="1" si="21"/>
        <v/>
      </c>
      <c r="P532" s="9"/>
      <c r="Q532" s="5"/>
      <c r="R532" s="9"/>
    </row>
    <row r="533" spans="1:18">
      <c r="A533" s="7" t="str">
        <f t="shared" si="20"/>
        <v/>
      </c>
      <c r="B533" s="5"/>
      <c r="C533" s="5"/>
      <c r="D533" s="5"/>
      <c r="E533" s="5"/>
      <c r="F533" s="7"/>
      <c r="G533" s="9"/>
      <c r="H533" s="5"/>
      <c r="I533" s="5"/>
      <c r="J533" s="5"/>
      <c r="K533" s="5"/>
      <c r="L533" s="5"/>
      <c r="M533" s="5"/>
      <c r="N533" s="9"/>
      <c r="O533" s="9" t="str">
        <f t="shared" ca="1" si="21"/>
        <v/>
      </c>
      <c r="P533" s="9"/>
      <c r="Q533" s="5"/>
      <c r="R533" s="9"/>
    </row>
    <row r="534" spans="1:18">
      <c r="A534" s="7" t="str">
        <f t="shared" si="20"/>
        <v/>
      </c>
      <c r="B534" s="5"/>
      <c r="C534" s="5"/>
      <c r="D534" s="5"/>
      <c r="E534" s="5"/>
      <c r="F534" s="7"/>
      <c r="G534" s="9"/>
      <c r="H534" s="5"/>
      <c r="I534" s="5"/>
      <c r="J534" s="5"/>
      <c r="K534" s="5"/>
      <c r="L534" s="5"/>
      <c r="M534" s="5"/>
      <c r="N534" s="9"/>
      <c r="O534" s="9" t="str">
        <f t="shared" ca="1" si="21"/>
        <v/>
      </c>
      <c r="P534" s="9"/>
      <c r="Q534" s="5"/>
      <c r="R534" s="9"/>
    </row>
    <row r="535" spans="1:18">
      <c r="A535" s="7" t="str">
        <f t="shared" si="20"/>
        <v/>
      </c>
      <c r="B535" s="5"/>
      <c r="C535" s="5"/>
      <c r="D535" s="5"/>
      <c r="E535" s="5"/>
      <c r="F535" s="7"/>
      <c r="G535" s="9"/>
      <c r="H535" s="5"/>
      <c r="I535" s="5"/>
      <c r="J535" s="5"/>
      <c r="K535" s="5"/>
      <c r="L535" s="5"/>
      <c r="M535" s="5"/>
      <c r="N535" s="9"/>
      <c r="O535" s="9" t="str">
        <f t="shared" ca="1" si="21"/>
        <v/>
      </c>
      <c r="P535" s="9"/>
      <c r="Q535" s="5"/>
      <c r="R535" s="9"/>
    </row>
    <row r="536" spans="1:18">
      <c r="A536" s="7" t="str">
        <f t="shared" si="20"/>
        <v/>
      </c>
      <c r="B536" s="5"/>
      <c r="C536" s="5"/>
      <c r="D536" s="5"/>
      <c r="E536" s="5"/>
      <c r="F536" s="7"/>
      <c r="G536" s="9"/>
      <c r="H536" s="5"/>
      <c r="I536" s="5"/>
      <c r="J536" s="5"/>
      <c r="K536" s="5"/>
      <c r="L536" s="5"/>
      <c r="M536" s="5"/>
      <c r="N536" s="9"/>
      <c r="O536" s="9" t="str">
        <f t="shared" ca="1" si="21"/>
        <v/>
      </c>
      <c r="P536" s="9"/>
      <c r="Q536" s="5"/>
      <c r="R536" s="9"/>
    </row>
    <row r="537" spans="1:18">
      <c r="A537" s="7" t="str">
        <f t="shared" si="20"/>
        <v/>
      </c>
      <c r="B537" s="5"/>
      <c r="C537" s="5"/>
      <c r="D537" s="5"/>
      <c r="E537" s="5"/>
      <c r="F537" s="7"/>
      <c r="G537" s="9"/>
      <c r="H537" s="5"/>
      <c r="I537" s="5"/>
      <c r="J537" s="5"/>
      <c r="K537" s="5"/>
      <c r="L537" s="5"/>
      <c r="M537" s="5"/>
      <c r="N537" s="9"/>
      <c r="O537" s="9" t="str">
        <f t="shared" ca="1" si="21"/>
        <v/>
      </c>
      <c r="P537" s="9"/>
      <c r="Q537" s="5"/>
      <c r="R537" s="9"/>
    </row>
    <row r="538" spans="1:18">
      <c r="A538" s="7" t="str">
        <f t="shared" si="20"/>
        <v/>
      </c>
      <c r="B538" s="5"/>
      <c r="C538" s="5"/>
      <c r="D538" s="5"/>
      <c r="E538" s="5"/>
      <c r="F538" s="7"/>
      <c r="G538" s="9"/>
      <c r="H538" s="5"/>
      <c r="I538" s="5"/>
      <c r="J538" s="5"/>
      <c r="K538" s="5"/>
      <c r="L538" s="5"/>
      <c r="M538" s="5"/>
      <c r="N538" s="9"/>
      <c r="O538" s="9" t="str">
        <f t="shared" ca="1" si="21"/>
        <v/>
      </c>
      <c r="P538" s="9"/>
      <c r="Q538" s="5"/>
      <c r="R538" s="9"/>
    </row>
    <row r="539" spans="1:18">
      <c r="A539" s="7" t="str">
        <f t="shared" si="20"/>
        <v/>
      </c>
      <c r="B539" s="5"/>
      <c r="C539" s="5"/>
      <c r="D539" s="5"/>
      <c r="E539" s="5"/>
      <c r="F539" s="7"/>
      <c r="G539" s="9"/>
      <c r="H539" s="5"/>
      <c r="I539" s="5"/>
      <c r="J539" s="5"/>
      <c r="K539" s="5"/>
      <c r="L539" s="5"/>
      <c r="M539" s="5"/>
      <c r="N539" s="9"/>
      <c r="O539" s="9" t="str">
        <f t="shared" ca="1" si="21"/>
        <v/>
      </c>
      <c r="P539" s="9"/>
      <c r="Q539" s="5"/>
      <c r="R539" s="9"/>
    </row>
    <row r="540" spans="1:18">
      <c r="A540" s="7" t="str">
        <f t="shared" si="20"/>
        <v/>
      </c>
      <c r="B540" s="5"/>
      <c r="C540" s="5"/>
      <c r="D540" s="5"/>
      <c r="E540" s="5"/>
      <c r="F540" s="7"/>
      <c r="G540" s="9"/>
      <c r="H540" s="5"/>
      <c r="I540" s="5"/>
      <c r="J540" s="5"/>
      <c r="K540" s="5"/>
      <c r="L540" s="5"/>
      <c r="M540" s="5"/>
      <c r="N540" s="9"/>
      <c r="O540" s="9" t="str">
        <f t="shared" ca="1" si="21"/>
        <v/>
      </c>
      <c r="P540" s="9"/>
      <c r="Q540" s="5"/>
      <c r="R540" s="9"/>
    </row>
    <row r="541" spans="1:18">
      <c r="A541" s="7" t="str">
        <f t="shared" si="20"/>
        <v/>
      </c>
      <c r="B541" s="5"/>
      <c r="C541" s="5"/>
      <c r="D541" s="5"/>
      <c r="E541" s="5"/>
      <c r="F541" s="7"/>
      <c r="G541" s="9"/>
      <c r="H541" s="5"/>
      <c r="I541" s="5"/>
      <c r="J541" s="5"/>
      <c r="K541" s="5"/>
      <c r="L541" s="5"/>
      <c r="M541" s="5"/>
      <c r="N541" s="9"/>
      <c r="O541" s="9" t="str">
        <f t="shared" ca="1" si="21"/>
        <v/>
      </c>
      <c r="P541" s="9"/>
      <c r="Q541" s="5"/>
      <c r="R541" s="9"/>
    </row>
    <row r="542" spans="1:18">
      <c r="A542" s="7" t="str">
        <f t="shared" si="20"/>
        <v/>
      </c>
      <c r="B542" s="5"/>
      <c r="C542" s="5"/>
      <c r="D542" s="5"/>
      <c r="E542" s="5"/>
      <c r="F542" s="7"/>
      <c r="G542" s="9"/>
      <c r="H542" s="5"/>
      <c r="I542" s="5"/>
      <c r="J542" s="5"/>
      <c r="K542" s="5"/>
      <c r="L542" s="5"/>
      <c r="M542" s="5"/>
      <c r="N542" s="9"/>
      <c r="O542" s="9" t="str">
        <f t="shared" ca="1" si="21"/>
        <v/>
      </c>
      <c r="P542" s="9"/>
      <c r="Q542" s="5"/>
      <c r="R542" s="9"/>
    </row>
    <row r="543" spans="1:18">
      <c r="A543" s="7" t="str">
        <f t="shared" si="20"/>
        <v/>
      </c>
      <c r="B543" s="5"/>
      <c r="C543" s="5"/>
      <c r="D543" s="5"/>
      <c r="E543" s="5"/>
      <c r="F543" s="7"/>
      <c r="G543" s="9"/>
      <c r="H543" s="5"/>
      <c r="I543" s="5"/>
      <c r="J543" s="5"/>
      <c r="K543" s="5"/>
      <c r="L543" s="5"/>
      <c r="M543" s="5"/>
      <c r="N543" s="9"/>
      <c r="O543" s="9" t="str">
        <f t="shared" ca="1" si="21"/>
        <v/>
      </c>
      <c r="P543" s="9"/>
      <c r="Q543" s="5"/>
      <c r="R543" s="9"/>
    </row>
    <row r="544" spans="1:18">
      <c r="A544" s="7" t="str">
        <f t="shared" si="20"/>
        <v/>
      </c>
      <c r="B544" s="5"/>
      <c r="C544" s="5"/>
      <c r="D544" s="5"/>
      <c r="E544" s="5"/>
      <c r="F544" s="7"/>
      <c r="G544" s="9"/>
      <c r="H544" s="5"/>
      <c r="I544" s="5"/>
      <c r="J544" s="5"/>
      <c r="K544" s="5"/>
      <c r="L544" s="5"/>
      <c r="M544" s="5"/>
      <c r="N544" s="9"/>
      <c r="O544" s="9" t="str">
        <f t="shared" ca="1" si="21"/>
        <v/>
      </c>
      <c r="P544" s="9"/>
      <c r="Q544" s="5"/>
      <c r="R544" s="9"/>
    </row>
    <row r="545" spans="1:18">
      <c r="A545" s="7" t="str">
        <f t="shared" si="20"/>
        <v/>
      </c>
      <c r="B545" s="5"/>
      <c r="C545" s="5"/>
      <c r="D545" s="5"/>
      <c r="E545" s="5"/>
      <c r="F545" s="7"/>
      <c r="G545" s="9"/>
      <c r="H545" s="5"/>
      <c r="I545" s="5"/>
      <c r="J545" s="5"/>
      <c r="K545" s="5"/>
      <c r="L545" s="5"/>
      <c r="M545" s="5"/>
      <c r="N545" s="9"/>
      <c r="O545" s="9" t="str">
        <f t="shared" ca="1" si="21"/>
        <v/>
      </c>
      <c r="P545" s="9"/>
      <c r="Q545" s="5"/>
      <c r="R545" s="9"/>
    </row>
    <row r="546" spans="1:18">
      <c r="A546" s="7" t="str">
        <f t="shared" si="20"/>
        <v/>
      </c>
      <c r="B546" s="5"/>
      <c r="C546" s="5"/>
      <c r="D546" s="5"/>
      <c r="E546" s="5"/>
      <c r="F546" s="7"/>
      <c r="G546" s="9"/>
      <c r="H546" s="5"/>
      <c r="I546" s="5"/>
      <c r="J546" s="5"/>
      <c r="K546" s="5"/>
      <c r="L546" s="5"/>
      <c r="M546" s="5"/>
      <c r="N546" s="9"/>
      <c r="O546" s="9" t="str">
        <f t="shared" ca="1" si="21"/>
        <v/>
      </c>
      <c r="P546" s="9"/>
      <c r="Q546" s="5"/>
      <c r="R546" s="9"/>
    </row>
    <row r="547" spans="1:18">
      <c r="A547" s="7" t="str">
        <f t="shared" si="20"/>
        <v/>
      </c>
      <c r="B547" s="5"/>
      <c r="C547" s="5"/>
      <c r="D547" s="5"/>
      <c r="E547" s="5"/>
      <c r="F547" s="7"/>
      <c r="G547" s="9"/>
      <c r="H547" s="5"/>
      <c r="I547" s="5"/>
      <c r="J547" s="5"/>
      <c r="K547" s="5"/>
      <c r="L547" s="5"/>
      <c r="M547" s="5"/>
      <c r="N547" s="9"/>
      <c r="O547" s="9" t="str">
        <f t="shared" ca="1" si="21"/>
        <v/>
      </c>
      <c r="P547" s="9"/>
      <c r="Q547" s="5"/>
      <c r="R547" s="9"/>
    </row>
    <row r="548" spans="1:18">
      <c r="A548" s="7" t="str">
        <f t="shared" si="20"/>
        <v/>
      </c>
      <c r="B548" s="5"/>
      <c r="C548" s="5"/>
      <c r="D548" s="5"/>
      <c r="E548" s="5"/>
      <c r="F548" s="7"/>
      <c r="G548" s="9"/>
      <c r="H548" s="5"/>
      <c r="I548" s="5"/>
      <c r="J548" s="5"/>
      <c r="K548" s="5"/>
      <c r="L548" s="5"/>
      <c r="M548" s="5"/>
      <c r="N548" s="9"/>
      <c r="O548" s="9" t="str">
        <f t="shared" ca="1" si="21"/>
        <v/>
      </c>
      <c r="P548" s="9"/>
      <c r="Q548" s="5"/>
      <c r="R548" s="9"/>
    </row>
    <row r="549" spans="1:18">
      <c r="A549" s="7" t="str">
        <f t="shared" si="20"/>
        <v/>
      </c>
      <c r="B549" s="5"/>
      <c r="C549" s="5"/>
      <c r="D549" s="5"/>
      <c r="E549" s="5"/>
      <c r="F549" s="7"/>
      <c r="G549" s="9"/>
      <c r="H549" s="5"/>
      <c r="I549" s="5"/>
      <c r="J549" s="5"/>
      <c r="K549" s="5"/>
      <c r="L549" s="5"/>
      <c r="M549" s="5"/>
      <c r="N549" s="9"/>
      <c r="O549" s="9" t="str">
        <f t="shared" ca="1" si="21"/>
        <v/>
      </c>
      <c r="P549" s="9"/>
      <c r="Q549" s="5"/>
      <c r="R549" s="9"/>
    </row>
    <row r="550" spans="1:18">
      <c r="A550" s="7" t="str">
        <f t="shared" si="20"/>
        <v/>
      </c>
      <c r="B550" s="5"/>
      <c r="C550" s="5"/>
      <c r="D550" s="5"/>
      <c r="E550" s="5"/>
      <c r="F550" s="7"/>
      <c r="G550" s="9"/>
      <c r="H550" s="5"/>
      <c r="I550" s="5"/>
      <c r="J550" s="5"/>
      <c r="K550" s="5"/>
      <c r="L550" s="5"/>
      <c r="M550" s="5"/>
      <c r="N550" s="9"/>
      <c r="O550" s="9" t="str">
        <f t="shared" ca="1" si="21"/>
        <v/>
      </c>
      <c r="P550" s="9"/>
      <c r="Q550" s="5"/>
      <c r="R550" s="9"/>
    </row>
    <row r="551" spans="1:18">
      <c r="A551" s="7" t="str">
        <f t="shared" si="20"/>
        <v/>
      </c>
      <c r="B551" s="5"/>
      <c r="C551" s="5"/>
      <c r="D551" s="5"/>
      <c r="E551" s="5"/>
      <c r="F551" s="7"/>
      <c r="G551" s="9"/>
      <c r="H551" s="5"/>
      <c r="I551" s="5"/>
      <c r="J551" s="5"/>
      <c r="K551" s="5"/>
      <c r="L551" s="5"/>
      <c r="M551" s="5"/>
      <c r="N551" s="9"/>
      <c r="O551" s="9" t="str">
        <f t="shared" ca="1" si="21"/>
        <v/>
      </c>
      <c r="P551" s="9"/>
      <c r="Q551" s="5"/>
      <c r="R551" s="9"/>
    </row>
    <row r="552" spans="1:18">
      <c r="A552" s="7" t="str">
        <f t="shared" si="20"/>
        <v/>
      </c>
      <c r="B552" s="5"/>
      <c r="C552" s="5"/>
      <c r="D552" s="5"/>
      <c r="E552" s="5"/>
      <c r="F552" s="7"/>
      <c r="G552" s="9"/>
      <c r="H552" s="5"/>
      <c r="I552" s="5"/>
      <c r="J552" s="5"/>
      <c r="K552" s="5"/>
      <c r="L552" s="5"/>
      <c r="M552" s="5"/>
      <c r="N552" s="9"/>
      <c r="O552" s="9" t="str">
        <f t="shared" ca="1" si="21"/>
        <v/>
      </c>
      <c r="P552" s="9"/>
      <c r="Q552" s="5"/>
      <c r="R552" s="9"/>
    </row>
    <row r="553" spans="1:18">
      <c r="A553" s="7" t="str">
        <f t="shared" si="20"/>
        <v/>
      </c>
      <c r="B553" s="5"/>
      <c r="C553" s="5"/>
      <c r="D553" s="5"/>
      <c r="E553" s="5"/>
      <c r="F553" s="7"/>
      <c r="G553" s="9"/>
      <c r="H553" s="5"/>
      <c r="I553" s="5"/>
      <c r="J553" s="5"/>
      <c r="K553" s="5"/>
      <c r="L553" s="5"/>
      <c r="M553" s="5"/>
      <c r="N553" s="9"/>
      <c r="O553" s="9" t="str">
        <f t="shared" ca="1" si="21"/>
        <v/>
      </c>
      <c r="P553" s="9"/>
      <c r="Q553" s="5"/>
      <c r="R553" s="9"/>
    </row>
    <row r="554" spans="1:18">
      <c r="A554" s="7" t="str">
        <f t="shared" si="20"/>
        <v/>
      </c>
      <c r="B554" s="5"/>
      <c r="C554" s="5"/>
      <c r="D554" s="5"/>
      <c r="E554" s="5"/>
      <c r="F554" s="7"/>
      <c r="G554" s="9"/>
      <c r="H554" s="5"/>
      <c r="I554" s="5"/>
      <c r="J554" s="5"/>
      <c r="K554" s="5"/>
      <c r="L554" s="5"/>
      <c r="M554" s="5"/>
      <c r="N554" s="9"/>
      <c r="O554" s="9" t="str">
        <f t="shared" ca="1" si="21"/>
        <v/>
      </c>
      <c r="P554" s="9"/>
      <c r="Q554" s="5"/>
      <c r="R554" s="9"/>
    </row>
    <row r="555" spans="1:18">
      <c r="A555" s="7" t="str">
        <f t="shared" si="20"/>
        <v/>
      </c>
      <c r="B555" s="5"/>
      <c r="C555" s="5"/>
      <c r="D555" s="5"/>
      <c r="E555" s="5"/>
      <c r="F555" s="7"/>
      <c r="G555" s="9"/>
      <c r="H555" s="5"/>
      <c r="I555" s="5"/>
      <c r="J555" s="5"/>
      <c r="K555" s="5"/>
      <c r="L555" s="5"/>
      <c r="M555" s="5"/>
      <c r="N555" s="9"/>
      <c r="O555" s="9" t="str">
        <f t="shared" ca="1" si="21"/>
        <v/>
      </c>
      <c r="P555" s="9"/>
      <c r="Q555" s="5"/>
      <c r="R555" s="9"/>
    </row>
    <row r="556" spans="1:18">
      <c r="A556" s="7" t="str">
        <f t="shared" si="20"/>
        <v/>
      </c>
      <c r="B556" s="5"/>
      <c r="C556" s="5"/>
      <c r="D556" s="5"/>
      <c r="E556" s="5"/>
      <c r="F556" s="7"/>
      <c r="G556" s="9"/>
      <c r="H556" s="5"/>
      <c r="I556" s="5"/>
      <c r="J556" s="5"/>
      <c r="K556" s="5"/>
      <c r="L556" s="5"/>
      <c r="M556" s="5"/>
      <c r="N556" s="9"/>
      <c r="O556" s="9" t="str">
        <f t="shared" ca="1" si="21"/>
        <v/>
      </c>
      <c r="P556" s="9"/>
      <c r="Q556" s="5"/>
      <c r="R556" s="9"/>
    </row>
    <row r="557" spans="1:18">
      <c r="A557" s="7" t="str">
        <f t="shared" si="20"/>
        <v/>
      </c>
      <c r="B557" s="5"/>
      <c r="C557" s="5"/>
      <c r="D557" s="5"/>
      <c r="E557" s="5"/>
      <c r="F557" s="7"/>
      <c r="G557" s="9"/>
      <c r="H557" s="5"/>
      <c r="I557" s="5"/>
      <c r="J557" s="5"/>
      <c r="K557" s="5"/>
      <c r="L557" s="5"/>
      <c r="M557" s="5"/>
      <c r="N557" s="9"/>
      <c r="O557" s="9" t="str">
        <f t="shared" ca="1" si="21"/>
        <v/>
      </c>
      <c r="P557" s="9"/>
      <c r="Q557" s="5"/>
      <c r="R557" s="9"/>
    </row>
    <row r="558" spans="1:18">
      <c r="A558" s="7" t="str">
        <f t="shared" si="20"/>
        <v/>
      </c>
      <c r="B558" s="5"/>
      <c r="C558" s="5"/>
      <c r="D558" s="5"/>
      <c r="E558" s="5"/>
      <c r="F558" s="7"/>
      <c r="G558" s="9"/>
      <c r="H558" s="5"/>
      <c r="I558" s="5"/>
      <c r="J558" s="5"/>
      <c r="K558" s="5"/>
      <c r="L558" s="5"/>
      <c r="M558" s="5"/>
      <c r="N558" s="9"/>
      <c r="O558" s="9" t="str">
        <f t="shared" ca="1" si="21"/>
        <v/>
      </c>
      <c r="P558" s="9"/>
      <c r="Q558" s="5"/>
      <c r="R558" s="9"/>
    </row>
    <row r="559" spans="1:18">
      <c r="A559" s="7" t="str">
        <f t="shared" si="20"/>
        <v/>
      </c>
      <c r="B559" s="5"/>
      <c r="C559" s="5"/>
      <c r="D559" s="5"/>
      <c r="E559" s="5"/>
      <c r="F559" s="7"/>
      <c r="G559" s="9"/>
      <c r="H559" s="5"/>
      <c r="I559" s="5"/>
      <c r="J559" s="5"/>
      <c r="K559" s="5"/>
      <c r="L559" s="5"/>
      <c r="M559" s="5"/>
      <c r="N559" s="9"/>
      <c r="O559" s="9" t="str">
        <f t="shared" ca="1" si="21"/>
        <v/>
      </c>
      <c r="P559" s="9"/>
      <c r="Q559" s="5"/>
      <c r="R559" s="9"/>
    </row>
    <row r="560" spans="1:18">
      <c r="A560" s="7" t="str">
        <f t="shared" si="20"/>
        <v/>
      </c>
      <c r="B560" s="5"/>
      <c r="C560" s="5"/>
      <c r="D560" s="5"/>
      <c r="E560" s="5"/>
      <c r="F560" s="7"/>
      <c r="G560" s="9"/>
      <c r="H560" s="5"/>
      <c r="I560" s="5"/>
      <c r="J560" s="5"/>
      <c r="K560" s="5"/>
      <c r="L560" s="5"/>
      <c r="M560" s="5"/>
      <c r="N560" s="9"/>
      <c r="O560" s="9" t="str">
        <f t="shared" ca="1" si="21"/>
        <v/>
      </c>
      <c r="P560" s="9"/>
      <c r="Q560" s="5"/>
      <c r="R560" s="9"/>
    </row>
    <row r="561" spans="1:18">
      <c r="A561" s="7" t="str">
        <f t="shared" si="20"/>
        <v/>
      </c>
      <c r="B561" s="5"/>
      <c r="C561" s="5"/>
      <c r="D561" s="5"/>
      <c r="E561" s="5"/>
      <c r="F561" s="7"/>
      <c r="G561" s="9"/>
      <c r="H561" s="5"/>
      <c r="I561" s="5"/>
      <c r="J561" s="5"/>
      <c r="K561" s="5"/>
      <c r="L561" s="5"/>
      <c r="M561" s="5"/>
      <c r="N561" s="9"/>
      <c r="O561" s="9" t="str">
        <f t="shared" ca="1" si="21"/>
        <v/>
      </c>
      <c r="P561" s="9"/>
      <c r="Q561" s="5"/>
      <c r="R561" s="9"/>
    </row>
    <row r="562" spans="1:18">
      <c r="A562" s="7" t="str">
        <f t="shared" si="20"/>
        <v/>
      </c>
      <c r="B562" s="5"/>
      <c r="C562" s="5"/>
      <c r="D562" s="5"/>
      <c r="E562" s="5"/>
      <c r="F562" s="7"/>
      <c r="G562" s="9"/>
      <c r="H562" s="5"/>
      <c r="I562" s="5"/>
      <c r="J562" s="5"/>
      <c r="K562" s="5"/>
      <c r="L562" s="5"/>
      <c r="M562" s="5"/>
      <c r="N562" s="9"/>
      <c r="O562" s="9" t="str">
        <f t="shared" ca="1" si="21"/>
        <v/>
      </c>
      <c r="P562" s="9"/>
      <c r="Q562" s="5"/>
      <c r="R562" s="9"/>
    </row>
    <row r="563" spans="1:18">
      <c r="A563" s="7" t="str">
        <f t="shared" si="20"/>
        <v/>
      </c>
      <c r="B563" s="5"/>
      <c r="C563" s="5"/>
      <c r="D563" s="5"/>
      <c r="E563" s="5"/>
      <c r="F563" s="7"/>
      <c r="G563" s="9"/>
      <c r="H563" s="5"/>
      <c r="I563" s="5"/>
      <c r="J563" s="5"/>
      <c r="K563" s="5"/>
      <c r="L563" s="5"/>
      <c r="M563" s="5"/>
      <c r="N563" s="9"/>
      <c r="O563" s="9" t="str">
        <f t="shared" ca="1" si="21"/>
        <v/>
      </c>
      <c r="P563" s="9"/>
      <c r="Q563" s="5"/>
      <c r="R563" s="9"/>
    </row>
    <row r="564" spans="1:18">
      <c r="A564" s="7" t="str">
        <f t="shared" si="20"/>
        <v/>
      </c>
      <c r="B564" s="5"/>
      <c r="C564" s="5"/>
      <c r="D564" s="5"/>
      <c r="E564" s="5"/>
      <c r="F564" s="7"/>
      <c r="G564" s="9"/>
      <c r="H564" s="5"/>
      <c r="I564" s="5"/>
      <c r="J564" s="5"/>
      <c r="K564" s="5"/>
      <c r="L564" s="5"/>
      <c r="M564" s="5"/>
      <c r="N564" s="9"/>
      <c r="O564" s="9" t="str">
        <f t="shared" ca="1" si="21"/>
        <v/>
      </c>
      <c r="P564" s="9"/>
      <c r="Q564" s="5"/>
      <c r="R564" s="9"/>
    </row>
    <row r="565" spans="1:18">
      <c r="A565" s="7" t="str">
        <f t="shared" si="20"/>
        <v/>
      </c>
      <c r="B565" s="5"/>
      <c r="C565" s="5"/>
      <c r="D565" s="5"/>
      <c r="E565" s="5"/>
      <c r="F565" s="7"/>
      <c r="G565" s="9"/>
      <c r="H565" s="5"/>
      <c r="I565" s="5"/>
      <c r="J565" s="5"/>
      <c r="K565" s="5"/>
      <c r="L565" s="5"/>
      <c r="M565" s="5"/>
      <c r="N565" s="9"/>
      <c r="O565" s="9" t="str">
        <f t="shared" ca="1" si="21"/>
        <v/>
      </c>
      <c r="P565" s="9"/>
      <c r="Q565" s="5"/>
      <c r="R565" s="9"/>
    </row>
    <row r="566" spans="1:18">
      <c r="A566" s="7" t="str">
        <f t="shared" si="20"/>
        <v/>
      </c>
      <c r="B566" s="5"/>
      <c r="C566" s="5"/>
      <c r="D566" s="5"/>
      <c r="E566" s="5"/>
      <c r="F566" s="7"/>
      <c r="G566" s="9"/>
      <c r="H566" s="5"/>
      <c r="I566" s="5"/>
      <c r="J566" s="5"/>
      <c r="K566" s="5"/>
      <c r="L566" s="5"/>
      <c r="M566" s="5"/>
      <c r="N566" s="9"/>
      <c r="O566" s="9" t="str">
        <f t="shared" ca="1" si="21"/>
        <v/>
      </c>
      <c r="P566" s="9"/>
      <c r="Q566" s="5"/>
      <c r="R566" s="9"/>
    </row>
    <row r="567" spans="1:18">
      <c r="A567" s="7" t="str">
        <f t="shared" si="20"/>
        <v/>
      </c>
      <c r="B567" s="5"/>
      <c r="C567" s="5"/>
      <c r="D567" s="5"/>
      <c r="E567" s="5"/>
      <c r="F567" s="7"/>
      <c r="G567" s="9"/>
      <c r="H567" s="5"/>
      <c r="I567" s="5"/>
      <c r="J567" s="5"/>
      <c r="K567" s="5"/>
      <c r="L567" s="5"/>
      <c r="M567" s="5"/>
      <c r="N567" s="9"/>
      <c r="O567" s="9" t="str">
        <f t="shared" ca="1" si="21"/>
        <v/>
      </c>
      <c r="P567" s="9"/>
      <c r="Q567" s="5"/>
      <c r="R567" s="9"/>
    </row>
    <row r="568" spans="1:18">
      <c r="A568" s="7" t="str">
        <f t="shared" si="20"/>
        <v/>
      </c>
      <c r="B568" s="5"/>
      <c r="C568" s="5"/>
      <c r="D568" s="5"/>
      <c r="E568" s="5"/>
      <c r="F568" s="7"/>
      <c r="G568" s="9"/>
      <c r="H568" s="5"/>
      <c r="I568" s="5"/>
      <c r="J568" s="5"/>
      <c r="K568" s="5"/>
      <c r="L568" s="5"/>
      <c r="M568" s="5"/>
      <c r="N568" s="9"/>
      <c r="O568" s="9" t="str">
        <f t="shared" ca="1" si="21"/>
        <v/>
      </c>
      <c r="P568" s="9"/>
      <c r="Q568" s="5"/>
      <c r="R568" s="9"/>
    </row>
    <row r="569" spans="1:18">
      <c r="A569" s="7" t="str">
        <f t="shared" si="20"/>
        <v/>
      </c>
      <c r="B569" s="5"/>
      <c r="C569" s="5"/>
      <c r="D569" s="5"/>
      <c r="E569" s="5"/>
      <c r="F569" s="7"/>
      <c r="G569" s="9"/>
      <c r="H569" s="5"/>
      <c r="I569" s="5"/>
      <c r="J569" s="5"/>
      <c r="K569" s="5"/>
      <c r="L569" s="5"/>
      <c r="M569" s="5"/>
      <c r="N569" s="9"/>
      <c r="O569" s="9" t="str">
        <f t="shared" ca="1" si="21"/>
        <v/>
      </c>
      <c r="P569" s="9"/>
      <c r="Q569" s="5"/>
      <c r="R569" s="9"/>
    </row>
    <row r="570" spans="1:18">
      <c r="A570" s="7" t="str">
        <f t="shared" si="20"/>
        <v/>
      </c>
      <c r="B570" s="5"/>
      <c r="C570" s="5"/>
      <c r="D570" s="5"/>
      <c r="E570" s="5"/>
      <c r="F570" s="7"/>
      <c r="G570" s="9"/>
      <c r="H570" s="5"/>
      <c r="I570" s="5"/>
      <c r="J570" s="5"/>
      <c r="K570" s="5"/>
      <c r="L570" s="5"/>
      <c r="M570" s="5"/>
      <c r="N570" s="9"/>
      <c r="O570" s="9" t="str">
        <f t="shared" ca="1" si="21"/>
        <v/>
      </c>
      <c r="P570" s="9"/>
      <c r="Q570" s="5"/>
      <c r="R570" s="9"/>
    </row>
    <row r="571" spans="1:18">
      <c r="A571" s="7" t="str">
        <f t="shared" si="20"/>
        <v/>
      </c>
      <c r="B571" s="5"/>
      <c r="C571" s="5"/>
      <c r="D571" s="5"/>
      <c r="E571" s="5"/>
      <c r="F571" s="7"/>
      <c r="G571" s="9"/>
      <c r="H571" s="5"/>
      <c r="I571" s="5"/>
      <c r="J571" s="5"/>
      <c r="K571" s="5"/>
      <c r="L571" s="5"/>
      <c r="M571" s="5"/>
      <c r="N571" s="9"/>
      <c r="O571" s="9" t="str">
        <f t="shared" ca="1" si="21"/>
        <v/>
      </c>
      <c r="P571" s="9"/>
      <c r="Q571" s="5"/>
      <c r="R571" s="9"/>
    </row>
    <row r="572" spans="1:18">
      <c r="A572" s="7" t="str">
        <f t="shared" si="20"/>
        <v/>
      </c>
      <c r="B572" s="5"/>
      <c r="C572" s="5"/>
      <c r="D572" s="5"/>
      <c r="E572" s="5"/>
      <c r="F572" s="7"/>
      <c r="G572" s="9"/>
      <c r="H572" s="5"/>
      <c r="I572" s="5"/>
      <c r="J572" s="5"/>
      <c r="K572" s="5"/>
      <c r="L572" s="5"/>
      <c r="M572" s="5"/>
      <c r="N572" s="9"/>
      <c r="O572" s="9" t="str">
        <f t="shared" ca="1" si="21"/>
        <v/>
      </c>
      <c r="P572" s="9"/>
      <c r="Q572" s="5"/>
      <c r="R572" s="9"/>
    </row>
    <row r="573" spans="1:18">
      <c r="A573" s="7" t="str">
        <f t="shared" si="20"/>
        <v/>
      </c>
      <c r="B573" s="5"/>
      <c r="C573" s="5"/>
      <c r="D573" s="5"/>
      <c r="E573" s="5"/>
      <c r="F573" s="7"/>
      <c r="G573" s="9"/>
      <c r="H573" s="5"/>
      <c r="I573" s="5"/>
      <c r="J573" s="5"/>
      <c r="K573" s="5"/>
      <c r="L573" s="5"/>
      <c r="M573" s="5"/>
      <c r="N573" s="9"/>
      <c r="O573" s="9" t="str">
        <f t="shared" ca="1" si="21"/>
        <v/>
      </c>
      <c r="P573" s="9"/>
      <c r="Q573" s="5"/>
      <c r="R573" s="9"/>
    </row>
    <row r="574" spans="1:18">
      <c r="A574" s="7" t="str">
        <f t="shared" si="20"/>
        <v/>
      </c>
      <c r="B574" s="5"/>
      <c r="C574" s="5"/>
      <c r="D574" s="5"/>
      <c r="E574" s="5"/>
      <c r="F574" s="7"/>
      <c r="G574" s="9"/>
      <c r="H574" s="5"/>
      <c r="I574" s="5"/>
      <c r="J574" s="5"/>
      <c r="K574" s="5"/>
      <c r="L574" s="5"/>
      <c r="M574" s="5"/>
      <c r="N574" s="9"/>
      <c r="O574" s="9" t="str">
        <f t="shared" ca="1" si="21"/>
        <v/>
      </c>
      <c r="P574" s="9"/>
      <c r="Q574" s="5"/>
      <c r="R574" s="9"/>
    </row>
    <row r="575" spans="1:18">
      <c r="A575" s="7" t="str">
        <f t="shared" si="20"/>
        <v/>
      </c>
      <c r="B575" s="5"/>
      <c r="C575" s="5"/>
      <c r="D575" s="5"/>
      <c r="E575" s="5"/>
      <c r="F575" s="7"/>
      <c r="G575" s="9"/>
      <c r="H575" s="5"/>
      <c r="I575" s="5"/>
      <c r="J575" s="5"/>
      <c r="K575" s="5"/>
      <c r="L575" s="5"/>
      <c r="M575" s="5"/>
      <c r="N575" s="9"/>
      <c r="O575" s="9" t="str">
        <f t="shared" ca="1" si="21"/>
        <v/>
      </c>
      <c r="P575" s="9"/>
      <c r="Q575" s="5"/>
      <c r="R575" s="9"/>
    </row>
    <row r="576" spans="1:18">
      <c r="A576" s="7" t="str">
        <f t="shared" si="20"/>
        <v/>
      </c>
      <c r="B576" s="5"/>
      <c r="C576" s="5"/>
      <c r="D576" s="5"/>
      <c r="E576" s="5"/>
      <c r="F576" s="7"/>
      <c r="G576" s="9"/>
      <c r="H576" s="5"/>
      <c r="I576" s="5"/>
      <c r="J576" s="5"/>
      <c r="K576" s="5"/>
      <c r="L576" s="5"/>
      <c r="M576" s="5"/>
      <c r="N576" s="9"/>
      <c r="O576" s="9" t="str">
        <f t="shared" ca="1" si="21"/>
        <v/>
      </c>
      <c r="P576" s="9"/>
      <c r="Q576" s="5"/>
      <c r="R576" s="9"/>
    </row>
    <row r="577" spans="1:18">
      <c r="A577" s="7" t="str">
        <f t="shared" si="20"/>
        <v/>
      </c>
      <c r="B577" s="5"/>
      <c r="C577" s="5"/>
      <c r="D577" s="5"/>
      <c r="E577" s="5"/>
      <c r="F577" s="7"/>
      <c r="G577" s="9"/>
      <c r="H577" s="5"/>
      <c r="I577" s="5"/>
      <c r="J577" s="5"/>
      <c r="K577" s="5"/>
      <c r="L577" s="5"/>
      <c r="M577" s="5"/>
      <c r="N577" s="9"/>
      <c r="O577" s="9" t="str">
        <f t="shared" ca="1" si="21"/>
        <v/>
      </c>
      <c r="P577" s="9"/>
      <c r="Q577" s="5"/>
      <c r="R577" s="9"/>
    </row>
    <row r="578" spans="1:18">
      <c r="A578" s="7" t="str">
        <f t="shared" si="20"/>
        <v/>
      </c>
      <c r="B578" s="5"/>
      <c r="C578" s="5"/>
      <c r="D578" s="5"/>
      <c r="E578" s="5"/>
      <c r="F578" s="7"/>
      <c r="G578" s="9"/>
      <c r="H578" s="5"/>
      <c r="I578" s="5"/>
      <c r="J578" s="5"/>
      <c r="K578" s="5"/>
      <c r="L578" s="5"/>
      <c r="M578" s="5"/>
      <c r="N578" s="9"/>
      <c r="O578" s="9" t="str">
        <f t="shared" ca="1" si="21"/>
        <v/>
      </c>
      <c r="P578" s="9"/>
      <c r="Q578" s="5"/>
      <c r="R578" s="9"/>
    </row>
    <row r="579" spans="1:18">
      <c r="A579" s="7" t="str">
        <f t="shared" si="20"/>
        <v/>
      </c>
      <c r="B579" s="5"/>
      <c r="C579" s="5"/>
      <c r="D579" s="5"/>
      <c r="E579" s="5"/>
      <c r="F579" s="7"/>
      <c r="G579" s="9"/>
      <c r="H579" s="5"/>
      <c r="I579" s="5"/>
      <c r="J579" s="5"/>
      <c r="K579" s="5"/>
      <c r="L579" s="5"/>
      <c r="M579" s="5"/>
      <c r="N579" s="9"/>
      <c r="O579" s="9" t="str">
        <f t="shared" ca="1" si="21"/>
        <v/>
      </c>
      <c r="P579" s="9"/>
      <c r="Q579" s="5"/>
      <c r="R579" s="9"/>
    </row>
    <row r="580" spans="1:18">
      <c r="A580" s="7" t="str">
        <f t="shared" ref="A580:A643" si="22">IF(B580="","",ROW()-3)</f>
        <v/>
      </c>
      <c r="B580" s="5"/>
      <c r="C580" s="5"/>
      <c r="D580" s="5"/>
      <c r="E580" s="5"/>
      <c r="F580" s="7"/>
      <c r="G580" s="9"/>
      <c r="H580" s="5"/>
      <c r="I580" s="5"/>
      <c r="J580" s="5"/>
      <c r="K580" s="5"/>
      <c r="L580" s="5"/>
      <c r="M580" s="5"/>
      <c r="N580" s="9"/>
      <c r="O580" s="9" t="str">
        <f t="shared" ca="1" si="21"/>
        <v/>
      </c>
      <c r="P580" s="9"/>
      <c r="Q580" s="5"/>
      <c r="R580" s="9"/>
    </row>
    <row r="581" spans="1:18">
      <c r="A581" s="7" t="str">
        <f t="shared" si="22"/>
        <v/>
      </c>
      <c r="B581" s="5"/>
      <c r="C581" s="5"/>
      <c r="D581" s="5"/>
      <c r="E581" s="5"/>
      <c r="F581" s="7"/>
      <c r="G581" s="9"/>
      <c r="H581" s="5"/>
      <c r="I581" s="5"/>
      <c r="J581" s="5"/>
      <c r="K581" s="5"/>
      <c r="L581" s="5"/>
      <c r="M581" s="5"/>
      <c r="N581" s="9"/>
      <c r="O581" s="9" t="str">
        <f t="shared" ca="1" si="21"/>
        <v/>
      </c>
      <c r="P581" s="9"/>
      <c r="Q581" s="5"/>
      <c r="R581" s="9"/>
    </row>
    <row r="582" spans="1:18">
      <c r="A582" s="7" t="str">
        <f t="shared" si="22"/>
        <v/>
      </c>
      <c r="B582" s="5"/>
      <c r="C582" s="5"/>
      <c r="D582" s="5"/>
      <c r="E582" s="5"/>
      <c r="F582" s="7"/>
      <c r="G582" s="9"/>
      <c r="H582" s="5"/>
      <c r="I582" s="5"/>
      <c r="J582" s="5"/>
      <c r="K582" s="5"/>
      <c r="L582" s="5"/>
      <c r="M582" s="5"/>
      <c r="N582" s="9"/>
      <c r="O582" s="9" t="str">
        <f t="shared" ca="1" si="21"/>
        <v/>
      </c>
      <c r="P582" s="9"/>
      <c r="Q582" s="5"/>
      <c r="R582" s="9"/>
    </row>
    <row r="583" spans="1:18">
      <c r="A583" s="7" t="str">
        <f t="shared" si="22"/>
        <v/>
      </c>
      <c r="B583" s="5"/>
      <c r="C583" s="5"/>
      <c r="D583" s="5"/>
      <c r="E583" s="5"/>
      <c r="F583" s="7"/>
      <c r="G583" s="9"/>
      <c r="H583" s="5"/>
      <c r="I583" s="5"/>
      <c r="J583" s="5"/>
      <c r="K583" s="5"/>
      <c r="L583" s="5"/>
      <c r="M583" s="5"/>
      <c r="N583" s="9"/>
      <c r="O583" s="9" t="str">
        <f t="shared" ca="1" si="21"/>
        <v/>
      </c>
      <c r="P583" s="9"/>
      <c r="Q583" s="5"/>
      <c r="R583" s="9"/>
    </row>
    <row r="584" spans="1:18">
      <c r="A584" s="7" t="str">
        <f t="shared" si="22"/>
        <v/>
      </c>
      <c r="B584" s="5"/>
      <c r="C584" s="5"/>
      <c r="D584" s="5"/>
      <c r="E584" s="5"/>
      <c r="F584" s="7"/>
      <c r="G584" s="9"/>
      <c r="H584" s="5"/>
      <c r="I584" s="5"/>
      <c r="J584" s="5"/>
      <c r="K584" s="5"/>
      <c r="L584" s="5"/>
      <c r="M584" s="5"/>
      <c r="N584" s="9"/>
      <c r="O584" s="9" t="str">
        <f t="shared" ca="1" si="21"/>
        <v/>
      </c>
      <c r="P584" s="9"/>
      <c r="Q584" s="5"/>
      <c r="R584" s="9"/>
    </row>
    <row r="585" spans="1:18">
      <c r="A585" s="7" t="str">
        <f t="shared" si="22"/>
        <v/>
      </c>
      <c r="B585" s="5"/>
      <c r="C585" s="5"/>
      <c r="D585" s="5"/>
      <c r="E585" s="5"/>
      <c r="F585" s="7"/>
      <c r="G585" s="9"/>
      <c r="H585" s="5"/>
      <c r="I585" s="5"/>
      <c r="J585" s="5"/>
      <c r="K585" s="5"/>
      <c r="L585" s="5"/>
      <c r="M585" s="5"/>
      <c r="N585" s="9"/>
      <c r="O585" s="9" t="str">
        <f t="shared" ca="1" si="21"/>
        <v/>
      </c>
      <c r="P585" s="9"/>
      <c r="Q585" s="5"/>
      <c r="R585" s="9"/>
    </row>
    <row r="586" spans="1:18">
      <c r="A586" s="7" t="str">
        <f t="shared" si="22"/>
        <v/>
      </c>
      <c r="B586" s="5"/>
      <c r="C586" s="5"/>
      <c r="D586" s="5"/>
      <c r="E586" s="5"/>
      <c r="F586" s="7"/>
      <c r="G586" s="9"/>
      <c r="H586" s="5"/>
      <c r="I586" s="5"/>
      <c r="J586" s="5"/>
      <c r="K586" s="5"/>
      <c r="L586" s="5"/>
      <c r="M586" s="5"/>
      <c r="N586" s="9"/>
      <c r="O586" s="9" t="str">
        <f t="shared" ca="1" si="21"/>
        <v/>
      </c>
      <c r="P586" s="9"/>
      <c r="Q586" s="5"/>
      <c r="R586" s="9"/>
    </row>
    <row r="587" spans="1:18">
      <c r="A587" s="7" t="str">
        <f t="shared" si="22"/>
        <v/>
      </c>
      <c r="B587" s="5"/>
      <c r="C587" s="5"/>
      <c r="D587" s="5"/>
      <c r="E587" s="5"/>
      <c r="F587" s="7"/>
      <c r="G587" s="9"/>
      <c r="H587" s="5"/>
      <c r="I587" s="5"/>
      <c r="J587" s="5"/>
      <c r="K587" s="5"/>
      <c r="L587" s="5"/>
      <c r="M587" s="5"/>
      <c r="N587" s="9"/>
      <c r="O587" s="9" t="str">
        <f t="shared" ca="1" si="21"/>
        <v/>
      </c>
      <c r="P587" s="9"/>
      <c r="Q587" s="5"/>
      <c r="R587" s="9"/>
    </row>
    <row r="588" spans="1:18">
      <c r="A588" s="7" t="str">
        <f t="shared" si="22"/>
        <v/>
      </c>
      <c r="B588" s="5"/>
      <c r="C588" s="5"/>
      <c r="D588" s="5"/>
      <c r="E588" s="5"/>
      <c r="F588" s="7"/>
      <c r="G588" s="9"/>
      <c r="H588" s="5"/>
      <c r="I588" s="5"/>
      <c r="J588" s="5"/>
      <c r="K588" s="5"/>
      <c r="L588" s="5"/>
      <c r="M588" s="5"/>
      <c r="N588" s="9"/>
      <c r="O588" s="9" t="str">
        <f t="shared" ca="1" si="21"/>
        <v/>
      </c>
      <c r="P588" s="9"/>
      <c r="Q588" s="5"/>
      <c r="R588" s="9"/>
    </row>
    <row r="589" spans="1:18">
      <c r="A589" s="7" t="str">
        <f t="shared" si="22"/>
        <v/>
      </c>
      <c r="B589" s="5"/>
      <c r="C589" s="5"/>
      <c r="D589" s="5"/>
      <c r="E589" s="5"/>
      <c r="F589" s="7"/>
      <c r="G589" s="9"/>
      <c r="H589" s="5"/>
      <c r="I589" s="5"/>
      <c r="J589" s="5"/>
      <c r="K589" s="5"/>
      <c r="L589" s="5"/>
      <c r="M589" s="5"/>
      <c r="N589" s="9"/>
      <c r="O589" s="9" t="str">
        <f t="shared" ca="1" si="21"/>
        <v/>
      </c>
      <c r="P589" s="9"/>
      <c r="Q589" s="5"/>
      <c r="R589" s="9"/>
    </row>
    <row r="590" spans="1:18">
      <c r="A590" s="7" t="str">
        <f t="shared" si="22"/>
        <v/>
      </c>
      <c r="B590" s="5"/>
      <c r="C590" s="5"/>
      <c r="D590" s="5"/>
      <c r="E590" s="5"/>
      <c r="F590" s="7"/>
      <c r="G590" s="9"/>
      <c r="H590" s="5"/>
      <c r="I590" s="5"/>
      <c r="J590" s="5"/>
      <c r="K590" s="5"/>
      <c r="L590" s="5"/>
      <c r="M590" s="5"/>
      <c r="N590" s="9"/>
      <c r="O590" s="9" t="str">
        <f t="shared" ref="O590:O653" ca="1" si="23">IF(OR($B590="",$N590&lt;&gt;"Yes",$G590="",$M590=""),"",IF(AND(ISNUMBER($P590),$P590&lt;=TODAY()),$P590+IF($M590="Low",3,IF($M590="Medium",7,21)),$G590+IF($M590="Low",2,IF($M590="Medium",5,14))))</f>
        <v/>
      </c>
      <c r="P590" s="9"/>
      <c r="Q590" s="5"/>
      <c r="R590" s="9"/>
    </row>
    <row r="591" spans="1:18">
      <c r="A591" s="7" t="str">
        <f t="shared" si="22"/>
        <v/>
      </c>
      <c r="B591" s="5"/>
      <c r="C591" s="5"/>
      <c r="D591" s="5"/>
      <c r="E591" s="5"/>
      <c r="F591" s="7"/>
      <c r="G591" s="9"/>
      <c r="H591" s="5"/>
      <c r="I591" s="5"/>
      <c r="J591" s="5"/>
      <c r="K591" s="5"/>
      <c r="L591" s="5"/>
      <c r="M591" s="5"/>
      <c r="N591" s="9"/>
      <c r="O591" s="9" t="str">
        <f t="shared" ca="1" si="23"/>
        <v/>
      </c>
      <c r="P591" s="9"/>
      <c r="Q591" s="5"/>
      <c r="R591" s="9"/>
    </row>
    <row r="592" spans="1:18">
      <c r="A592" s="7" t="str">
        <f t="shared" si="22"/>
        <v/>
      </c>
      <c r="B592" s="5"/>
      <c r="C592" s="5"/>
      <c r="D592" s="5"/>
      <c r="E592" s="5"/>
      <c r="F592" s="7"/>
      <c r="G592" s="9"/>
      <c r="H592" s="5"/>
      <c r="I592" s="5"/>
      <c r="J592" s="5"/>
      <c r="K592" s="5"/>
      <c r="L592" s="5"/>
      <c r="M592" s="5"/>
      <c r="N592" s="9"/>
      <c r="O592" s="9" t="str">
        <f t="shared" ca="1" si="23"/>
        <v/>
      </c>
      <c r="P592" s="9"/>
      <c r="Q592" s="5"/>
      <c r="R592" s="9"/>
    </row>
    <row r="593" spans="1:18">
      <c r="A593" s="7" t="str">
        <f t="shared" si="22"/>
        <v/>
      </c>
      <c r="B593" s="5"/>
      <c r="C593" s="5"/>
      <c r="D593" s="5"/>
      <c r="E593" s="5"/>
      <c r="F593" s="7"/>
      <c r="G593" s="9"/>
      <c r="H593" s="5"/>
      <c r="I593" s="5"/>
      <c r="J593" s="5"/>
      <c r="K593" s="5"/>
      <c r="L593" s="5"/>
      <c r="M593" s="5"/>
      <c r="N593" s="9"/>
      <c r="O593" s="9" t="str">
        <f t="shared" ca="1" si="23"/>
        <v/>
      </c>
      <c r="P593" s="9"/>
      <c r="Q593" s="5"/>
      <c r="R593" s="9"/>
    </row>
    <row r="594" spans="1:18">
      <c r="A594" s="7" t="str">
        <f t="shared" si="22"/>
        <v/>
      </c>
      <c r="B594" s="5"/>
      <c r="C594" s="5"/>
      <c r="D594" s="5"/>
      <c r="E594" s="5"/>
      <c r="F594" s="7"/>
      <c r="G594" s="9"/>
      <c r="H594" s="5"/>
      <c r="I594" s="5"/>
      <c r="J594" s="5"/>
      <c r="K594" s="5"/>
      <c r="L594" s="5"/>
      <c r="M594" s="5"/>
      <c r="N594" s="9"/>
      <c r="O594" s="9" t="str">
        <f t="shared" ca="1" si="23"/>
        <v/>
      </c>
      <c r="P594" s="9"/>
      <c r="Q594" s="5"/>
      <c r="R594" s="9"/>
    </row>
    <row r="595" spans="1:18">
      <c r="A595" s="7" t="str">
        <f t="shared" si="22"/>
        <v/>
      </c>
      <c r="B595" s="5"/>
      <c r="C595" s="5"/>
      <c r="D595" s="5"/>
      <c r="E595" s="5"/>
      <c r="F595" s="7"/>
      <c r="G595" s="9"/>
      <c r="H595" s="5"/>
      <c r="I595" s="5"/>
      <c r="J595" s="5"/>
      <c r="K595" s="5"/>
      <c r="L595" s="5"/>
      <c r="M595" s="5"/>
      <c r="N595" s="9"/>
      <c r="O595" s="9" t="str">
        <f t="shared" ca="1" si="23"/>
        <v/>
      </c>
      <c r="P595" s="9"/>
      <c r="Q595" s="5"/>
      <c r="R595" s="9"/>
    </row>
    <row r="596" spans="1:18">
      <c r="A596" s="7" t="str">
        <f t="shared" si="22"/>
        <v/>
      </c>
      <c r="B596" s="5"/>
      <c r="C596" s="5"/>
      <c r="D596" s="5"/>
      <c r="E596" s="5"/>
      <c r="F596" s="7"/>
      <c r="G596" s="9"/>
      <c r="H596" s="5"/>
      <c r="I596" s="5"/>
      <c r="J596" s="5"/>
      <c r="K596" s="5"/>
      <c r="L596" s="5"/>
      <c r="M596" s="5"/>
      <c r="N596" s="9"/>
      <c r="O596" s="9" t="str">
        <f t="shared" ca="1" si="23"/>
        <v/>
      </c>
      <c r="P596" s="9"/>
      <c r="Q596" s="5"/>
      <c r="R596" s="9"/>
    </row>
    <row r="597" spans="1:18">
      <c r="A597" s="7" t="str">
        <f t="shared" si="22"/>
        <v/>
      </c>
      <c r="B597" s="5"/>
      <c r="C597" s="5"/>
      <c r="D597" s="5"/>
      <c r="E597" s="5"/>
      <c r="F597" s="7"/>
      <c r="G597" s="9"/>
      <c r="H597" s="5"/>
      <c r="I597" s="5"/>
      <c r="J597" s="5"/>
      <c r="K597" s="5"/>
      <c r="L597" s="5"/>
      <c r="M597" s="5"/>
      <c r="N597" s="9"/>
      <c r="O597" s="9" t="str">
        <f t="shared" ca="1" si="23"/>
        <v/>
      </c>
      <c r="P597" s="9"/>
      <c r="Q597" s="5"/>
      <c r="R597" s="9"/>
    </row>
    <row r="598" spans="1:18">
      <c r="A598" s="7" t="str">
        <f t="shared" si="22"/>
        <v/>
      </c>
      <c r="B598" s="5"/>
      <c r="C598" s="5"/>
      <c r="D598" s="5"/>
      <c r="E598" s="5"/>
      <c r="F598" s="7"/>
      <c r="G598" s="9"/>
      <c r="H598" s="5"/>
      <c r="I598" s="5"/>
      <c r="J598" s="5"/>
      <c r="K598" s="5"/>
      <c r="L598" s="5"/>
      <c r="M598" s="5"/>
      <c r="N598" s="9"/>
      <c r="O598" s="9" t="str">
        <f t="shared" ca="1" si="23"/>
        <v/>
      </c>
      <c r="P598" s="9"/>
      <c r="Q598" s="5"/>
      <c r="R598" s="9"/>
    </row>
    <row r="599" spans="1:18">
      <c r="A599" s="7" t="str">
        <f t="shared" si="22"/>
        <v/>
      </c>
      <c r="B599" s="5"/>
      <c r="C599" s="5"/>
      <c r="D599" s="5"/>
      <c r="E599" s="5"/>
      <c r="F599" s="7"/>
      <c r="G599" s="9"/>
      <c r="H599" s="5"/>
      <c r="I599" s="5"/>
      <c r="J599" s="5"/>
      <c r="K599" s="5"/>
      <c r="L599" s="5"/>
      <c r="M599" s="5"/>
      <c r="N599" s="9"/>
      <c r="O599" s="9" t="str">
        <f t="shared" ca="1" si="23"/>
        <v/>
      </c>
      <c r="P599" s="9"/>
      <c r="Q599" s="5"/>
      <c r="R599" s="9"/>
    </row>
    <row r="600" spans="1:18">
      <c r="A600" s="7" t="str">
        <f t="shared" si="22"/>
        <v/>
      </c>
      <c r="B600" s="5"/>
      <c r="C600" s="5"/>
      <c r="D600" s="5"/>
      <c r="E600" s="5"/>
      <c r="F600" s="7"/>
      <c r="G600" s="9"/>
      <c r="H600" s="5"/>
      <c r="I600" s="5"/>
      <c r="J600" s="5"/>
      <c r="K600" s="5"/>
      <c r="L600" s="5"/>
      <c r="M600" s="5"/>
      <c r="N600" s="9"/>
      <c r="O600" s="9" t="str">
        <f t="shared" ca="1" si="23"/>
        <v/>
      </c>
      <c r="P600" s="9"/>
      <c r="Q600" s="5"/>
      <c r="R600" s="9"/>
    </row>
    <row r="601" spans="1:18">
      <c r="A601" s="7" t="str">
        <f t="shared" si="22"/>
        <v/>
      </c>
      <c r="B601" s="5"/>
      <c r="C601" s="5"/>
      <c r="D601" s="5"/>
      <c r="E601" s="5"/>
      <c r="F601" s="7"/>
      <c r="G601" s="9"/>
      <c r="H601" s="5"/>
      <c r="I601" s="5"/>
      <c r="J601" s="5"/>
      <c r="K601" s="5"/>
      <c r="L601" s="5"/>
      <c r="M601" s="5"/>
      <c r="N601" s="9"/>
      <c r="O601" s="9" t="str">
        <f t="shared" ca="1" si="23"/>
        <v/>
      </c>
      <c r="P601" s="9"/>
      <c r="Q601" s="5"/>
      <c r="R601" s="9"/>
    </row>
    <row r="602" spans="1:18">
      <c r="A602" s="7" t="str">
        <f t="shared" si="22"/>
        <v/>
      </c>
      <c r="B602" s="5"/>
      <c r="C602" s="5"/>
      <c r="D602" s="5"/>
      <c r="E602" s="5"/>
      <c r="F602" s="7"/>
      <c r="G602" s="9"/>
      <c r="H602" s="5"/>
      <c r="I602" s="5"/>
      <c r="J602" s="5"/>
      <c r="K602" s="5"/>
      <c r="L602" s="5"/>
      <c r="M602" s="5"/>
      <c r="N602" s="9"/>
      <c r="O602" s="9" t="str">
        <f t="shared" ca="1" si="23"/>
        <v/>
      </c>
      <c r="P602" s="9"/>
      <c r="Q602" s="5"/>
      <c r="R602" s="9"/>
    </row>
    <row r="603" spans="1:18">
      <c r="A603" s="7" t="str">
        <f t="shared" si="22"/>
        <v/>
      </c>
      <c r="B603" s="5"/>
      <c r="C603" s="5"/>
      <c r="D603" s="5"/>
      <c r="E603" s="5"/>
      <c r="F603" s="7"/>
      <c r="G603" s="9"/>
      <c r="H603" s="5"/>
      <c r="I603" s="5"/>
      <c r="J603" s="5"/>
      <c r="K603" s="5"/>
      <c r="L603" s="5"/>
      <c r="M603" s="5"/>
      <c r="N603" s="9"/>
      <c r="O603" s="9" t="str">
        <f t="shared" ca="1" si="23"/>
        <v/>
      </c>
      <c r="P603" s="9"/>
      <c r="Q603" s="5"/>
      <c r="R603" s="9"/>
    </row>
    <row r="604" spans="1:18">
      <c r="A604" s="7" t="str">
        <f t="shared" si="22"/>
        <v/>
      </c>
      <c r="B604" s="5"/>
      <c r="C604" s="5"/>
      <c r="D604" s="5"/>
      <c r="E604" s="5"/>
      <c r="F604" s="7"/>
      <c r="G604" s="9"/>
      <c r="H604" s="5"/>
      <c r="I604" s="5"/>
      <c r="J604" s="5"/>
      <c r="K604" s="5"/>
      <c r="L604" s="5"/>
      <c r="M604" s="5"/>
      <c r="N604" s="9"/>
      <c r="O604" s="9" t="str">
        <f t="shared" ca="1" si="23"/>
        <v/>
      </c>
      <c r="P604" s="9"/>
      <c r="Q604" s="5"/>
      <c r="R604" s="9"/>
    </row>
    <row r="605" spans="1:18">
      <c r="A605" s="7" t="str">
        <f t="shared" si="22"/>
        <v/>
      </c>
      <c r="B605" s="5"/>
      <c r="C605" s="5"/>
      <c r="D605" s="5"/>
      <c r="E605" s="5"/>
      <c r="F605" s="7"/>
      <c r="G605" s="9"/>
      <c r="H605" s="5"/>
      <c r="I605" s="5"/>
      <c r="J605" s="5"/>
      <c r="K605" s="5"/>
      <c r="L605" s="5"/>
      <c r="M605" s="5"/>
      <c r="N605" s="9"/>
      <c r="O605" s="9" t="str">
        <f t="shared" ca="1" si="23"/>
        <v/>
      </c>
      <c r="P605" s="9"/>
      <c r="Q605" s="5"/>
      <c r="R605" s="9"/>
    </row>
    <row r="606" spans="1:18">
      <c r="A606" s="7" t="str">
        <f t="shared" si="22"/>
        <v/>
      </c>
      <c r="B606" s="5"/>
      <c r="C606" s="5"/>
      <c r="D606" s="5"/>
      <c r="E606" s="5"/>
      <c r="F606" s="7"/>
      <c r="G606" s="9"/>
      <c r="H606" s="5"/>
      <c r="I606" s="5"/>
      <c r="J606" s="5"/>
      <c r="K606" s="5"/>
      <c r="L606" s="5"/>
      <c r="M606" s="5"/>
      <c r="N606" s="9"/>
      <c r="O606" s="9" t="str">
        <f t="shared" ca="1" si="23"/>
        <v/>
      </c>
      <c r="P606" s="9"/>
      <c r="Q606" s="5"/>
      <c r="R606" s="9"/>
    </row>
    <row r="607" spans="1:18">
      <c r="A607" s="7" t="str">
        <f t="shared" si="22"/>
        <v/>
      </c>
      <c r="B607" s="5"/>
      <c r="C607" s="5"/>
      <c r="D607" s="5"/>
      <c r="E607" s="5"/>
      <c r="F607" s="7"/>
      <c r="G607" s="9"/>
      <c r="H607" s="5"/>
      <c r="I607" s="5"/>
      <c r="J607" s="5"/>
      <c r="K607" s="5"/>
      <c r="L607" s="5"/>
      <c r="M607" s="5"/>
      <c r="N607" s="9"/>
      <c r="O607" s="9" t="str">
        <f t="shared" ca="1" si="23"/>
        <v/>
      </c>
      <c r="P607" s="9"/>
      <c r="Q607" s="5"/>
      <c r="R607" s="9"/>
    </row>
    <row r="608" spans="1:18">
      <c r="A608" s="7" t="str">
        <f t="shared" si="22"/>
        <v/>
      </c>
      <c r="B608" s="5"/>
      <c r="C608" s="5"/>
      <c r="D608" s="5"/>
      <c r="E608" s="5"/>
      <c r="F608" s="7"/>
      <c r="G608" s="9"/>
      <c r="H608" s="5"/>
      <c r="I608" s="5"/>
      <c r="J608" s="5"/>
      <c r="K608" s="5"/>
      <c r="L608" s="5"/>
      <c r="M608" s="5"/>
      <c r="N608" s="9"/>
      <c r="O608" s="9" t="str">
        <f t="shared" ca="1" si="23"/>
        <v/>
      </c>
      <c r="P608" s="9"/>
      <c r="Q608" s="5"/>
      <c r="R608" s="9"/>
    </row>
    <row r="609" spans="1:18">
      <c r="A609" s="7" t="str">
        <f t="shared" si="22"/>
        <v/>
      </c>
      <c r="B609" s="5"/>
      <c r="C609" s="5"/>
      <c r="D609" s="5"/>
      <c r="E609" s="5"/>
      <c r="F609" s="7"/>
      <c r="G609" s="9"/>
      <c r="H609" s="5"/>
      <c r="I609" s="5"/>
      <c r="J609" s="5"/>
      <c r="K609" s="5"/>
      <c r="L609" s="5"/>
      <c r="M609" s="5"/>
      <c r="N609" s="9"/>
      <c r="O609" s="9" t="str">
        <f t="shared" ca="1" si="23"/>
        <v/>
      </c>
      <c r="P609" s="9"/>
      <c r="Q609" s="5"/>
      <c r="R609" s="9"/>
    </row>
    <row r="610" spans="1:18">
      <c r="A610" s="7" t="str">
        <f t="shared" si="22"/>
        <v/>
      </c>
      <c r="B610" s="5"/>
      <c r="C610" s="5"/>
      <c r="D610" s="5"/>
      <c r="E610" s="5"/>
      <c r="F610" s="7"/>
      <c r="G610" s="9"/>
      <c r="H610" s="5"/>
      <c r="I610" s="5"/>
      <c r="J610" s="5"/>
      <c r="K610" s="5"/>
      <c r="L610" s="5"/>
      <c r="M610" s="5"/>
      <c r="N610" s="9"/>
      <c r="O610" s="9" t="str">
        <f t="shared" ca="1" si="23"/>
        <v/>
      </c>
      <c r="P610" s="9"/>
      <c r="Q610" s="5"/>
      <c r="R610" s="9"/>
    </row>
    <row r="611" spans="1:18">
      <c r="A611" s="7" t="str">
        <f t="shared" si="22"/>
        <v/>
      </c>
      <c r="B611" s="5"/>
      <c r="C611" s="5"/>
      <c r="D611" s="5"/>
      <c r="E611" s="5"/>
      <c r="F611" s="7"/>
      <c r="G611" s="9"/>
      <c r="H611" s="5"/>
      <c r="I611" s="5"/>
      <c r="J611" s="5"/>
      <c r="K611" s="5"/>
      <c r="L611" s="5"/>
      <c r="M611" s="5"/>
      <c r="N611" s="9"/>
      <c r="O611" s="9" t="str">
        <f t="shared" ca="1" si="23"/>
        <v/>
      </c>
      <c r="P611" s="9"/>
      <c r="Q611" s="5"/>
      <c r="R611" s="9"/>
    </row>
    <row r="612" spans="1:18">
      <c r="A612" s="7" t="str">
        <f t="shared" si="22"/>
        <v/>
      </c>
      <c r="B612" s="5"/>
      <c r="C612" s="5"/>
      <c r="D612" s="5"/>
      <c r="E612" s="5"/>
      <c r="F612" s="7"/>
      <c r="G612" s="9"/>
      <c r="H612" s="5"/>
      <c r="I612" s="5"/>
      <c r="J612" s="5"/>
      <c r="K612" s="5"/>
      <c r="L612" s="5"/>
      <c r="M612" s="5"/>
      <c r="N612" s="9"/>
      <c r="O612" s="9" t="str">
        <f t="shared" ca="1" si="23"/>
        <v/>
      </c>
      <c r="P612" s="9"/>
      <c r="Q612" s="5"/>
      <c r="R612" s="9"/>
    </row>
    <row r="613" spans="1:18">
      <c r="A613" s="7" t="str">
        <f t="shared" si="22"/>
        <v/>
      </c>
      <c r="B613" s="5"/>
      <c r="C613" s="5"/>
      <c r="D613" s="5"/>
      <c r="E613" s="5"/>
      <c r="F613" s="7"/>
      <c r="G613" s="9"/>
      <c r="H613" s="5"/>
      <c r="I613" s="5"/>
      <c r="J613" s="5"/>
      <c r="K613" s="5"/>
      <c r="L613" s="5"/>
      <c r="M613" s="5"/>
      <c r="N613" s="9"/>
      <c r="O613" s="9" t="str">
        <f t="shared" ca="1" si="23"/>
        <v/>
      </c>
      <c r="P613" s="9"/>
      <c r="Q613" s="5"/>
      <c r="R613" s="9"/>
    </row>
    <row r="614" spans="1:18">
      <c r="A614" s="7" t="str">
        <f t="shared" si="22"/>
        <v/>
      </c>
      <c r="B614" s="5"/>
      <c r="C614" s="5"/>
      <c r="D614" s="5"/>
      <c r="E614" s="5"/>
      <c r="F614" s="7"/>
      <c r="G614" s="9"/>
      <c r="H614" s="5"/>
      <c r="I614" s="5"/>
      <c r="J614" s="5"/>
      <c r="K614" s="5"/>
      <c r="L614" s="5"/>
      <c r="M614" s="5"/>
      <c r="N614" s="9"/>
      <c r="O614" s="9" t="str">
        <f t="shared" ca="1" si="23"/>
        <v/>
      </c>
      <c r="P614" s="9"/>
      <c r="Q614" s="5"/>
      <c r="R614" s="9"/>
    </row>
    <row r="615" spans="1:18">
      <c r="A615" s="7" t="str">
        <f t="shared" si="22"/>
        <v/>
      </c>
      <c r="B615" s="5"/>
      <c r="C615" s="5"/>
      <c r="D615" s="5"/>
      <c r="E615" s="5"/>
      <c r="F615" s="7"/>
      <c r="G615" s="9"/>
      <c r="H615" s="5"/>
      <c r="I615" s="5"/>
      <c r="J615" s="5"/>
      <c r="K615" s="5"/>
      <c r="L615" s="5"/>
      <c r="M615" s="5"/>
      <c r="N615" s="9"/>
      <c r="O615" s="9" t="str">
        <f t="shared" ca="1" si="23"/>
        <v/>
      </c>
      <c r="P615" s="9"/>
      <c r="Q615" s="5"/>
      <c r="R615" s="9"/>
    </row>
    <row r="616" spans="1:18">
      <c r="A616" s="7" t="str">
        <f t="shared" si="22"/>
        <v/>
      </c>
      <c r="B616" s="5"/>
      <c r="C616" s="5"/>
      <c r="D616" s="5"/>
      <c r="E616" s="5"/>
      <c r="F616" s="7"/>
      <c r="G616" s="9"/>
      <c r="H616" s="5"/>
      <c r="I616" s="5"/>
      <c r="J616" s="5"/>
      <c r="K616" s="5"/>
      <c r="L616" s="5"/>
      <c r="M616" s="5"/>
      <c r="N616" s="9"/>
      <c r="O616" s="9" t="str">
        <f t="shared" ca="1" si="23"/>
        <v/>
      </c>
      <c r="P616" s="9"/>
      <c r="Q616" s="5"/>
      <c r="R616" s="9"/>
    </row>
    <row r="617" spans="1:18">
      <c r="A617" s="7" t="str">
        <f t="shared" si="22"/>
        <v/>
      </c>
      <c r="B617" s="5"/>
      <c r="C617" s="5"/>
      <c r="D617" s="5"/>
      <c r="E617" s="5"/>
      <c r="F617" s="7"/>
      <c r="G617" s="9"/>
      <c r="H617" s="5"/>
      <c r="I617" s="5"/>
      <c r="J617" s="5"/>
      <c r="K617" s="5"/>
      <c r="L617" s="5"/>
      <c r="M617" s="5"/>
      <c r="N617" s="9"/>
      <c r="O617" s="9" t="str">
        <f t="shared" ca="1" si="23"/>
        <v/>
      </c>
      <c r="P617" s="9"/>
      <c r="Q617" s="5"/>
      <c r="R617" s="9"/>
    </row>
    <row r="618" spans="1:18">
      <c r="A618" s="7" t="str">
        <f t="shared" si="22"/>
        <v/>
      </c>
      <c r="B618" s="5"/>
      <c r="C618" s="5"/>
      <c r="D618" s="5"/>
      <c r="E618" s="5"/>
      <c r="F618" s="7"/>
      <c r="G618" s="9"/>
      <c r="H618" s="5"/>
      <c r="I618" s="5"/>
      <c r="J618" s="5"/>
      <c r="K618" s="5"/>
      <c r="L618" s="5"/>
      <c r="M618" s="5"/>
      <c r="N618" s="9"/>
      <c r="O618" s="9" t="str">
        <f t="shared" ca="1" si="23"/>
        <v/>
      </c>
      <c r="P618" s="9"/>
      <c r="Q618" s="5"/>
      <c r="R618" s="9"/>
    </row>
    <row r="619" spans="1:18">
      <c r="A619" s="7" t="str">
        <f t="shared" si="22"/>
        <v/>
      </c>
      <c r="B619" s="5"/>
      <c r="C619" s="5"/>
      <c r="D619" s="5"/>
      <c r="E619" s="5"/>
      <c r="F619" s="7"/>
      <c r="G619" s="9"/>
      <c r="H619" s="5"/>
      <c r="I619" s="5"/>
      <c r="J619" s="5"/>
      <c r="K619" s="5"/>
      <c r="L619" s="5"/>
      <c r="M619" s="5"/>
      <c r="N619" s="9"/>
      <c r="O619" s="9" t="str">
        <f t="shared" ca="1" si="23"/>
        <v/>
      </c>
      <c r="P619" s="9"/>
      <c r="Q619" s="5"/>
      <c r="R619" s="9"/>
    </row>
    <row r="620" spans="1:18">
      <c r="A620" s="7" t="str">
        <f t="shared" si="22"/>
        <v/>
      </c>
      <c r="B620" s="5"/>
      <c r="C620" s="5"/>
      <c r="D620" s="5"/>
      <c r="E620" s="5"/>
      <c r="F620" s="7"/>
      <c r="G620" s="9"/>
      <c r="H620" s="5"/>
      <c r="I620" s="5"/>
      <c r="J620" s="5"/>
      <c r="K620" s="5"/>
      <c r="L620" s="5"/>
      <c r="M620" s="5"/>
      <c r="N620" s="9"/>
      <c r="O620" s="9" t="str">
        <f t="shared" ca="1" si="23"/>
        <v/>
      </c>
      <c r="P620" s="9"/>
      <c r="Q620" s="5"/>
      <c r="R620" s="9"/>
    </row>
    <row r="621" spans="1:18">
      <c r="A621" s="7" t="str">
        <f t="shared" si="22"/>
        <v/>
      </c>
      <c r="B621" s="5"/>
      <c r="C621" s="5"/>
      <c r="D621" s="5"/>
      <c r="E621" s="5"/>
      <c r="F621" s="7"/>
      <c r="G621" s="9"/>
      <c r="H621" s="5"/>
      <c r="I621" s="5"/>
      <c r="J621" s="5"/>
      <c r="K621" s="5"/>
      <c r="L621" s="5"/>
      <c r="M621" s="5"/>
      <c r="N621" s="9"/>
      <c r="O621" s="9" t="str">
        <f t="shared" ca="1" si="23"/>
        <v/>
      </c>
      <c r="P621" s="9"/>
      <c r="Q621" s="5"/>
      <c r="R621" s="9"/>
    </row>
    <row r="622" spans="1:18">
      <c r="A622" s="7" t="str">
        <f t="shared" si="22"/>
        <v/>
      </c>
      <c r="B622" s="5"/>
      <c r="C622" s="5"/>
      <c r="D622" s="5"/>
      <c r="E622" s="5"/>
      <c r="F622" s="7"/>
      <c r="G622" s="9"/>
      <c r="H622" s="5"/>
      <c r="I622" s="5"/>
      <c r="J622" s="5"/>
      <c r="K622" s="5"/>
      <c r="L622" s="5"/>
      <c r="M622" s="5"/>
      <c r="N622" s="9"/>
      <c r="O622" s="9" t="str">
        <f t="shared" ca="1" si="23"/>
        <v/>
      </c>
      <c r="P622" s="9"/>
      <c r="Q622" s="5"/>
      <c r="R622" s="9"/>
    </row>
    <row r="623" spans="1:18">
      <c r="A623" s="7" t="str">
        <f t="shared" si="22"/>
        <v/>
      </c>
      <c r="B623" s="5"/>
      <c r="C623" s="5"/>
      <c r="D623" s="5"/>
      <c r="E623" s="5"/>
      <c r="F623" s="7"/>
      <c r="G623" s="9"/>
      <c r="H623" s="5"/>
      <c r="I623" s="5"/>
      <c r="J623" s="5"/>
      <c r="K623" s="5"/>
      <c r="L623" s="5"/>
      <c r="M623" s="5"/>
      <c r="N623" s="9"/>
      <c r="O623" s="9" t="str">
        <f t="shared" ca="1" si="23"/>
        <v/>
      </c>
      <c r="P623" s="9"/>
      <c r="Q623" s="5"/>
      <c r="R623" s="9"/>
    </row>
    <row r="624" spans="1:18">
      <c r="A624" s="7" t="str">
        <f t="shared" si="22"/>
        <v/>
      </c>
      <c r="B624" s="5"/>
      <c r="C624" s="5"/>
      <c r="D624" s="5"/>
      <c r="E624" s="5"/>
      <c r="F624" s="7"/>
      <c r="G624" s="9"/>
      <c r="H624" s="5"/>
      <c r="I624" s="5"/>
      <c r="J624" s="5"/>
      <c r="K624" s="5"/>
      <c r="L624" s="5"/>
      <c r="M624" s="5"/>
      <c r="N624" s="9"/>
      <c r="O624" s="9" t="str">
        <f t="shared" ca="1" si="23"/>
        <v/>
      </c>
      <c r="P624" s="9"/>
      <c r="Q624" s="5"/>
      <c r="R624" s="9"/>
    </row>
    <row r="625" spans="1:18">
      <c r="A625" s="7" t="str">
        <f t="shared" si="22"/>
        <v/>
      </c>
      <c r="B625" s="5"/>
      <c r="C625" s="5"/>
      <c r="D625" s="5"/>
      <c r="E625" s="5"/>
      <c r="F625" s="7"/>
      <c r="G625" s="9"/>
      <c r="H625" s="5"/>
      <c r="I625" s="5"/>
      <c r="J625" s="5"/>
      <c r="K625" s="5"/>
      <c r="L625" s="5"/>
      <c r="M625" s="5"/>
      <c r="N625" s="9"/>
      <c r="O625" s="9" t="str">
        <f t="shared" ca="1" si="23"/>
        <v/>
      </c>
      <c r="P625" s="9"/>
      <c r="Q625" s="5"/>
      <c r="R625" s="9"/>
    </row>
    <row r="626" spans="1:18">
      <c r="A626" s="7" t="str">
        <f t="shared" si="22"/>
        <v/>
      </c>
      <c r="B626" s="5"/>
      <c r="C626" s="5"/>
      <c r="D626" s="5"/>
      <c r="E626" s="5"/>
      <c r="F626" s="7"/>
      <c r="G626" s="9"/>
      <c r="H626" s="5"/>
      <c r="I626" s="5"/>
      <c r="J626" s="5"/>
      <c r="K626" s="5"/>
      <c r="L626" s="5"/>
      <c r="M626" s="5"/>
      <c r="N626" s="9"/>
      <c r="O626" s="9" t="str">
        <f t="shared" ca="1" si="23"/>
        <v/>
      </c>
      <c r="P626" s="9"/>
      <c r="Q626" s="5"/>
      <c r="R626" s="9"/>
    </row>
    <row r="627" spans="1:18">
      <c r="A627" s="7" t="str">
        <f t="shared" si="22"/>
        <v/>
      </c>
      <c r="B627" s="5"/>
      <c r="C627" s="5"/>
      <c r="D627" s="5"/>
      <c r="E627" s="5"/>
      <c r="F627" s="7"/>
      <c r="G627" s="9"/>
      <c r="H627" s="5"/>
      <c r="I627" s="5"/>
      <c r="J627" s="5"/>
      <c r="K627" s="5"/>
      <c r="L627" s="5"/>
      <c r="M627" s="5"/>
      <c r="N627" s="9"/>
      <c r="O627" s="9" t="str">
        <f t="shared" ca="1" si="23"/>
        <v/>
      </c>
      <c r="P627" s="9"/>
      <c r="Q627" s="5"/>
      <c r="R627" s="9"/>
    </row>
    <row r="628" spans="1:18">
      <c r="A628" s="7" t="str">
        <f t="shared" si="22"/>
        <v/>
      </c>
      <c r="B628" s="5"/>
      <c r="C628" s="5"/>
      <c r="D628" s="5"/>
      <c r="E628" s="5"/>
      <c r="F628" s="7"/>
      <c r="G628" s="9"/>
      <c r="H628" s="5"/>
      <c r="I628" s="5"/>
      <c r="J628" s="5"/>
      <c r="K628" s="5"/>
      <c r="L628" s="5"/>
      <c r="M628" s="5"/>
      <c r="N628" s="9"/>
      <c r="O628" s="9" t="str">
        <f t="shared" ca="1" si="23"/>
        <v/>
      </c>
      <c r="P628" s="9"/>
      <c r="Q628" s="5"/>
      <c r="R628" s="9"/>
    </row>
    <row r="629" spans="1:18">
      <c r="A629" s="7" t="str">
        <f t="shared" si="22"/>
        <v/>
      </c>
      <c r="B629" s="5"/>
      <c r="C629" s="5"/>
      <c r="D629" s="5"/>
      <c r="E629" s="5"/>
      <c r="F629" s="7"/>
      <c r="G629" s="9"/>
      <c r="H629" s="5"/>
      <c r="I629" s="5"/>
      <c r="J629" s="5"/>
      <c r="K629" s="5"/>
      <c r="L629" s="5"/>
      <c r="M629" s="5"/>
      <c r="N629" s="9"/>
      <c r="O629" s="9" t="str">
        <f t="shared" ca="1" si="23"/>
        <v/>
      </c>
      <c r="P629" s="9"/>
      <c r="Q629" s="5"/>
      <c r="R629" s="9"/>
    </row>
    <row r="630" spans="1:18">
      <c r="A630" s="7" t="str">
        <f t="shared" si="22"/>
        <v/>
      </c>
      <c r="B630" s="5"/>
      <c r="C630" s="5"/>
      <c r="D630" s="5"/>
      <c r="E630" s="5"/>
      <c r="F630" s="7"/>
      <c r="G630" s="9"/>
      <c r="H630" s="5"/>
      <c r="I630" s="5"/>
      <c r="J630" s="5"/>
      <c r="K630" s="5"/>
      <c r="L630" s="5"/>
      <c r="M630" s="5"/>
      <c r="N630" s="9"/>
      <c r="O630" s="9" t="str">
        <f t="shared" ca="1" si="23"/>
        <v/>
      </c>
      <c r="P630" s="9"/>
      <c r="Q630" s="5"/>
      <c r="R630" s="9"/>
    </row>
    <row r="631" spans="1:18">
      <c r="A631" s="7" t="str">
        <f t="shared" si="22"/>
        <v/>
      </c>
      <c r="B631" s="5"/>
      <c r="C631" s="5"/>
      <c r="D631" s="5"/>
      <c r="E631" s="5"/>
      <c r="F631" s="7"/>
      <c r="G631" s="9"/>
      <c r="H631" s="5"/>
      <c r="I631" s="5"/>
      <c r="J631" s="5"/>
      <c r="K631" s="5"/>
      <c r="L631" s="5"/>
      <c r="M631" s="5"/>
      <c r="N631" s="9"/>
      <c r="O631" s="9" t="str">
        <f t="shared" ca="1" si="23"/>
        <v/>
      </c>
      <c r="P631" s="9"/>
      <c r="Q631" s="5"/>
      <c r="R631" s="9"/>
    </row>
    <row r="632" spans="1:18">
      <c r="A632" s="7" t="str">
        <f t="shared" si="22"/>
        <v/>
      </c>
      <c r="B632" s="5"/>
      <c r="C632" s="5"/>
      <c r="D632" s="5"/>
      <c r="E632" s="5"/>
      <c r="F632" s="7"/>
      <c r="G632" s="9"/>
      <c r="H632" s="5"/>
      <c r="I632" s="5"/>
      <c r="J632" s="5"/>
      <c r="K632" s="5"/>
      <c r="L632" s="5"/>
      <c r="M632" s="5"/>
      <c r="N632" s="9"/>
      <c r="O632" s="9" t="str">
        <f t="shared" ca="1" si="23"/>
        <v/>
      </c>
      <c r="P632" s="9"/>
      <c r="Q632" s="5"/>
      <c r="R632" s="9"/>
    </row>
    <row r="633" spans="1:18">
      <c r="A633" s="7" t="str">
        <f t="shared" si="22"/>
        <v/>
      </c>
      <c r="B633" s="5"/>
      <c r="C633" s="5"/>
      <c r="D633" s="5"/>
      <c r="E633" s="5"/>
      <c r="F633" s="7"/>
      <c r="G633" s="9"/>
      <c r="H633" s="5"/>
      <c r="I633" s="5"/>
      <c r="J633" s="5"/>
      <c r="K633" s="5"/>
      <c r="L633" s="5"/>
      <c r="M633" s="5"/>
      <c r="N633" s="9"/>
      <c r="O633" s="9" t="str">
        <f t="shared" ca="1" si="23"/>
        <v/>
      </c>
      <c r="P633" s="9"/>
      <c r="Q633" s="5"/>
      <c r="R633" s="9"/>
    </row>
    <row r="634" spans="1:18">
      <c r="A634" s="7" t="str">
        <f t="shared" si="22"/>
        <v/>
      </c>
      <c r="B634" s="5"/>
      <c r="C634" s="5"/>
      <c r="D634" s="5"/>
      <c r="E634" s="5"/>
      <c r="F634" s="7"/>
      <c r="G634" s="9"/>
      <c r="H634" s="5"/>
      <c r="I634" s="5"/>
      <c r="J634" s="5"/>
      <c r="K634" s="5"/>
      <c r="L634" s="5"/>
      <c r="M634" s="5"/>
      <c r="N634" s="9"/>
      <c r="O634" s="9" t="str">
        <f t="shared" ca="1" si="23"/>
        <v/>
      </c>
      <c r="P634" s="9"/>
      <c r="Q634" s="5"/>
      <c r="R634" s="9"/>
    </row>
    <row r="635" spans="1:18">
      <c r="A635" s="7" t="str">
        <f t="shared" si="22"/>
        <v/>
      </c>
      <c r="B635" s="5"/>
      <c r="C635" s="5"/>
      <c r="D635" s="5"/>
      <c r="E635" s="5"/>
      <c r="F635" s="7"/>
      <c r="G635" s="9"/>
      <c r="H635" s="5"/>
      <c r="I635" s="5"/>
      <c r="J635" s="5"/>
      <c r="K635" s="5"/>
      <c r="L635" s="5"/>
      <c r="M635" s="5"/>
      <c r="N635" s="9"/>
      <c r="O635" s="9" t="str">
        <f t="shared" ca="1" si="23"/>
        <v/>
      </c>
      <c r="P635" s="9"/>
      <c r="Q635" s="5"/>
      <c r="R635" s="9"/>
    </row>
    <row r="636" spans="1:18">
      <c r="A636" s="7" t="str">
        <f t="shared" si="22"/>
        <v/>
      </c>
      <c r="B636" s="5"/>
      <c r="C636" s="5"/>
      <c r="D636" s="5"/>
      <c r="E636" s="5"/>
      <c r="F636" s="7"/>
      <c r="G636" s="9"/>
      <c r="H636" s="5"/>
      <c r="I636" s="5"/>
      <c r="J636" s="5"/>
      <c r="K636" s="5"/>
      <c r="L636" s="5"/>
      <c r="M636" s="5"/>
      <c r="N636" s="9"/>
      <c r="O636" s="9" t="str">
        <f t="shared" ca="1" si="23"/>
        <v/>
      </c>
      <c r="P636" s="9"/>
      <c r="Q636" s="5"/>
      <c r="R636" s="9"/>
    </row>
    <row r="637" spans="1:18">
      <c r="A637" s="7" t="str">
        <f t="shared" si="22"/>
        <v/>
      </c>
      <c r="B637" s="5"/>
      <c r="C637" s="5"/>
      <c r="D637" s="5"/>
      <c r="E637" s="5"/>
      <c r="F637" s="7"/>
      <c r="G637" s="9"/>
      <c r="H637" s="5"/>
      <c r="I637" s="5"/>
      <c r="J637" s="5"/>
      <c r="K637" s="5"/>
      <c r="L637" s="5"/>
      <c r="M637" s="5"/>
      <c r="N637" s="9"/>
      <c r="O637" s="9" t="str">
        <f t="shared" ca="1" si="23"/>
        <v/>
      </c>
      <c r="P637" s="9"/>
      <c r="Q637" s="5"/>
      <c r="R637" s="9"/>
    </row>
    <row r="638" spans="1:18">
      <c r="A638" s="7" t="str">
        <f t="shared" si="22"/>
        <v/>
      </c>
      <c r="B638" s="5"/>
      <c r="C638" s="5"/>
      <c r="D638" s="5"/>
      <c r="E638" s="5"/>
      <c r="F638" s="7"/>
      <c r="G638" s="9"/>
      <c r="H638" s="5"/>
      <c r="I638" s="5"/>
      <c r="J638" s="5"/>
      <c r="K638" s="5"/>
      <c r="L638" s="5"/>
      <c r="M638" s="5"/>
      <c r="N638" s="9"/>
      <c r="O638" s="9" t="str">
        <f t="shared" ca="1" si="23"/>
        <v/>
      </c>
      <c r="P638" s="9"/>
      <c r="Q638" s="5"/>
      <c r="R638" s="9"/>
    </row>
    <row r="639" spans="1:18">
      <c r="A639" s="7" t="str">
        <f t="shared" si="22"/>
        <v/>
      </c>
      <c r="B639" s="5"/>
      <c r="C639" s="5"/>
      <c r="D639" s="5"/>
      <c r="E639" s="5"/>
      <c r="F639" s="7"/>
      <c r="G639" s="9"/>
      <c r="H639" s="5"/>
      <c r="I639" s="5"/>
      <c r="J639" s="5"/>
      <c r="K639" s="5"/>
      <c r="L639" s="5"/>
      <c r="M639" s="5"/>
      <c r="N639" s="9"/>
      <c r="O639" s="9" t="str">
        <f t="shared" ca="1" si="23"/>
        <v/>
      </c>
      <c r="P639" s="9"/>
      <c r="Q639" s="5"/>
      <c r="R639" s="9"/>
    </row>
    <row r="640" spans="1:18">
      <c r="A640" s="7" t="str">
        <f t="shared" si="22"/>
        <v/>
      </c>
      <c r="B640" s="5"/>
      <c r="C640" s="5"/>
      <c r="D640" s="5"/>
      <c r="E640" s="5"/>
      <c r="F640" s="7"/>
      <c r="G640" s="9"/>
      <c r="H640" s="5"/>
      <c r="I640" s="5"/>
      <c r="J640" s="5"/>
      <c r="K640" s="5"/>
      <c r="L640" s="5"/>
      <c r="M640" s="5"/>
      <c r="N640" s="9"/>
      <c r="O640" s="9" t="str">
        <f t="shared" ca="1" si="23"/>
        <v/>
      </c>
      <c r="P640" s="9"/>
      <c r="Q640" s="5"/>
      <c r="R640" s="9"/>
    </row>
    <row r="641" spans="1:18">
      <c r="A641" s="7" t="str">
        <f t="shared" si="22"/>
        <v/>
      </c>
      <c r="B641" s="5"/>
      <c r="C641" s="5"/>
      <c r="D641" s="5"/>
      <c r="E641" s="5"/>
      <c r="F641" s="7"/>
      <c r="G641" s="9"/>
      <c r="H641" s="5"/>
      <c r="I641" s="5"/>
      <c r="J641" s="5"/>
      <c r="K641" s="5"/>
      <c r="L641" s="5"/>
      <c r="M641" s="5"/>
      <c r="N641" s="9"/>
      <c r="O641" s="9" t="str">
        <f t="shared" ca="1" si="23"/>
        <v/>
      </c>
      <c r="P641" s="9"/>
      <c r="Q641" s="5"/>
      <c r="R641" s="9"/>
    </row>
    <row r="642" spans="1:18">
      <c r="A642" s="7" t="str">
        <f t="shared" si="22"/>
        <v/>
      </c>
      <c r="B642" s="5"/>
      <c r="C642" s="5"/>
      <c r="D642" s="5"/>
      <c r="E642" s="5"/>
      <c r="F642" s="7"/>
      <c r="G642" s="9"/>
      <c r="H642" s="5"/>
      <c r="I642" s="5"/>
      <c r="J642" s="5"/>
      <c r="K642" s="5"/>
      <c r="L642" s="5"/>
      <c r="M642" s="5"/>
      <c r="N642" s="9"/>
      <c r="O642" s="9" t="str">
        <f t="shared" ca="1" si="23"/>
        <v/>
      </c>
      <c r="P642" s="9"/>
      <c r="Q642" s="5"/>
      <c r="R642" s="9"/>
    </row>
    <row r="643" spans="1:18">
      <c r="A643" s="7" t="str">
        <f t="shared" si="22"/>
        <v/>
      </c>
      <c r="B643" s="5"/>
      <c r="C643" s="5"/>
      <c r="D643" s="5"/>
      <c r="E643" s="5"/>
      <c r="F643" s="7"/>
      <c r="G643" s="9"/>
      <c r="H643" s="5"/>
      <c r="I643" s="5"/>
      <c r="J643" s="5"/>
      <c r="K643" s="5"/>
      <c r="L643" s="5"/>
      <c r="M643" s="5"/>
      <c r="N643" s="9"/>
      <c r="O643" s="9" t="str">
        <f t="shared" ca="1" si="23"/>
        <v/>
      </c>
      <c r="P643" s="9"/>
      <c r="Q643" s="5"/>
      <c r="R643" s="9"/>
    </row>
    <row r="644" spans="1:18">
      <c r="A644" s="7" t="str">
        <f t="shared" ref="A644:A707" si="24">IF(B644="","",ROW()-3)</f>
        <v/>
      </c>
      <c r="B644" s="5"/>
      <c r="C644" s="5"/>
      <c r="D644" s="5"/>
      <c r="E644" s="5"/>
      <c r="F644" s="7"/>
      <c r="G644" s="9"/>
      <c r="H644" s="5"/>
      <c r="I644" s="5"/>
      <c r="J644" s="5"/>
      <c r="K644" s="5"/>
      <c r="L644" s="5"/>
      <c r="M644" s="5"/>
      <c r="N644" s="9"/>
      <c r="O644" s="9" t="str">
        <f t="shared" ca="1" si="23"/>
        <v/>
      </c>
      <c r="P644" s="9"/>
      <c r="Q644" s="5"/>
      <c r="R644" s="9"/>
    </row>
    <row r="645" spans="1:18">
      <c r="A645" s="7" t="str">
        <f t="shared" si="24"/>
        <v/>
      </c>
      <c r="B645" s="5"/>
      <c r="C645" s="5"/>
      <c r="D645" s="5"/>
      <c r="E645" s="5"/>
      <c r="F645" s="7"/>
      <c r="G645" s="9"/>
      <c r="H645" s="5"/>
      <c r="I645" s="5"/>
      <c r="J645" s="5"/>
      <c r="K645" s="5"/>
      <c r="L645" s="5"/>
      <c r="M645" s="5"/>
      <c r="N645" s="9"/>
      <c r="O645" s="9" t="str">
        <f t="shared" ca="1" si="23"/>
        <v/>
      </c>
      <c r="P645" s="9"/>
      <c r="Q645" s="5"/>
      <c r="R645" s="9"/>
    </row>
    <row r="646" spans="1:18">
      <c r="A646" s="7" t="str">
        <f t="shared" si="24"/>
        <v/>
      </c>
      <c r="B646" s="5"/>
      <c r="C646" s="5"/>
      <c r="D646" s="5"/>
      <c r="E646" s="5"/>
      <c r="F646" s="7"/>
      <c r="G646" s="9"/>
      <c r="H646" s="5"/>
      <c r="I646" s="5"/>
      <c r="J646" s="5"/>
      <c r="K646" s="5"/>
      <c r="L646" s="5"/>
      <c r="M646" s="5"/>
      <c r="N646" s="9"/>
      <c r="O646" s="9" t="str">
        <f t="shared" ca="1" si="23"/>
        <v/>
      </c>
      <c r="P646" s="9"/>
      <c r="Q646" s="5"/>
      <c r="R646" s="9"/>
    </row>
    <row r="647" spans="1:18">
      <c r="A647" s="7" t="str">
        <f t="shared" si="24"/>
        <v/>
      </c>
      <c r="B647" s="5"/>
      <c r="C647" s="5"/>
      <c r="D647" s="5"/>
      <c r="E647" s="5"/>
      <c r="F647" s="7"/>
      <c r="G647" s="9"/>
      <c r="H647" s="5"/>
      <c r="I647" s="5"/>
      <c r="J647" s="5"/>
      <c r="K647" s="5"/>
      <c r="L647" s="5"/>
      <c r="M647" s="5"/>
      <c r="N647" s="9"/>
      <c r="O647" s="9" t="str">
        <f t="shared" ca="1" si="23"/>
        <v/>
      </c>
      <c r="P647" s="9"/>
      <c r="Q647" s="5"/>
      <c r="R647" s="9"/>
    </row>
    <row r="648" spans="1:18">
      <c r="A648" s="7" t="str">
        <f t="shared" si="24"/>
        <v/>
      </c>
      <c r="B648" s="5"/>
      <c r="C648" s="5"/>
      <c r="D648" s="5"/>
      <c r="E648" s="5"/>
      <c r="F648" s="7"/>
      <c r="G648" s="9"/>
      <c r="H648" s="5"/>
      <c r="I648" s="5"/>
      <c r="J648" s="5"/>
      <c r="K648" s="5"/>
      <c r="L648" s="5"/>
      <c r="M648" s="5"/>
      <c r="N648" s="9"/>
      <c r="O648" s="9" t="str">
        <f t="shared" ca="1" si="23"/>
        <v/>
      </c>
      <c r="P648" s="9"/>
      <c r="Q648" s="5"/>
      <c r="R648" s="9"/>
    </row>
    <row r="649" spans="1:18">
      <c r="A649" s="7" t="str">
        <f t="shared" si="24"/>
        <v/>
      </c>
      <c r="B649" s="5"/>
      <c r="C649" s="5"/>
      <c r="D649" s="5"/>
      <c r="E649" s="5"/>
      <c r="F649" s="7"/>
      <c r="G649" s="9"/>
      <c r="H649" s="5"/>
      <c r="I649" s="5"/>
      <c r="J649" s="5"/>
      <c r="K649" s="5"/>
      <c r="L649" s="5"/>
      <c r="M649" s="5"/>
      <c r="N649" s="9"/>
      <c r="O649" s="9" t="str">
        <f t="shared" ca="1" si="23"/>
        <v/>
      </c>
      <c r="P649" s="9"/>
      <c r="Q649" s="5"/>
      <c r="R649" s="9"/>
    </row>
    <row r="650" spans="1:18">
      <c r="A650" s="7" t="str">
        <f t="shared" si="24"/>
        <v/>
      </c>
      <c r="B650" s="5"/>
      <c r="C650" s="5"/>
      <c r="D650" s="5"/>
      <c r="E650" s="5"/>
      <c r="F650" s="7"/>
      <c r="G650" s="9"/>
      <c r="H650" s="5"/>
      <c r="I650" s="5"/>
      <c r="J650" s="5"/>
      <c r="K650" s="5"/>
      <c r="L650" s="5"/>
      <c r="M650" s="5"/>
      <c r="N650" s="9"/>
      <c r="O650" s="9" t="str">
        <f t="shared" ca="1" si="23"/>
        <v/>
      </c>
      <c r="P650" s="9"/>
      <c r="Q650" s="5"/>
      <c r="R650" s="9"/>
    </row>
    <row r="651" spans="1:18">
      <c r="A651" s="7" t="str">
        <f t="shared" si="24"/>
        <v/>
      </c>
      <c r="B651" s="5"/>
      <c r="C651" s="5"/>
      <c r="D651" s="5"/>
      <c r="E651" s="5"/>
      <c r="F651" s="7"/>
      <c r="G651" s="9"/>
      <c r="H651" s="5"/>
      <c r="I651" s="5"/>
      <c r="J651" s="5"/>
      <c r="K651" s="5"/>
      <c r="L651" s="5"/>
      <c r="M651" s="5"/>
      <c r="N651" s="9"/>
      <c r="O651" s="9" t="str">
        <f t="shared" ca="1" si="23"/>
        <v/>
      </c>
      <c r="P651" s="9"/>
      <c r="Q651" s="5"/>
      <c r="R651" s="9"/>
    </row>
    <row r="652" spans="1:18">
      <c r="A652" s="7" t="str">
        <f t="shared" si="24"/>
        <v/>
      </c>
      <c r="B652" s="5"/>
      <c r="C652" s="5"/>
      <c r="D652" s="5"/>
      <c r="E652" s="5"/>
      <c r="F652" s="7"/>
      <c r="G652" s="9"/>
      <c r="H652" s="5"/>
      <c r="I652" s="5"/>
      <c r="J652" s="5"/>
      <c r="K652" s="5"/>
      <c r="L652" s="5"/>
      <c r="M652" s="5"/>
      <c r="N652" s="9"/>
      <c r="O652" s="9" t="str">
        <f t="shared" ca="1" si="23"/>
        <v/>
      </c>
      <c r="P652" s="9"/>
      <c r="Q652" s="5"/>
      <c r="R652" s="9"/>
    </row>
    <row r="653" spans="1:18">
      <c r="A653" s="7" t="str">
        <f t="shared" si="24"/>
        <v/>
      </c>
      <c r="B653" s="5"/>
      <c r="C653" s="5"/>
      <c r="D653" s="5"/>
      <c r="E653" s="5"/>
      <c r="F653" s="7"/>
      <c r="G653" s="9"/>
      <c r="H653" s="5"/>
      <c r="I653" s="5"/>
      <c r="J653" s="5"/>
      <c r="K653" s="5"/>
      <c r="L653" s="5"/>
      <c r="M653" s="5"/>
      <c r="N653" s="9"/>
      <c r="O653" s="9" t="str">
        <f t="shared" ca="1" si="23"/>
        <v/>
      </c>
      <c r="P653" s="9"/>
      <c r="Q653" s="5"/>
      <c r="R653" s="9"/>
    </row>
    <row r="654" spans="1:18">
      <c r="A654" s="7" t="str">
        <f t="shared" si="24"/>
        <v/>
      </c>
      <c r="B654" s="5"/>
      <c r="C654" s="5"/>
      <c r="D654" s="5"/>
      <c r="E654" s="5"/>
      <c r="F654" s="7"/>
      <c r="G654" s="9"/>
      <c r="H654" s="5"/>
      <c r="I654" s="5"/>
      <c r="J654" s="5"/>
      <c r="K654" s="5"/>
      <c r="L654" s="5"/>
      <c r="M654" s="5"/>
      <c r="N654" s="9"/>
      <c r="O654" s="9" t="str">
        <f t="shared" ref="O654:O717" ca="1" si="25">IF(OR($B654="",$N654&lt;&gt;"Yes",$G654="",$M654=""),"",IF(AND(ISNUMBER($P654),$P654&lt;=TODAY()),$P654+IF($M654="Low",3,IF($M654="Medium",7,21)),$G654+IF($M654="Low",2,IF($M654="Medium",5,14))))</f>
        <v/>
      </c>
      <c r="P654" s="9"/>
      <c r="Q654" s="5"/>
      <c r="R654" s="9"/>
    </row>
    <row r="655" spans="1:18">
      <c r="A655" s="7" t="str">
        <f t="shared" si="24"/>
        <v/>
      </c>
      <c r="B655" s="5"/>
      <c r="C655" s="5"/>
      <c r="D655" s="5"/>
      <c r="E655" s="5"/>
      <c r="F655" s="7"/>
      <c r="G655" s="9"/>
      <c r="H655" s="5"/>
      <c r="I655" s="5"/>
      <c r="J655" s="5"/>
      <c r="K655" s="5"/>
      <c r="L655" s="5"/>
      <c r="M655" s="5"/>
      <c r="N655" s="9"/>
      <c r="O655" s="9" t="str">
        <f t="shared" ca="1" si="25"/>
        <v/>
      </c>
      <c r="P655" s="9"/>
      <c r="Q655" s="5"/>
      <c r="R655" s="9"/>
    </row>
    <row r="656" spans="1:18">
      <c r="A656" s="7" t="str">
        <f t="shared" si="24"/>
        <v/>
      </c>
      <c r="B656" s="5"/>
      <c r="C656" s="5"/>
      <c r="D656" s="5"/>
      <c r="E656" s="5"/>
      <c r="F656" s="7"/>
      <c r="G656" s="9"/>
      <c r="H656" s="5"/>
      <c r="I656" s="5"/>
      <c r="J656" s="5"/>
      <c r="K656" s="5"/>
      <c r="L656" s="5"/>
      <c r="M656" s="5"/>
      <c r="N656" s="9"/>
      <c r="O656" s="9" t="str">
        <f t="shared" ca="1" si="25"/>
        <v/>
      </c>
      <c r="P656" s="9"/>
      <c r="Q656" s="5"/>
      <c r="R656" s="9"/>
    </row>
    <row r="657" spans="1:18">
      <c r="A657" s="7" t="str">
        <f t="shared" si="24"/>
        <v/>
      </c>
      <c r="B657" s="5"/>
      <c r="C657" s="5"/>
      <c r="D657" s="5"/>
      <c r="E657" s="5"/>
      <c r="F657" s="7"/>
      <c r="G657" s="9"/>
      <c r="H657" s="5"/>
      <c r="I657" s="5"/>
      <c r="J657" s="5"/>
      <c r="K657" s="5"/>
      <c r="L657" s="5"/>
      <c r="M657" s="5"/>
      <c r="N657" s="9"/>
      <c r="O657" s="9" t="str">
        <f t="shared" ca="1" si="25"/>
        <v/>
      </c>
      <c r="P657" s="9"/>
      <c r="Q657" s="5"/>
      <c r="R657" s="9"/>
    </row>
    <row r="658" spans="1:18">
      <c r="A658" s="7" t="str">
        <f t="shared" si="24"/>
        <v/>
      </c>
      <c r="B658" s="5"/>
      <c r="C658" s="5"/>
      <c r="D658" s="5"/>
      <c r="E658" s="5"/>
      <c r="F658" s="7"/>
      <c r="G658" s="9"/>
      <c r="H658" s="5"/>
      <c r="I658" s="5"/>
      <c r="J658" s="5"/>
      <c r="K658" s="5"/>
      <c r="L658" s="5"/>
      <c r="M658" s="5"/>
      <c r="N658" s="9"/>
      <c r="O658" s="9" t="str">
        <f t="shared" ca="1" si="25"/>
        <v/>
      </c>
      <c r="P658" s="9"/>
      <c r="Q658" s="5"/>
      <c r="R658" s="9"/>
    </row>
    <row r="659" spans="1:18">
      <c r="A659" s="7" t="str">
        <f t="shared" si="24"/>
        <v/>
      </c>
      <c r="B659" s="5"/>
      <c r="C659" s="5"/>
      <c r="D659" s="5"/>
      <c r="E659" s="5"/>
      <c r="F659" s="7"/>
      <c r="G659" s="9"/>
      <c r="H659" s="5"/>
      <c r="I659" s="5"/>
      <c r="J659" s="5"/>
      <c r="K659" s="5"/>
      <c r="L659" s="5"/>
      <c r="M659" s="5"/>
      <c r="N659" s="9"/>
      <c r="O659" s="9" t="str">
        <f t="shared" ca="1" si="25"/>
        <v/>
      </c>
      <c r="P659" s="9"/>
      <c r="Q659" s="5"/>
      <c r="R659" s="9"/>
    </row>
    <row r="660" spans="1:18">
      <c r="A660" s="7" t="str">
        <f t="shared" si="24"/>
        <v/>
      </c>
      <c r="B660" s="5"/>
      <c r="C660" s="5"/>
      <c r="D660" s="5"/>
      <c r="E660" s="5"/>
      <c r="F660" s="7"/>
      <c r="G660" s="9"/>
      <c r="H660" s="5"/>
      <c r="I660" s="5"/>
      <c r="J660" s="5"/>
      <c r="K660" s="5"/>
      <c r="L660" s="5"/>
      <c r="M660" s="5"/>
      <c r="N660" s="9"/>
      <c r="O660" s="9" t="str">
        <f t="shared" ca="1" si="25"/>
        <v/>
      </c>
      <c r="P660" s="9"/>
      <c r="Q660" s="5"/>
      <c r="R660" s="9"/>
    </row>
    <row r="661" spans="1:18">
      <c r="A661" s="7" t="str">
        <f t="shared" si="24"/>
        <v/>
      </c>
      <c r="B661" s="5"/>
      <c r="C661" s="5"/>
      <c r="D661" s="5"/>
      <c r="E661" s="5"/>
      <c r="F661" s="7"/>
      <c r="G661" s="9"/>
      <c r="H661" s="5"/>
      <c r="I661" s="5"/>
      <c r="J661" s="5"/>
      <c r="K661" s="5"/>
      <c r="L661" s="5"/>
      <c r="M661" s="5"/>
      <c r="N661" s="9"/>
      <c r="O661" s="9" t="str">
        <f t="shared" ca="1" si="25"/>
        <v/>
      </c>
      <c r="P661" s="9"/>
      <c r="Q661" s="5"/>
      <c r="R661" s="9"/>
    </row>
    <row r="662" spans="1:18">
      <c r="A662" s="7" t="str">
        <f t="shared" si="24"/>
        <v/>
      </c>
      <c r="B662" s="5"/>
      <c r="C662" s="5"/>
      <c r="D662" s="5"/>
      <c r="E662" s="5"/>
      <c r="F662" s="7"/>
      <c r="G662" s="9"/>
      <c r="H662" s="5"/>
      <c r="I662" s="5"/>
      <c r="J662" s="5"/>
      <c r="K662" s="5"/>
      <c r="L662" s="5"/>
      <c r="M662" s="5"/>
      <c r="N662" s="9"/>
      <c r="O662" s="9" t="str">
        <f t="shared" ca="1" si="25"/>
        <v/>
      </c>
      <c r="P662" s="9"/>
      <c r="Q662" s="5"/>
      <c r="R662" s="9"/>
    </row>
    <row r="663" spans="1:18">
      <c r="A663" s="7" t="str">
        <f t="shared" si="24"/>
        <v/>
      </c>
      <c r="B663" s="5"/>
      <c r="C663" s="5"/>
      <c r="D663" s="5"/>
      <c r="E663" s="5"/>
      <c r="F663" s="7"/>
      <c r="G663" s="9"/>
      <c r="H663" s="5"/>
      <c r="I663" s="5"/>
      <c r="J663" s="5"/>
      <c r="K663" s="5"/>
      <c r="L663" s="5"/>
      <c r="M663" s="5"/>
      <c r="N663" s="9"/>
      <c r="O663" s="9" t="str">
        <f t="shared" ca="1" si="25"/>
        <v/>
      </c>
      <c r="P663" s="9"/>
      <c r="Q663" s="5"/>
      <c r="R663" s="9"/>
    </row>
    <row r="664" spans="1:18">
      <c r="A664" s="7" t="str">
        <f t="shared" si="24"/>
        <v/>
      </c>
      <c r="B664" s="5"/>
      <c r="C664" s="5"/>
      <c r="D664" s="5"/>
      <c r="E664" s="5"/>
      <c r="F664" s="7"/>
      <c r="G664" s="9"/>
      <c r="H664" s="5"/>
      <c r="I664" s="5"/>
      <c r="J664" s="5"/>
      <c r="K664" s="5"/>
      <c r="L664" s="5"/>
      <c r="M664" s="5"/>
      <c r="N664" s="9"/>
      <c r="O664" s="9" t="str">
        <f t="shared" ca="1" si="25"/>
        <v/>
      </c>
      <c r="P664" s="9"/>
      <c r="Q664" s="5"/>
      <c r="R664" s="9"/>
    </row>
    <row r="665" spans="1:18">
      <c r="A665" s="7" t="str">
        <f t="shared" si="24"/>
        <v/>
      </c>
      <c r="B665" s="5"/>
      <c r="C665" s="5"/>
      <c r="D665" s="5"/>
      <c r="E665" s="5"/>
      <c r="F665" s="7"/>
      <c r="G665" s="9"/>
      <c r="H665" s="5"/>
      <c r="I665" s="5"/>
      <c r="J665" s="5"/>
      <c r="K665" s="5"/>
      <c r="L665" s="5"/>
      <c r="M665" s="5"/>
      <c r="N665" s="9"/>
      <c r="O665" s="9" t="str">
        <f t="shared" ca="1" si="25"/>
        <v/>
      </c>
      <c r="P665" s="9"/>
      <c r="Q665" s="5"/>
      <c r="R665" s="9"/>
    </row>
    <row r="666" spans="1:18">
      <c r="A666" s="7" t="str">
        <f t="shared" si="24"/>
        <v/>
      </c>
      <c r="B666" s="5"/>
      <c r="C666" s="5"/>
      <c r="D666" s="5"/>
      <c r="E666" s="5"/>
      <c r="F666" s="7"/>
      <c r="G666" s="9"/>
      <c r="H666" s="5"/>
      <c r="I666" s="5"/>
      <c r="J666" s="5"/>
      <c r="K666" s="5"/>
      <c r="L666" s="5"/>
      <c r="M666" s="5"/>
      <c r="N666" s="9"/>
      <c r="O666" s="9" t="str">
        <f t="shared" ca="1" si="25"/>
        <v/>
      </c>
      <c r="P666" s="9"/>
      <c r="Q666" s="5"/>
      <c r="R666" s="9"/>
    </row>
    <row r="667" spans="1:18">
      <c r="A667" s="7" t="str">
        <f t="shared" si="24"/>
        <v/>
      </c>
      <c r="B667" s="5"/>
      <c r="C667" s="5"/>
      <c r="D667" s="5"/>
      <c r="E667" s="5"/>
      <c r="F667" s="7"/>
      <c r="G667" s="9"/>
      <c r="H667" s="5"/>
      <c r="I667" s="5"/>
      <c r="J667" s="5"/>
      <c r="K667" s="5"/>
      <c r="L667" s="5"/>
      <c r="M667" s="5"/>
      <c r="N667" s="9"/>
      <c r="O667" s="9" t="str">
        <f t="shared" ca="1" si="25"/>
        <v/>
      </c>
      <c r="P667" s="9"/>
      <c r="Q667" s="5"/>
      <c r="R667" s="9"/>
    </row>
    <row r="668" spans="1:18">
      <c r="A668" s="7" t="str">
        <f t="shared" si="24"/>
        <v/>
      </c>
      <c r="B668" s="5"/>
      <c r="C668" s="5"/>
      <c r="D668" s="5"/>
      <c r="E668" s="5"/>
      <c r="F668" s="7"/>
      <c r="G668" s="9"/>
      <c r="H668" s="5"/>
      <c r="I668" s="5"/>
      <c r="J668" s="5"/>
      <c r="K668" s="5"/>
      <c r="L668" s="5"/>
      <c r="M668" s="5"/>
      <c r="N668" s="9"/>
      <c r="O668" s="9" t="str">
        <f t="shared" ca="1" si="25"/>
        <v/>
      </c>
      <c r="P668" s="9"/>
      <c r="Q668" s="5"/>
      <c r="R668" s="9"/>
    </row>
    <row r="669" spans="1:18">
      <c r="A669" s="7" t="str">
        <f t="shared" si="24"/>
        <v/>
      </c>
      <c r="B669" s="5"/>
      <c r="C669" s="5"/>
      <c r="D669" s="5"/>
      <c r="E669" s="5"/>
      <c r="F669" s="7"/>
      <c r="G669" s="9"/>
      <c r="H669" s="5"/>
      <c r="I669" s="5"/>
      <c r="J669" s="5"/>
      <c r="K669" s="5"/>
      <c r="L669" s="5"/>
      <c r="M669" s="5"/>
      <c r="N669" s="9"/>
      <c r="O669" s="9" t="str">
        <f t="shared" ca="1" si="25"/>
        <v/>
      </c>
      <c r="P669" s="9"/>
      <c r="Q669" s="5"/>
      <c r="R669" s="9"/>
    </row>
    <row r="670" spans="1:18">
      <c r="A670" s="7" t="str">
        <f t="shared" si="24"/>
        <v/>
      </c>
      <c r="B670" s="5"/>
      <c r="C670" s="5"/>
      <c r="D670" s="5"/>
      <c r="E670" s="5"/>
      <c r="F670" s="7"/>
      <c r="G670" s="9"/>
      <c r="H670" s="5"/>
      <c r="I670" s="5"/>
      <c r="J670" s="5"/>
      <c r="K670" s="5"/>
      <c r="L670" s="5"/>
      <c r="M670" s="5"/>
      <c r="N670" s="9"/>
      <c r="O670" s="9" t="str">
        <f t="shared" ca="1" si="25"/>
        <v/>
      </c>
      <c r="P670" s="9"/>
      <c r="Q670" s="5"/>
      <c r="R670" s="9"/>
    </row>
    <row r="671" spans="1:18">
      <c r="A671" s="7" t="str">
        <f t="shared" si="24"/>
        <v/>
      </c>
      <c r="B671" s="5"/>
      <c r="C671" s="5"/>
      <c r="D671" s="5"/>
      <c r="E671" s="5"/>
      <c r="F671" s="7"/>
      <c r="G671" s="9"/>
      <c r="H671" s="5"/>
      <c r="I671" s="5"/>
      <c r="J671" s="5"/>
      <c r="K671" s="5"/>
      <c r="L671" s="5"/>
      <c r="M671" s="5"/>
      <c r="N671" s="9"/>
      <c r="O671" s="9" t="str">
        <f t="shared" ca="1" si="25"/>
        <v/>
      </c>
      <c r="P671" s="9"/>
      <c r="Q671" s="5"/>
      <c r="R671" s="9"/>
    </row>
    <row r="672" spans="1:18">
      <c r="A672" s="7" t="str">
        <f t="shared" si="24"/>
        <v/>
      </c>
      <c r="B672" s="5"/>
      <c r="C672" s="5"/>
      <c r="D672" s="5"/>
      <c r="E672" s="5"/>
      <c r="F672" s="7"/>
      <c r="G672" s="9"/>
      <c r="H672" s="5"/>
      <c r="I672" s="5"/>
      <c r="J672" s="5"/>
      <c r="K672" s="5"/>
      <c r="L672" s="5"/>
      <c r="M672" s="5"/>
      <c r="N672" s="9"/>
      <c r="O672" s="9" t="str">
        <f t="shared" ca="1" si="25"/>
        <v/>
      </c>
      <c r="P672" s="9"/>
      <c r="Q672" s="5"/>
      <c r="R672" s="9"/>
    </row>
    <row r="673" spans="1:18">
      <c r="A673" s="7" t="str">
        <f t="shared" si="24"/>
        <v/>
      </c>
      <c r="B673" s="5"/>
      <c r="C673" s="5"/>
      <c r="D673" s="5"/>
      <c r="E673" s="5"/>
      <c r="F673" s="7"/>
      <c r="G673" s="9"/>
      <c r="H673" s="5"/>
      <c r="I673" s="5"/>
      <c r="J673" s="5"/>
      <c r="K673" s="5"/>
      <c r="L673" s="5"/>
      <c r="M673" s="5"/>
      <c r="N673" s="9"/>
      <c r="O673" s="9" t="str">
        <f t="shared" ca="1" si="25"/>
        <v/>
      </c>
      <c r="P673" s="9"/>
      <c r="Q673" s="5"/>
      <c r="R673" s="9"/>
    </row>
    <row r="674" spans="1:18">
      <c r="A674" s="7" t="str">
        <f t="shared" si="24"/>
        <v/>
      </c>
      <c r="B674" s="5"/>
      <c r="C674" s="5"/>
      <c r="D674" s="5"/>
      <c r="E674" s="5"/>
      <c r="F674" s="7"/>
      <c r="G674" s="9"/>
      <c r="H674" s="5"/>
      <c r="I674" s="5"/>
      <c r="J674" s="5"/>
      <c r="K674" s="5"/>
      <c r="L674" s="5"/>
      <c r="M674" s="5"/>
      <c r="N674" s="9"/>
      <c r="O674" s="9" t="str">
        <f t="shared" ca="1" si="25"/>
        <v/>
      </c>
      <c r="P674" s="9"/>
      <c r="Q674" s="5"/>
      <c r="R674" s="9"/>
    </row>
    <row r="675" spans="1:18">
      <c r="A675" s="7" t="str">
        <f t="shared" si="24"/>
        <v/>
      </c>
      <c r="B675" s="5"/>
      <c r="C675" s="5"/>
      <c r="D675" s="5"/>
      <c r="E675" s="5"/>
      <c r="F675" s="7"/>
      <c r="G675" s="9"/>
      <c r="H675" s="5"/>
      <c r="I675" s="5"/>
      <c r="J675" s="5"/>
      <c r="K675" s="5"/>
      <c r="L675" s="5"/>
      <c r="M675" s="5"/>
      <c r="N675" s="9"/>
      <c r="O675" s="9" t="str">
        <f t="shared" ca="1" si="25"/>
        <v/>
      </c>
      <c r="P675" s="9"/>
      <c r="Q675" s="5"/>
      <c r="R675" s="9"/>
    </row>
    <row r="676" spans="1:18">
      <c r="A676" s="7" t="str">
        <f t="shared" si="24"/>
        <v/>
      </c>
      <c r="B676" s="5"/>
      <c r="C676" s="5"/>
      <c r="D676" s="5"/>
      <c r="E676" s="5"/>
      <c r="F676" s="7"/>
      <c r="G676" s="9"/>
      <c r="H676" s="5"/>
      <c r="I676" s="5"/>
      <c r="J676" s="5"/>
      <c r="K676" s="5"/>
      <c r="L676" s="5"/>
      <c r="M676" s="5"/>
      <c r="N676" s="9"/>
      <c r="O676" s="9" t="str">
        <f t="shared" ca="1" si="25"/>
        <v/>
      </c>
      <c r="P676" s="9"/>
      <c r="Q676" s="5"/>
      <c r="R676" s="9"/>
    </row>
    <row r="677" spans="1:18">
      <c r="A677" s="7" t="str">
        <f t="shared" si="24"/>
        <v/>
      </c>
      <c r="B677" s="5"/>
      <c r="C677" s="5"/>
      <c r="D677" s="5"/>
      <c r="E677" s="5"/>
      <c r="F677" s="7"/>
      <c r="G677" s="9"/>
      <c r="H677" s="5"/>
      <c r="I677" s="5"/>
      <c r="J677" s="5"/>
      <c r="K677" s="5"/>
      <c r="L677" s="5"/>
      <c r="M677" s="5"/>
      <c r="N677" s="9"/>
      <c r="O677" s="9" t="str">
        <f t="shared" ca="1" si="25"/>
        <v/>
      </c>
      <c r="P677" s="9"/>
      <c r="Q677" s="5"/>
      <c r="R677" s="9"/>
    </row>
    <row r="678" spans="1:18">
      <c r="A678" s="7" t="str">
        <f t="shared" si="24"/>
        <v/>
      </c>
      <c r="B678" s="5"/>
      <c r="C678" s="5"/>
      <c r="D678" s="5"/>
      <c r="E678" s="5"/>
      <c r="F678" s="7"/>
      <c r="G678" s="9"/>
      <c r="H678" s="5"/>
      <c r="I678" s="5"/>
      <c r="J678" s="5"/>
      <c r="K678" s="5"/>
      <c r="L678" s="5"/>
      <c r="M678" s="5"/>
      <c r="N678" s="9"/>
      <c r="O678" s="9" t="str">
        <f t="shared" ca="1" si="25"/>
        <v/>
      </c>
      <c r="P678" s="9"/>
      <c r="Q678" s="5"/>
      <c r="R678" s="9"/>
    </row>
    <row r="679" spans="1:18">
      <c r="A679" s="7" t="str">
        <f t="shared" si="24"/>
        <v/>
      </c>
      <c r="B679" s="5"/>
      <c r="C679" s="5"/>
      <c r="D679" s="5"/>
      <c r="E679" s="5"/>
      <c r="F679" s="7"/>
      <c r="G679" s="9"/>
      <c r="H679" s="5"/>
      <c r="I679" s="5"/>
      <c r="J679" s="5"/>
      <c r="K679" s="5"/>
      <c r="L679" s="5"/>
      <c r="M679" s="5"/>
      <c r="N679" s="9"/>
      <c r="O679" s="9" t="str">
        <f t="shared" ca="1" si="25"/>
        <v/>
      </c>
      <c r="P679" s="9"/>
      <c r="Q679" s="5"/>
      <c r="R679" s="9"/>
    </row>
    <row r="680" spans="1:18">
      <c r="A680" s="7" t="str">
        <f t="shared" si="24"/>
        <v/>
      </c>
      <c r="B680" s="5"/>
      <c r="C680" s="5"/>
      <c r="D680" s="5"/>
      <c r="E680" s="5"/>
      <c r="F680" s="7"/>
      <c r="G680" s="9"/>
      <c r="H680" s="5"/>
      <c r="I680" s="5"/>
      <c r="J680" s="5"/>
      <c r="K680" s="5"/>
      <c r="L680" s="5"/>
      <c r="M680" s="5"/>
      <c r="N680" s="9"/>
      <c r="O680" s="9" t="str">
        <f t="shared" ca="1" si="25"/>
        <v/>
      </c>
      <c r="P680" s="9"/>
      <c r="Q680" s="5"/>
      <c r="R680" s="9"/>
    </row>
    <row r="681" spans="1:18">
      <c r="A681" s="7" t="str">
        <f t="shared" si="24"/>
        <v/>
      </c>
      <c r="B681" s="5"/>
      <c r="C681" s="5"/>
      <c r="D681" s="5"/>
      <c r="E681" s="5"/>
      <c r="F681" s="7"/>
      <c r="G681" s="9"/>
      <c r="H681" s="5"/>
      <c r="I681" s="5"/>
      <c r="J681" s="5"/>
      <c r="K681" s="5"/>
      <c r="L681" s="5"/>
      <c r="M681" s="5"/>
      <c r="N681" s="9"/>
      <c r="O681" s="9" t="str">
        <f t="shared" ca="1" si="25"/>
        <v/>
      </c>
      <c r="P681" s="9"/>
      <c r="Q681" s="5"/>
      <c r="R681" s="9"/>
    </row>
    <row r="682" spans="1:18">
      <c r="A682" s="7" t="str">
        <f t="shared" si="24"/>
        <v/>
      </c>
      <c r="B682" s="5"/>
      <c r="C682" s="5"/>
      <c r="D682" s="5"/>
      <c r="E682" s="5"/>
      <c r="F682" s="7"/>
      <c r="G682" s="9"/>
      <c r="H682" s="5"/>
      <c r="I682" s="5"/>
      <c r="J682" s="5"/>
      <c r="K682" s="5"/>
      <c r="L682" s="5"/>
      <c r="M682" s="5"/>
      <c r="N682" s="9"/>
      <c r="O682" s="9" t="str">
        <f t="shared" ca="1" si="25"/>
        <v/>
      </c>
      <c r="P682" s="9"/>
      <c r="Q682" s="5"/>
      <c r="R682" s="9"/>
    </row>
    <row r="683" spans="1:18">
      <c r="A683" s="7" t="str">
        <f t="shared" si="24"/>
        <v/>
      </c>
      <c r="B683" s="5"/>
      <c r="C683" s="5"/>
      <c r="D683" s="5"/>
      <c r="E683" s="5"/>
      <c r="F683" s="7"/>
      <c r="G683" s="9"/>
      <c r="H683" s="5"/>
      <c r="I683" s="5"/>
      <c r="J683" s="5"/>
      <c r="K683" s="5"/>
      <c r="L683" s="5"/>
      <c r="M683" s="5"/>
      <c r="N683" s="9"/>
      <c r="O683" s="9" t="str">
        <f t="shared" ca="1" si="25"/>
        <v/>
      </c>
      <c r="P683" s="9"/>
      <c r="Q683" s="5"/>
      <c r="R683" s="9"/>
    </row>
    <row r="684" spans="1:18">
      <c r="A684" s="7" t="str">
        <f t="shared" si="24"/>
        <v/>
      </c>
      <c r="B684" s="5"/>
      <c r="C684" s="5"/>
      <c r="D684" s="5"/>
      <c r="E684" s="5"/>
      <c r="F684" s="7"/>
      <c r="G684" s="9"/>
      <c r="H684" s="5"/>
      <c r="I684" s="5"/>
      <c r="J684" s="5"/>
      <c r="K684" s="5"/>
      <c r="L684" s="5"/>
      <c r="M684" s="5"/>
      <c r="N684" s="9"/>
      <c r="O684" s="9" t="str">
        <f t="shared" ca="1" si="25"/>
        <v/>
      </c>
      <c r="P684" s="9"/>
      <c r="Q684" s="5"/>
      <c r="R684" s="9"/>
    </row>
    <row r="685" spans="1:18">
      <c r="A685" s="7" t="str">
        <f t="shared" si="24"/>
        <v/>
      </c>
      <c r="B685" s="5"/>
      <c r="C685" s="5"/>
      <c r="D685" s="5"/>
      <c r="E685" s="5"/>
      <c r="F685" s="7"/>
      <c r="G685" s="9"/>
      <c r="H685" s="5"/>
      <c r="I685" s="5"/>
      <c r="J685" s="5"/>
      <c r="K685" s="5"/>
      <c r="L685" s="5"/>
      <c r="M685" s="5"/>
      <c r="N685" s="9"/>
      <c r="O685" s="9" t="str">
        <f t="shared" ca="1" si="25"/>
        <v/>
      </c>
      <c r="P685" s="9"/>
      <c r="Q685" s="5"/>
      <c r="R685" s="9"/>
    </row>
    <row r="686" spans="1:18">
      <c r="A686" s="7" t="str">
        <f t="shared" si="24"/>
        <v/>
      </c>
      <c r="B686" s="5"/>
      <c r="C686" s="5"/>
      <c r="D686" s="5"/>
      <c r="E686" s="5"/>
      <c r="F686" s="7"/>
      <c r="G686" s="9"/>
      <c r="H686" s="5"/>
      <c r="I686" s="5"/>
      <c r="J686" s="5"/>
      <c r="K686" s="5"/>
      <c r="L686" s="5"/>
      <c r="M686" s="5"/>
      <c r="N686" s="9"/>
      <c r="O686" s="9" t="str">
        <f t="shared" ca="1" si="25"/>
        <v/>
      </c>
      <c r="P686" s="9"/>
      <c r="Q686" s="5"/>
      <c r="R686" s="9"/>
    </row>
    <row r="687" spans="1:18">
      <c r="A687" s="7" t="str">
        <f t="shared" si="24"/>
        <v/>
      </c>
      <c r="B687" s="5"/>
      <c r="C687" s="5"/>
      <c r="D687" s="5"/>
      <c r="E687" s="5"/>
      <c r="F687" s="7"/>
      <c r="G687" s="9"/>
      <c r="H687" s="5"/>
      <c r="I687" s="5"/>
      <c r="J687" s="5"/>
      <c r="K687" s="5"/>
      <c r="L687" s="5"/>
      <c r="M687" s="5"/>
      <c r="N687" s="9"/>
      <c r="O687" s="9" t="str">
        <f t="shared" ca="1" si="25"/>
        <v/>
      </c>
      <c r="P687" s="9"/>
      <c r="Q687" s="5"/>
      <c r="R687" s="9"/>
    </row>
    <row r="688" spans="1:18">
      <c r="A688" s="7" t="str">
        <f t="shared" si="24"/>
        <v/>
      </c>
      <c r="B688" s="5"/>
      <c r="C688" s="5"/>
      <c r="D688" s="5"/>
      <c r="E688" s="5"/>
      <c r="F688" s="7"/>
      <c r="G688" s="9"/>
      <c r="H688" s="5"/>
      <c r="I688" s="5"/>
      <c r="J688" s="5"/>
      <c r="K688" s="5"/>
      <c r="L688" s="5"/>
      <c r="M688" s="5"/>
      <c r="N688" s="9"/>
      <c r="O688" s="9" t="str">
        <f t="shared" ca="1" si="25"/>
        <v/>
      </c>
      <c r="P688" s="9"/>
      <c r="Q688" s="5"/>
      <c r="R688" s="9"/>
    </row>
    <row r="689" spans="1:18">
      <c r="A689" s="7" t="str">
        <f t="shared" si="24"/>
        <v/>
      </c>
      <c r="B689" s="5"/>
      <c r="C689" s="5"/>
      <c r="D689" s="5"/>
      <c r="E689" s="5"/>
      <c r="F689" s="7"/>
      <c r="G689" s="9"/>
      <c r="H689" s="5"/>
      <c r="I689" s="5"/>
      <c r="J689" s="5"/>
      <c r="K689" s="5"/>
      <c r="L689" s="5"/>
      <c r="M689" s="5"/>
      <c r="N689" s="9"/>
      <c r="O689" s="9" t="str">
        <f t="shared" ca="1" si="25"/>
        <v/>
      </c>
      <c r="P689" s="9"/>
      <c r="Q689" s="5"/>
      <c r="R689" s="9"/>
    </row>
    <row r="690" spans="1:18">
      <c r="A690" s="7" t="str">
        <f t="shared" si="24"/>
        <v/>
      </c>
      <c r="B690" s="5"/>
      <c r="C690" s="5"/>
      <c r="D690" s="5"/>
      <c r="E690" s="5"/>
      <c r="F690" s="7"/>
      <c r="G690" s="9"/>
      <c r="H690" s="5"/>
      <c r="I690" s="5"/>
      <c r="J690" s="5"/>
      <c r="K690" s="5"/>
      <c r="L690" s="5"/>
      <c r="M690" s="5"/>
      <c r="N690" s="9"/>
      <c r="O690" s="9" t="str">
        <f t="shared" ca="1" si="25"/>
        <v/>
      </c>
      <c r="P690" s="9"/>
      <c r="Q690" s="5"/>
      <c r="R690" s="9"/>
    </row>
    <row r="691" spans="1:18">
      <c r="A691" s="7" t="str">
        <f t="shared" si="24"/>
        <v/>
      </c>
      <c r="B691" s="5"/>
      <c r="C691" s="5"/>
      <c r="D691" s="5"/>
      <c r="E691" s="5"/>
      <c r="F691" s="7"/>
      <c r="G691" s="9"/>
      <c r="H691" s="5"/>
      <c r="I691" s="5"/>
      <c r="J691" s="5"/>
      <c r="K691" s="5"/>
      <c r="L691" s="5"/>
      <c r="M691" s="5"/>
      <c r="N691" s="9"/>
      <c r="O691" s="9" t="str">
        <f t="shared" ca="1" si="25"/>
        <v/>
      </c>
      <c r="P691" s="9"/>
      <c r="Q691" s="5"/>
      <c r="R691" s="9"/>
    </row>
    <row r="692" spans="1:18">
      <c r="A692" s="7" t="str">
        <f t="shared" si="24"/>
        <v/>
      </c>
      <c r="B692" s="5"/>
      <c r="C692" s="5"/>
      <c r="D692" s="5"/>
      <c r="E692" s="5"/>
      <c r="F692" s="7"/>
      <c r="G692" s="9"/>
      <c r="H692" s="5"/>
      <c r="I692" s="5"/>
      <c r="J692" s="5"/>
      <c r="K692" s="5"/>
      <c r="L692" s="5"/>
      <c r="M692" s="5"/>
      <c r="N692" s="9"/>
      <c r="O692" s="9" t="str">
        <f t="shared" ca="1" si="25"/>
        <v/>
      </c>
      <c r="P692" s="9"/>
      <c r="Q692" s="5"/>
      <c r="R692" s="9"/>
    </row>
    <row r="693" spans="1:18">
      <c r="A693" s="7" t="str">
        <f t="shared" si="24"/>
        <v/>
      </c>
      <c r="B693" s="5"/>
      <c r="C693" s="5"/>
      <c r="D693" s="5"/>
      <c r="E693" s="5"/>
      <c r="F693" s="7"/>
      <c r="G693" s="9"/>
      <c r="H693" s="5"/>
      <c r="I693" s="5"/>
      <c r="J693" s="5"/>
      <c r="K693" s="5"/>
      <c r="L693" s="5"/>
      <c r="M693" s="5"/>
      <c r="N693" s="9"/>
      <c r="O693" s="9" t="str">
        <f t="shared" ca="1" si="25"/>
        <v/>
      </c>
      <c r="P693" s="9"/>
      <c r="Q693" s="5"/>
      <c r="R693" s="9"/>
    </row>
    <row r="694" spans="1:18">
      <c r="A694" s="7" t="str">
        <f t="shared" si="24"/>
        <v/>
      </c>
      <c r="B694" s="5"/>
      <c r="C694" s="5"/>
      <c r="D694" s="5"/>
      <c r="E694" s="5"/>
      <c r="F694" s="7"/>
      <c r="G694" s="9"/>
      <c r="H694" s="5"/>
      <c r="I694" s="5"/>
      <c r="J694" s="5"/>
      <c r="K694" s="5"/>
      <c r="L694" s="5"/>
      <c r="M694" s="5"/>
      <c r="N694" s="9"/>
      <c r="O694" s="9" t="str">
        <f t="shared" ca="1" si="25"/>
        <v/>
      </c>
      <c r="P694" s="9"/>
      <c r="Q694" s="5"/>
      <c r="R694" s="9"/>
    </row>
    <row r="695" spans="1:18">
      <c r="A695" s="7" t="str">
        <f t="shared" si="24"/>
        <v/>
      </c>
      <c r="B695" s="5"/>
      <c r="C695" s="5"/>
      <c r="D695" s="5"/>
      <c r="E695" s="5"/>
      <c r="F695" s="7"/>
      <c r="G695" s="9"/>
      <c r="H695" s="5"/>
      <c r="I695" s="5"/>
      <c r="J695" s="5"/>
      <c r="K695" s="5"/>
      <c r="L695" s="5"/>
      <c r="M695" s="5"/>
      <c r="N695" s="9"/>
      <c r="O695" s="9" t="str">
        <f t="shared" ca="1" si="25"/>
        <v/>
      </c>
      <c r="P695" s="9"/>
      <c r="Q695" s="5"/>
      <c r="R695" s="9"/>
    </row>
    <row r="696" spans="1:18">
      <c r="A696" s="7" t="str">
        <f t="shared" si="24"/>
        <v/>
      </c>
      <c r="B696" s="5"/>
      <c r="C696" s="5"/>
      <c r="D696" s="5"/>
      <c r="E696" s="5"/>
      <c r="F696" s="7"/>
      <c r="G696" s="9"/>
      <c r="H696" s="5"/>
      <c r="I696" s="5"/>
      <c r="J696" s="5"/>
      <c r="K696" s="5"/>
      <c r="L696" s="5"/>
      <c r="M696" s="5"/>
      <c r="N696" s="9"/>
      <c r="O696" s="9" t="str">
        <f t="shared" ca="1" si="25"/>
        <v/>
      </c>
      <c r="P696" s="9"/>
      <c r="Q696" s="5"/>
      <c r="R696" s="9"/>
    </row>
    <row r="697" spans="1:18">
      <c r="A697" s="7" t="str">
        <f t="shared" si="24"/>
        <v/>
      </c>
      <c r="B697" s="5"/>
      <c r="C697" s="5"/>
      <c r="D697" s="5"/>
      <c r="E697" s="5"/>
      <c r="F697" s="7"/>
      <c r="G697" s="9"/>
      <c r="H697" s="5"/>
      <c r="I697" s="5"/>
      <c r="J697" s="5"/>
      <c r="K697" s="5"/>
      <c r="L697" s="5"/>
      <c r="M697" s="5"/>
      <c r="N697" s="9"/>
      <c r="O697" s="9" t="str">
        <f t="shared" ca="1" si="25"/>
        <v/>
      </c>
      <c r="P697" s="9"/>
      <c r="Q697" s="5"/>
      <c r="R697" s="9"/>
    </row>
    <row r="698" spans="1:18">
      <c r="A698" s="7" t="str">
        <f t="shared" si="24"/>
        <v/>
      </c>
      <c r="B698" s="5"/>
      <c r="C698" s="5"/>
      <c r="D698" s="5"/>
      <c r="E698" s="5"/>
      <c r="F698" s="7"/>
      <c r="G698" s="9"/>
      <c r="H698" s="5"/>
      <c r="I698" s="5"/>
      <c r="J698" s="5"/>
      <c r="K698" s="5"/>
      <c r="L698" s="5"/>
      <c r="M698" s="5"/>
      <c r="N698" s="9"/>
      <c r="O698" s="9" t="str">
        <f t="shared" ca="1" si="25"/>
        <v/>
      </c>
      <c r="P698" s="9"/>
      <c r="Q698" s="5"/>
      <c r="R698" s="9"/>
    </row>
    <row r="699" spans="1:18">
      <c r="A699" s="7" t="str">
        <f t="shared" si="24"/>
        <v/>
      </c>
      <c r="B699" s="5"/>
      <c r="C699" s="5"/>
      <c r="D699" s="5"/>
      <c r="E699" s="5"/>
      <c r="F699" s="7"/>
      <c r="G699" s="9"/>
      <c r="H699" s="5"/>
      <c r="I699" s="5"/>
      <c r="J699" s="5"/>
      <c r="K699" s="5"/>
      <c r="L699" s="5"/>
      <c r="M699" s="5"/>
      <c r="N699" s="9"/>
      <c r="O699" s="9" t="str">
        <f t="shared" ca="1" si="25"/>
        <v/>
      </c>
      <c r="P699" s="9"/>
      <c r="Q699" s="5"/>
      <c r="R699" s="9"/>
    </row>
    <row r="700" spans="1:18">
      <c r="A700" s="7" t="str">
        <f t="shared" si="24"/>
        <v/>
      </c>
      <c r="B700" s="5"/>
      <c r="C700" s="5"/>
      <c r="D700" s="5"/>
      <c r="E700" s="5"/>
      <c r="F700" s="7"/>
      <c r="G700" s="9"/>
      <c r="H700" s="5"/>
      <c r="I700" s="5"/>
      <c r="J700" s="5"/>
      <c r="K700" s="5"/>
      <c r="L700" s="5"/>
      <c r="M700" s="5"/>
      <c r="N700" s="9"/>
      <c r="O700" s="9" t="str">
        <f t="shared" ca="1" si="25"/>
        <v/>
      </c>
      <c r="P700" s="9"/>
      <c r="Q700" s="5"/>
      <c r="R700" s="9"/>
    </row>
    <row r="701" spans="1:18">
      <c r="A701" s="7" t="str">
        <f t="shared" si="24"/>
        <v/>
      </c>
      <c r="B701" s="5"/>
      <c r="C701" s="5"/>
      <c r="D701" s="5"/>
      <c r="E701" s="5"/>
      <c r="F701" s="7"/>
      <c r="G701" s="9"/>
      <c r="H701" s="5"/>
      <c r="I701" s="5"/>
      <c r="J701" s="5"/>
      <c r="K701" s="5"/>
      <c r="L701" s="5"/>
      <c r="M701" s="5"/>
      <c r="N701" s="9"/>
      <c r="O701" s="9" t="str">
        <f t="shared" ca="1" si="25"/>
        <v/>
      </c>
      <c r="P701" s="9"/>
      <c r="Q701" s="5"/>
      <c r="R701" s="9"/>
    </row>
    <row r="702" spans="1:18">
      <c r="A702" s="7" t="str">
        <f t="shared" si="24"/>
        <v/>
      </c>
      <c r="B702" s="5"/>
      <c r="C702" s="5"/>
      <c r="D702" s="5"/>
      <c r="E702" s="5"/>
      <c r="F702" s="7"/>
      <c r="G702" s="9"/>
      <c r="H702" s="5"/>
      <c r="I702" s="5"/>
      <c r="J702" s="5"/>
      <c r="K702" s="5"/>
      <c r="L702" s="5"/>
      <c r="M702" s="5"/>
      <c r="N702" s="9"/>
      <c r="O702" s="9" t="str">
        <f t="shared" ca="1" si="25"/>
        <v/>
      </c>
      <c r="P702" s="9"/>
      <c r="Q702" s="5"/>
      <c r="R702" s="9"/>
    </row>
    <row r="703" spans="1:18">
      <c r="A703" s="7" t="str">
        <f t="shared" si="24"/>
        <v/>
      </c>
      <c r="B703" s="5"/>
      <c r="C703" s="5"/>
      <c r="D703" s="5"/>
      <c r="E703" s="5"/>
      <c r="F703" s="7"/>
      <c r="G703" s="9"/>
      <c r="H703" s="5"/>
      <c r="I703" s="5"/>
      <c r="J703" s="5"/>
      <c r="K703" s="5"/>
      <c r="L703" s="5"/>
      <c r="M703" s="5"/>
      <c r="N703" s="9"/>
      <c r="O703" s="9" t="str">
        <f t="shared" ca="1" si="25"/>
        <v/>
      </c>
      <c r="P703" s="9"/>
      <c r="Q703" s="5"/>
      <c r="R703" s="9"/>
    </row>
    <row r="704" spans="1:18">
      <c r="A704" s="7" t="str">
        <f t="shared" si="24"/>
        <v/>
      </c>
      <c r="B704" s="5"/>
      <c r="C704" s="5"/>
      <c r="D704" s="5"/>
      <c r="E704" s="5"/>
      <c r="F704" s="7"/>
      <c r="G704" s="9"/>
      <c r="H704" s="5"/>
      <c r="I704" s="5"/>
      <c r="J704" s="5"/>
      <c r="K704" s="5"/>
      <c r="L704" s="5"/>
      <c r="M704" s="5"/>
      <c r="N704" s="9"/>
      <c r="O704" s="9" t="str">
        <f t="shared" ca="1" si="25"/>
        <v/>
      </c>
      <c r="P704" s="9"/>
      <c r="Q704" s="5"/>
      <c r="R704" s="9"/>
    </row>
    <row r="705" spans="1:18">
      <c r="A705" s="7" t="str">
        <f t="shared" si="24"/>
        <v/>
      </c>
      <c r="B705" s="5"/>
      <c r="C705" s="5"/>
      <c r="D705" s="5"/>
      <c r="E705" s="5"/>
      <c r="F705" s="7"/>
      <c r="G705" s="9"/>
      <c r="H705" s="5"/>
      <c r="I705" s="5"/>
      <c r="J705" s="5"/>
      <c r="K705" s="5"/>
      <c r="L705" s="5"/>
      <c r="M705" s="5"/>
      <c r="N705" s="9"/>
      <c r="O705" s="9" t="str">
        <f t="shared" ca="1" si="25"/>
        <v/>
      </c>
      <c r="P705" s="9"/>
      <c r="Q705" s="5"/>
      <c r="R705" s="9"/>
    </row>
    <row r="706" spans="1:18">
      <c r="A706" s="7" t="str">
        <f t="shared" si="24"/>
        <v/>
      </c>
      <c r="B706" s="5"/>
      <c r="C706" s="5"/>
      <c r="D706" s="5"/>
      <c r="E706" s="5"/>
      <c r="F706" s="7"/>
      <c r="G706" s="9"/>
      <c r="H706" s="5"/>
      <c r="I706" s="5"/>
      <c r="J706" s="5"/>
      <c r="K706" s="5"/>
      <c r="L706" s="5"/>
      <c r="M706" s="5"/>
      <c r="N706" s="9"/>
      <c r="O706" s="9" t="str">
        <f t="shared" ca="1" si="25"/>
        <v/>
      </c>
      <c r="P706" s="9"/>
      <c r="Q706" s="5"/>
      <c r="R706" s="9"/>
    </row>
    <row r="707" spans="1:18">
      <c r="A707" s="7" t="str">
        <f t="shared" si="24"/>
        <v/>
      </c>
      <c r="B707" s="5"/>
      <c r="C707" s="5"/>
      <c r="D707" s="5"/>
      <c r="E707" s="5"/>
      <c r="F707" s="7"/>
      <c r="G707" s="9"/>
      <c r="H707" s="5"/>
      <c r="I707" s="5"/>
      <c r="J707" s="5"/>
      <c r="K707" s="5"/>
      <c r="L707" s="5"/>
      <c r="M707" s="5"/>
      <c r="N707" s="9"/>
      <c r="O707" s="9" t="str">
        <f t="shared" ca="1" si="25"/>
        <v/>
      </c>
      <c r="P707" s="9"/>
      <c r="Q707" s="5"/>
      <c r="R707" s="9"/>
    </row>
    <row r="708" spans="1:18">
      <c r="A708" s="7" t="str">
        <f t="shared" ref="A708:A771" si="26">IF(B708="","",ROW()-3)</f>
        <v/>
      </c>
      <c r="B708" s="5"/>
      <c r="C708" s="5"/>
      <c r="D708" s="5"/>
      <c r="E708" s="5"/>
      <c r="F708" s="7"/>
      <c r="G708" s="9"/>
      <c r="H708" s="5"/>
      <c r="I708" s="5"/>
      <c r="J708" s="5"/>
      <c r="K708" s="5"/>
      <c r="L708" s="5"/>
      <c r="M708" s="5"/>
      <c r="N708" s="9"/>
      <c r="O708" s="9" t="str">
        <f t="shared" ca="1" si="25"/>
        <v/>
      </c>
      <c r="P708" s="9"/>
      <c r="Q708" s="5"/>
      <c r="R708" s="9"/>
    </row>
    <row r="709" spans="1:18">
      <c r="A709" s="7" t="str">
        <f t="shared" si="26"/>
        <v/>
      </c>
      <c r="B709" s="5"/>
      <c r="C709" s="5"/>
      <c r="D709" s="5"/>
      <c r="E709" s="5"/>
      <c r="F709" s="7"/>
      <c r="G709" s="9"/>
      <c r="H709" s="5"/>
      <c r="I709" s="5"/>
      <c r="J709" s="5"/>
      <c r="K709" s="5"/>
      <c r="L709" s="5"/>
      <c r="M709" s="5"/>
      <c r="N709" s="9"/>
      <c r="O709" s="9" t="str">
        <f t="shared" ca="1" si="25"/>
        <v/>
      </c>
      <c r="P709" s="9"/>
      <c r="Q709" s="5"/>
      <c r="R709" s="9"/>
    </row>
    <row r="710" spans="1:18">
      <c r="A710" s="7" t="str">
        <f t="shared" si="26"/>
        <v/>
      </c>
      <c r="B710" s="5"/>
      <c r="C710" s="5"/>
      <c r="D710" s="5"/>
      <c r="E710" s="5"/>
      <c r="F710" s="7"/>
      <c r="G710" s="9"/>
      <c r="H710" s="5"/>
      <c r="I710" s="5"/>
      <c r="J710" s="5"/>
      <c r="K710" s="5"/>
      <c r="L710" s="5"/>
      <c r="M710" s="5"/>
      <c r="N710" s="9"/>
      <c r="O710" s="9" t="str">
        <f t="shared" ca="1" si="25"/>
        <v/>
      </c>
      <c r="P710" s="9"/>
      <c r="Q710" s="5"/>
      <c r="R710" s="9"/>
    </row>
    <row r="711" spans="1:18">
      <c r="A711" s="7" t="str">
        <f t="shared" si="26"/>
        <v/>
      </c>
      <c r="B711" s="5"/>
      <c r="C711" s="5"/>
      <c r="D711" s="5"/>
      <c r="E711" s="5"/>
      <c r="F711" s="7"/>
      <c r="G711" s="9"/>
      <c r="H711" s="5"/>
      <c r="I711" s="5"/>
      <c r="J711" s="5"/>
      <c r="K711" s="5"/>
      <c r="L711" s="5"/>
      <c r="M711" s="5"/>
      <c r="N711" s="9"/>
      <c r="O711" s="9" t="str">
        <f t="shared" ca="1" si="25"/>
        <v/>
      </c>
      <c r="P711" s="9"/>
      <c r="Q711" s="5"/>
      <c r="R711" s="9"/>
    </row>
    <row r="712" spans="1:18">
      <c r="A712" s="7" t="str">
        <f t="shared" si="26"/>
        <v/>
      </c>
      <c r="B712" s="5"/>
      <c r="C712" s="5"/>
      <c r="D712" s="5"/>
      <c r="E712" s="5"/>
      <c r="F712" s="7"/>
      <c r="G712" s="9"/>
      <c r="H712" s="5"/>
      <c r="I712" s="5"/>
      <c r="J712" s="5"/>
      <c r="K712" s="5"/>
      <c r="L712" s="5"/>
      <c r="M712" s="5"/>
      <c r="N712" s="9"/>
      <c r="O712" s="9" t="str">
        <f t="shared" ca="1" si="25"/>
        <v/>
      </c>
      <c r="P712" s="9"/>
      <c r="Q712" s="5"/>
      <c r="R712" s="9"/>
    </row>
    <row r="713" spans="1:18">
      <c r="A713" s="7" t="str">
        <f t="shared" si="26"/>
        <v/>
      </c>
      <c r="B713" s="5"/>
      <c r="C713" s="5"/>
      <c r="D713" s="5"/>
      <c r="E713" s="5"/>
      <c r="F713" s="7"/>
      <c r="G713" s="9"/>
      <c r="H713" s="5"/>
      <c r="I713" s="5"/>
      <c r="J713" s="5"/>
      <c r="K713" s="5"/>
      <c r="L713" s="5"/>
      <c r="M713" s="5"/>
      <c r="N713" s="9"/>
      <c r="O713" s="9" t="str">
        <f t="shared" ca="1" si="25"/>
        <v/>
      </c>
      <c r="P713" s="9"/>
      <c r="Q713" s="5"/>
      <c r="R713" s="9"/>
    </row>
    <row r="714" spans="1:18">
      <c r="A714" s="7" t="str">
        <f t="shared" si="26"/>
        <v/>
      </c>
      <c r="B714" s="5"/>
      <c r="C714" s="5"/>
      <c r="D714" s="5"/>
      <c r="E714" s="5"/>
      <c r="F714" s="7"/>
      <c r="G714" s="9"/>
      <c r="H714" s="5"/>
      <c r="I714" s="5"/>
      <c r="J714" s="5"/>
      <c r="K714" s="5"/>
      <c r="L714" s="5"/>
      <c r="M714" s="5"/>
      <c r="N714" s="9"/>
      <c r="O714" s="9" t="str">
        <f t="shared" ca="1" si="25"/>
        <v/>
      </c>
      <c r="P714" s="9"/>
      <c r="Q714" s="5"/>
      <c r="R714" s="9"/>
    </row>
    <row r="715" spans="1:18">
      <c r="A715" s="7" t="str">
        <f t="shared" si="26"/>
        <v/>
      </c>
      <c r="B715" s="5"/>
      <c r="C715" s="5"/>
      <c r="D715" s="5"/>
      <c r="E715" s="5"/>
      <c r="F715" s="7"/>
      <c r="G715" s="9"/>
      <c r="H715" s="5"/>
      <c r="I715" s="5"/>
      <c r="J715" s="5"/>
      <c r="K715" s="5"/>
      <c r="L715" s="5"/>
      <c r="M715" s="5"/>
      <c r="N715" s="9"/>
      <c r="O715" s="9" t="str">
        <f t="shared" ca="1" si="25"/>
        <v/>
      </c>
      <c r="P715" s="9"/>
      <c r="Q715" s="5"/>
      <c r="R715" s="9"/>
    </row>
    <row r="716" spans="1:18">
      <c r="A716" s="7" t="str">
        <f t="shared" si="26"/>
        <v/>
      </c>
      <c r="B716" s="5"/>
      <c r="C716" s="5"/>
      <c r="D716" s="5"/>
      <c r="E716" s="5"/>
      <c r="F716" s="7"/>
      <c r="G716" s="9"/>
      <c r="H716" s="5"/>
      <c r="I716" s="5"/>
      <c r="J716" s="5"/>
      <c r="K716" s="5"/>
      <c r="L716" s="5"/>
      <c r="M716" s="5"/>
      <c r="N716" s="9"/>
      <c r="O716" s="9" t="str">
        <f t="shared" ca="1" si="25"/>
        <v/>
      </c>
      <c r="P716" s="9"/>
      <c r="Q716" s="5"/>
      <c r="R716" s="9"/>
    </row>
    <row r="717" spans="1:18">
      <c r="A717" s="7" t="str">
        <f t="shared" si="26"/>
        <v/>
      </c>
      <c r="B717" s="5"/>
      <c r="C717" s="5"/>
      <c r="D717" s="5"/>
      <c r="E717" s="5"/>
      <c r="F717" s="7"/>
      <c r="G717" s="9"/>
      <c r="H717" s="5"/>
      <c r="I717" s="5"/>
      <c r="J717" s="5"/>
      <c r="K717" s="5"/>
      <c r="L717" s="5"/>
      <c r="M717" s="5"/>
      <c r="N717" s="9"/>
      <c r="O717" s="9" t="str">
        <f t="shared" ca="1" si="25"/>
        <v/>
      </c>
      <c r="P717" s="9"/>
      <c r="Q717" s="5"/>
      <c r="R717" s="9"/>
    </row>
    <row r="718" spans="1:18">
      <c r="A718" s="7" t="str">
        <f t="shared" si="26"/>
        <v/>
      </c>
      <c r="B718" s="5"/>
      <c r="C718" s="5"/>
      <c r="D718" s="5"/>
      <c r="E718" s="5"/>
      <c r="F718" s="7"/>
      <c r="G718" s="9"/>
      <c r="H718" s="5"/>
      <c r="I718" s="5"/>
      <c r="J718" s="5"/>
      <c r="K718" s="5"/>
      <c r="L718" s="5"/>
      <c r="M718" s="5"/>
      <c r="N718" s="9"/>
      <c r="O718" s="9" t="str">
        <f t="shared" ref="O718:O781" ca="1" si="27">IF(OR($B718="",$N718&lt;&gt;"Yes",$G718="",$M718=""),"",IF(AND(ISNUMBER($P718),$P718&lt;=TODAY()),$P718+IF($M718="Low",3,IF($M718="Medium",7,21)),$G718+IF($M718="Low",2,IF($M718="Medium",5,14))))</f>
        <v/>
      </c>
      <c r="P718" s="9"/>
      <c r="Q718" s="5"/>
      <c r="R718" s="9"/>
    </row>
    <row r="719" spans="1:18">
      <c r="A719" s="7" t="str">
        <f t="shared" si="26"/>
        <v/>
      </c>
      <c r="B719" s="5"/>
      <c r="C719" s="5"/>
      <c r="D719" s="5"/>
      <c r="E719" s="5"/>
      <c r="F719" s="7"/>
      <c r="G719" s="9"/>
      <c r="H719" s="5"/>
      <c r="I719" s="5"/>
      <c r="J719" s="5"/>
      <c r="K719" s="5"/>
      <c r="L719" s="5"/>
      <c r="M719" s="5"/>
      <c r="N719" s="9"/>
      <c r="O719" s="9" t="str">
        <f t="shared" ca="1" si="27"/>
        <v/>
      </c>
      <c r="P719" s="9"/>
      <c r="Q719" s="5"/>
      <c r="R719" s="9"/>
    </row>
    <row r="720" spans="1:18">
      <c r="A720" s="7" t="str">
        <f t="shared" si="26"/>
        <v/>
      </c>
      <c r="B720" s="5"/>
      <c r="C720" s="5"/>
      <c r="D720" s="5"/>
      <c r="E720" s="5"/>
      <c r="F720" s="7"/>
      <c r="G720" s="9"/>
      <c r="H720" s="5"/>
      <c r="I720" s="5"/>
      <c r="J720" s="5"/>
      <c r="K720" s="5"/>
      <c r="L720" s="5"/>
      <c r="M720" s="5"/>
      <c r="N720" s="9"/>
      <c r="O720" s="9" t="str">
        <f t="shared" ca="1" si="27"/>
        <v/>
      </c>
      <c r="P720" s="9"/>
      <c r="Q720" s="5"/>
      <c r="R720" s="9"/>
    </row>
    <row r="721" spans="1:18">
      <c r="A721" s="7" t="str">
        <f t="shared" si="26"/>
        <v/>
      </c>
      <c r="B721" s="5"/>
      <c r="C721" s="5"/>
      <c r="D721" s="5"/>
      <c r="E721" s="5"/>
      <c r="F721" s="7"/>
      <c r="G721" s="9"/>
      <c r="H721" s="5"/>
      <c r="I721" s="5"/>
      <c r="J721" s="5"/>
      <c r="K721" s="5"/>
      <c r="L721" s="5"/>
      <c r="M721" s="5"/>
      <c r="N721" s="9"/>
      <c r="O721" s="9" t="str">
        <f t="shared" ca="1" si="27"/>
        <v/>
      </c>
      <c r="P721" s="9"/>
      <c r="Q721" s="5"/>
      <c r="R721" s="9"/>
    </row>
    <row r="722" spans="1:18">
      <c r="A722" s="7" t="str">
        <f t="shared" si="26"/>
        <v/>
      </c>
      <c r="B722" s="5"/>
      <c r="C722" s="5"/>
      <c r="D722" s="5"/>
      <c r="E722" s="5"/>
      <c r="F722" s="7"/>
      <c r="G722" s="9"/>
      <c r="H722" s="5"/>
      <c r="I722" s="5"/>
      <c r="J722" s="5"/>
      <c r="K722" s="5"/>
      <c r="L722" s="5"/>
      <c r="M722" s="5"/>
      <c r="N722" s="9"/>
      <c r="O722" s="9" t="str">
        <f t="shared" ca="1" si="27"/>
        <v/>
      </c>
      <c r="P722" s="9"/>
      <c r="Q722" s="5"/>
      <c r="R722" s="9"/>
    </row>
    <row r="723" spans="1:18">
      <c r="A723" s="7" t="str">
        <f t="shared" si="26"/>
        <v/>
      </c>
      <c r="B723" s="5"/>
      <c r="C723" s="5"/>
      <c r="D723" s="5"/>
      <c r="E723" s="5"/>
      <c r="F723" s="7"/>
      <c r="G723" s="9"/>
      <c r="H723" s="5"/>
      <c r="I723" s="5"/>
      <c r="J723" s="5"/>
      <c r="K723" s="5"/>
      <c r="L723" s="5"/>
      <c r="M723" s="5"/>
      <c r="N723" s="9"/>
      <c r="O723" s="9" t="str">
        <f t="shared" ca="1" si="27"/>
        <v/>
      </c>
      <c r="P723" s="9"/>
      <c r="Q723" s="5"/>
      <c r="R723" s="9"/>
    </row>
    <row r="724" spans="1:18">
      <c r="A724" s="7" t="str">
        <f t="shared" si="26"/>
        <v/>
      </c>
      <c r="B724" s="5"/>
      <c r="C724" s="5"/>
      <c r="D724" s="5"/>
      <c r="E724" s="5"/>
      <c r="F724" s="7"/>
      <c r="G724" s="9"/>
      <c r="H724" s="5"/>
      <c r="I724" s="5"/>
      <c r="J724" s="5"/>
      <c r="K724" s="5"/>
      <c r="L724" s="5"/>
      <c r="M724" s="5"/>
      <c r="N724" s="9"/>
      <c r="O724" s="9" t="str">
        <f t="shared" ca="1" si="27"/>
        <v/>
      </c>
      <c r="P724" s="9"/>
      <c r="Q724" s="5"/>
      <c r="R724" s="9"/>
    </row>
    <row r="725" spans="1:18">
      <c r="A725" s="7" t="str">
        <f t="shared" si="26"/>
        <v/>
      </c>
      <c r="B725" s="5"/>
      <c r="C725" s="5"/>
      <c r="D725" s="5"/>
      <c r="E725" s="5"/>
      <c r="F725" s="7"/>
      <c r="G725" s="9"/>
      <c r="H725" s="5"/>
      <c r="I725" s="5"/>
      <c r="J725" s="5"/>
      <c r="K725" s="5"/>
      <c r="L725" s="5"/>
      <c r="M725" s="5"/>
      <c r="N725" s="9"/>
      <c r="O725" s="9" t="str">
        <f t="shared" ca="1" si="27"/>
        <v/>
      </c>
      <c r="P725" s="9"/>
      <c r="Q725" s="5"/>
      <c r="R725" s="9"/>
    </row>
    <row r="726" spans="1:18">
      <c r="A726" s="7" t="str">
        <f t="shared" si="26"/>
        <v/>
      </c>
      <c r="B726" s="5"/>
      <c r="C726" s="5"/>
      <c r="D726" s="5"/>
      <c r="E726" s="5"/>
      <c r="F726" s="7"/>
      <c r="G726" s="9"/>
      <c r="H726" s="5"/>
      <c r="I726" s="5"/>
      <c r="J726" s="5"/>
      <c r="K726" s="5"/>
      <c r="L726" s="5"/>
      <c r="M726" s="5"/>
      <c r="N726" s="9"/>
      <c r="O726" s="9" t="str">
        <f t="shared" ca="1" si="27"/>
        <v/>
      </c>
      <c r="P726" s="9"/>
      <c r="Q726" s="5"/>
      <c r="R726" s="9"/>
    </row>
    <row r="727" spans="1:18">
      <c r="A727" s="7" t="str">
        <f t="shared" si="26"/>
        <v/>
      </c>
      <c r="B727" s="5"/>
      <c r="C727" s="5"/>
      <c r="D727" s="5"/>
      <c r="E727" s="5"/>
      <c r="F727" s="7"/>
      <c r="G727" s="9"/>
      <c r="H727" s="5"/>
      <c r="I727" s="5"/>
      <c r="J727" s="5"/>
      <c r="K727" s="5"/>
      <c r="L727" s="5"/>
      <c r="M727" s="5"/>
      <c r="N727" s="9"/>
      <c r="O727" s="9" t="str">
        <f t="shared" ca="1" si="27"/>
        <v/>
      </c>
      <c r="P727" s="9"/>
      <c r="Q727" s="5"/>
      <c r="R727" s="9"/>
    </row>
    <row r="728" spans="1:18">
      <c r="A728" s="7" t="str">
        <f t="shared" si="26"/>
        <v/>
      </c>
      <c r="B728" s="5"/>
      <c r="C728" s="5"/>
      <c r="D728" s="5"/>
      <c r="E728" s="5"/>
      <c r="F728" s="7"/>
      <c r="G728" s="9"/>
      <c r="H728" s="5"/>
      <c r="I728" s="5"/>
      <c r="J728" s="5"/>
      <c r="K728" s="5"/>
      <c r="L728" s="5"/>
      <c r="M728" s="5"/>
      <c r="N728" s="9"/>
      <c r="O728" s="9" t="str">
        <f t="shared" ca="1" si="27"/>
        <v/>
      </c>
      <c r="P728" s="9"/>
      <c r="Q728" s="5"/>
      <c r="R728" s="9"/>
    </row>
    <row r="729" spans="1:18">
      <c r="A729" s="7" t="str">
        <f t="shared" si="26"/>
        <v/>
      </c>
      <c r="B729" s="5"/>
      <c r="C729" s="5"/>
      <c r="D729" s="5"/>
      <c r="E729" s="5"/>
      <c r="F729" s="7"/>
      <c r="G729" s="9"/>
      <c r="H729" s="5"/>
      <c r="I729" s="5"/>
      <c r="J729" s="5"/>
      <c r="K729" s="5"/>
      <c r="L729" s="5"/>
      <c r="M729" s="5"/>
      <c r="N729" s="9"/>
      <c r="O729" s="9" t="str">
        <f t="shared" ca="1" si="27"/>
        <v/>
      </c>
      <c r="P729" s="9"/>
      <c r="Q729" s="5"/>
      <c r="R729" s="9"/>
    </row>
    <row r="730" spans="1:18">
      <c r="A730" s="7" t="str">
        <f t="shared" si="26"/>
        <v/>
      </c>
      <c r="B730" s="5"/>
      <c r="C730" s="5"/>
      <c r="D730" s="5"/>
      <c r="E730" s="5"/>
      <c r="F730" s="7"/>
      <c r="G730" s="9"/>
      <c r="H730" s="5"/>
      <c r="I730" s="5"/>
      <c r="J730" s="5"/>
      <c r="K730" s="5"/>
      <c r="L730" s="5"/>
      <c r="M730" s="5"/>
      <c r="N730" s="9"/>
      <c r="O730" s="9" t="str">
        <f t="shared" ca="1" si="27"/>
        <v/>
      </c>
      <c r="P730" s="9"/>
      <c r="Q730" s="5"/>
      <c r="R730" s="9"/>
    </row>
    <row r="731" spans="1:18">
      <c r="A731" s="7" t="str">
        <f t="shared" si="26"/>
        <v/>
      </c>
      <c r="B731" s="5"/>
      <c r="C731" s="5"/>
      <c r="D731" s="5"/>
      <c r="E731" s="5"/>
      <c r="F731" s="7"/>
      <c r="G731" s="9"/>
      <c r="H731" s="5"/>
      <c r="I731" s="5"/>
      <c r="J731" s="5"/>
      <c r="K731" s="5"/>
      <c r="L731" s="5"/>
      <c r="M731" s="5"/>
      <c r="N731" s="9"/>
      <c r="O731" s="9" t="str">
        <f t="shared" ca="1" si="27"/>
        <v/>
      </c>
      <c r="P731" s="9"/>
      <c r="Q731" s="5"/>
      <c r="R731" s="9"/>
    </row>
    <row r="732" spans="1:18">
      <c r="A732" s="7" t="str">
        <f t="shared" si="26"/>
        <v/>
      </c>
      <c r="B732" s="5"/>
      <c r="C732" s="5"/>
      <c r="D732" s="5"/>
      <c r="E732" s="5"/>
      <c r="F732" s="7"/>
      <c r="G732" s="9"/>
      <c r="H732" s="5"/>
      <c r="I732" s="5"/>
      <c r="J732" s="5"/>
      <c r="K732" s="5"/>
      <c r="L732" s="5"/>
      <c r="M732" s="5"/>
      <c r="N732" s="9"/>
      <c r="O732" s="9" t="str">
        <f t="shared" ca="1" si="27"/>
        <v/>
      </c>
      <c r="P732" s="9"/>
      <c r="Q732" s="5"/>
      <c r="R732" s="9"/>
    </row>
    <row r="733" spans="1:18">
      <c r="A733" s="7" t="str">
        <f t="shared" si="26"/>
        <v/>
      </c>
      <c r="B733" s="5"/>
      <c r="C733" s="5"/>
      <c r="D733" s="5"/>
      <c r="E733" s="5"/>
      <c r="F733" s="7"/>
      <c r="G733" s="9"/>
      <c r="H733" s="5"/>
      <c r="I733" s="5"/>
      <c r="J733" s="5"/>
      <c r="K733" s="5"/>
      <c r="L733" s="5"/>
      <c r="M733" s="5"/>
      <c r="N733" s="9"/>
      <c r="O733" s="9" t="str">
        <f t="shared" ca="1" si="27"/>
        <v/>
      </c>
      <c r="P733" s="9"/>
      <c r="Q733" s="5"/>
      <c r="R733" s="9"/>
    </row>
    <row r="734" spans="1:18">
      <c r="A734" s="7" t="str">
        <f t="shared" si="26"/>
        <v/>
      </c>
      <c r="B734" s="5"/>
      <c r="C734" s="5"/>
      <c r="D734" s="5"/>
      <c r="E734" s="5"/>
      <c r="F734" s="7"/>
      <c r="G734" s="9"/>
      <c r="H734" s="5"/>
      <c r="I734" s="5"/>
      <c r="J734" s="5"/>
      <c r="K734" s="5"/>
      <c r="L734" s="5"/>
      <c r="M734" s="5"/>
      <c r="N734" s="9"/>
      <c r="O734" s="9" t="str">
        <f t="shared" ca="1" si="27"/>
        <v/>
      </c>
      <c r="P734" s="9"/>
      <c r="Q734" s="5"/>
      <c r="R734" s="9"/>
    </row>
    <row r="735" spans="1:18">
      <c r="A735" s="7" t="str">
        <f t="shared" si="26"/>
        <v/>
      </c>
      <c r="B735" s="5"/>
      <c r="C735" s="5"/>
      <c r="D735" s="5"/>
      <c r="E735" s="5"/>
      <c r="F735" s="7"/>
      <c r="G735" s="9"/>
      <c r="H735" s="5"/>
      <c r="I735" s="5"/>
      <c r="J735" s="5"/>
      <c r="K735" s="5"/>
      <c r="L735" s="5"/>
      <c r="M735" s="5"/>
      <c r="N735" s="9"/>
      <c r="O735" s="9" t="str">
        <f t="shared" ca="1" si="27"/>
        <v/>
      </c>
      <c r="P735" s="9"/>
      <c r="Q735" s="5"/>
      <c r="R735" s="9"/>
    </row>
    <row r="736" spans="1:18">
      <c r="A736" s="7" t="str">
        <f t="shared" si="26"/>
        <v/>
      </c>
      <c r="B736" s="5"/>
      <c r="C736" s="5"/>
      <c r="D736" s="5"/>
      <c r="E736" s="5"/>
      <c r="F736" s="7"/>
      <c r="G736" s="9"/>
      <c r="H736" s="5"/>
      <c r="I736" s="5"/>
      <c r="J736" s="5"/>
      <c r="K736" s="5"/>
      <c r="L736" s="5"/>
      <c r="M736" s="5"/>
      <c r="N736" s="9"/>
      <c r="O736" s="9" t="str">
        <f t="shared" ca="1" si="27"/>
        <v/>
      </c>
      <c r="P736" s="9"/>
      <c r="Q736" s="5"/>
      <c r="R736" s="9"/>
    </row>
    <row r="737" spans="1:18">
      <c r="A737" s="7" t="str">
        <f t="shared" si="26"/>
        <v/>
      </c>
      <c r="B737" s="5"/>
      <c r="C737" s="5"/>
      <c r="D737" s="5"/>
      <c r="E737" s="5"/>
      <c r="F737" s="7"/>
      <c r="G737" s="9"/>
      <c r="H737" s="5"/>
      <c r="I737" s="5"/>
      <c r="J737" s="5"/>
      <c r="K737" s="5"/>
      <c r="L737" s="5"/>
      <c r="M737" s="5"/>
      <c r="N737" s="9"/>
      <c r="O737" s="9" t="str">
        <f t="shared" ca="1" si="27"/>
        <v/>
      </c>
      <c r="P737" s="9"/>
      <c r="Q737" s="5"/>
      <c r="R737" s="9"/>
    </row>
    <row r="738" spans="1:18">
      <c r="A738" s="7" t="str">
        <f t="shared" si="26"/>
        <v/>
      </c>
      <c r="B738" s="5"/>
      <c r="C738" s="5"/>
      <c r="D738" s="5"/>
      <c r="E738" s="5"/>
      <c r="F738" s="7"/>
      <c r="G738" s="9"/>
      <c r="H738" s="5"/>
      <c r="I738" s="5"/>
      <c r="J738" s="5"/>
      <c r="K738" s="5"/>
      <c r="L738" s="5"/>
      <c r="M738" s="5"/>
      <c r="N738" s="9"/>
      <c r="O738" s="9" t="str">
        <f t="shared" ca="1" si="27"/>
        <v/>
      </c>
      <c r="P738" s="9"/>
      <c r="Q738" s="5"/>
      <c r="R738" s="9"/>
    </row>
    <row r="739" spans="1:18">
      <c r="A739" s="7" t="str">
        <f t="shared" si="26"/>
        <v/>
      </c>
      <c r="B739" s="5"/>
      <c r="C739" s="5"/>
      <c r="D739" s="5"/>
      <c r="E739" s="5"/>
      <c r="F739" s="7"/>
      <c r="G739" s="9"/>
      <c r="H739" s="5"/>
      <c r="I739" s="5"/>
      <c r="J739" s="5"/>
      <c r="K739" s="5"/>
      <c r="L739" s="5"/>
      <c r="M739" s="5"/>
      <c r="N739" s="9"/>
      <c r="O739" s="9" t="str">
        <f t="shared" ca="1" si="27"/>
        <v/>
      </c>
      <c r="P739" s="9"/>
      <c r="Q739" s="5"/>
      <c r="R739" s="9"/>
    </row>
    <row r="740" spans="1:18">
      <c r="A740" s="7" t="str">
        <f t="shared" si="26"/>
        <v/>
      </c>
      <c r="B740" s="5"/>
      <c r="C740" s="5"/>
      <c r="D740" s="5"/>
      <c r="E740" s="5"/>
      <c r="F740" s="7"/>
      <c r="G740" s="9"/>
      <c r="H740" s="5"/>
      <c r="I740" s="5"/>
      <c r="J740" s="5"/>
      <c r="K740" s="5"/>
      <c r="L740" s="5"/>
      <c r="M740" s="5"/>
      <c r="N740" s="9"/>
      <c r="O740" s="9" t="str">
        <f t="shared" ca="1" si="27"/>
        <v/>
      </c>
      <c r="P740" s="9"/>
      <c r="Q740" s="5"/>
      <c r="R740" s="9"/>
    </row>
    <row r="741" spans="1:18">
      <c r="A741" s="7" t="str">
        <f t="shared" si="26"/>
        <v/>
      </c>
      <c r="B741" s="5"/>
      <c r="C741" s="5"/>
      <c r="D741" s="5"/>
      <c r="E741" s="5"/>
      <c r="F741" s="7"/>
      <c r="G741" s="9"/>
      <c r="H741" s="5"/>
      <c r="I741" s="5"/>
      <c r="J741" s="5"/>
      <c r="K741" s="5"/>
      <c r="L741" s="5"/>
      <c r="M741" s="5"/>
      <c r="N741" s="9"/>
      <c r="O741" s="9" t="str">
        <f t="shared" ca="1" si="27"/>
        <v/>
      </c>
      <c r="P741" s="9"/>
      <c r="Q741" s="5"/>
      <c r="R741" s="9"/>
    </row>
    <row r="742" spans="1:18">
      <c r="A742" s="7" t="str">
        <f t="shared" si="26"/>
        <v/>
      </c>
      <c r="B742" s="5"/>
      <c r="C742" s="5"/>
      <c r="D742" s="5"/>
      <c r="E742" s="5"/>
      <c r="F742" s="7"/>
      <c r="G742" s="9"/>
      <c r="H742" s="5"/>
      <c r="I742" s="5"/>
      <c r="J742" s="5"/>
      <c r="K742" s="5"/>
      <c r="L742" s="5"/>
      <c r="M742" s="5"/>
      <c r="N742" s="9"/>
      <c r="O742" s="9" t="str">
        <f t="shared" ca="1" si="27"/>
        <v/>
      </c>
      <c r="P742" s="9"/>
      <c r="Q742" s="5"/>
      <c r="R742" s="9"/>
    </row>
    <row r="743" spans="1:18">
      <c r="A743" s="7" t="str">
        <f t="shared" si="26"/>
        <v/>
      </c>
      <c r="B743" s="5"/>
      <c r="C743" s="5"/>
      <c r="D743" s="5"/>
      <c r="E743" s="5"/>
      <c r="F743" s="7"/>
      <c r="G743" s="9"/>
      <c r="H743" s="5"/>
      <c r="I743" s="5"/>
      <c r="J743" s="5"/>
      <c r="K743" s="5"/>
      <c r="L743" s="5"/>
      <c r="M743" s="5"/>
      <c r="N743" s="9"/>
      <c r="O743" s="9" t="str">
        <f t="shared" ca="1" si="27"/>
        <v/>
      </c>
      <c r="P743" s="9"/>
      <c r="Q743" s="5"/>
      <c r="R743" s="9"/>
    </row>
    <row r="744" spans="1:18">
      <c r="A744" s="7" t="str">
        <f t="shared" si="26"/>
        <v/>
      </c>
      <c r="B744" s="5"/>
      <c r="C744" s="5"/>
      <c r="D744" s="5"/>
      <c r="E744" s="5"/>
      <c r="F744" s="7"/>
      <c r="G744" s="9"/>
      <c r="H744" s="5"/>
      <c r="I744" s="5"/>
      <c r="J744" s="5"/>
      <c r="K744" s="5"/>
      <c r="L744" s="5"/>
      <c r="M744" s="5"/>
      <c r="N744" s="9"/>
      <c r="O744" s="9" t="str">
        <f t="shared" ca="1" si="27"/>
        <v/>
      </c>
      <c r="P744" s="9"/>
      <c r="Q744" s="5"/>
      <c r="R744" s="9"/>
    </row>
    <row r="745" spans="1:18">
      <c r="A745" s="7" t="str">
        <f t="shared" si="26"/>
        <v/>
      </c>
      <c r="B745" s="5"/>
      <c r="C745" s="5"/>
      <c r="D745" s="5"/>
      <c r="E745" s="5"/>
      <c r="F745" s="7"/>
      <c r="G745" s="9"/>
      <c r="H745" s="5"/>
      <c r="I745" s="5"/>
      <c r="J745" s="5"/>
      <c r="K745" s="5"/>
      <c r="L745" s="5"/>
      <c r="M745" s="5"/>
      <c r="N745" s="9"/>
      <c r="O745" s="9" t="str">
        <f t="shared" ca="1" si="27"/>
        <v/>
      </c>
      <c r="P745" s="9"/>
      <c r="Q745" s="5"/>
      <c r="R745" s="9"/>
    </row>
    <row r="746" spans="1:18">
      <c r="A746" s="7" t="str">
        <f t="shared" si="26"/>
        <v/>
      </c>
      <c r="B746" s="5"/>
      <c r="C746" s="5"/>
      <c r="D746" s="5"/>
      <c r="E746" s="5"/>
      <c r="F746" s="7"/>
      <c r="G746" s="9"/>
      <c r="H746" s="5"/>
      <c r="I746" s="5"/>
      <c r="J746" s="5"/>
      <c r="K746" s="5"/>
      <c r="L746" s="5"/>
      <c r="M746" s="5"/>
      <c r="N746" s="9"/>
      <c r="O746" s="9" t="str">
        <f t="shared" ca="1" si="27"/>
        <v/>
      </c>
      <c r="P746" s="9"/>
      <c r="Q746" s="5"/>
      <c r="R746" s="9"/>
    </row>
    <row r="747" spans="1:18">
      <c r="A747" s="7" t="str">
        <f t="shared" si="26"/>
        <v/>
      </c>
      <c r="B747" s="5"/>
      <c r="C747" s="5"/>
      <c r="D747" s="5"/>
      <c r="E747" s="5"/>
      <c r="F747" s="7"/>
      <c r="G747" s="9"/>
      <c r="H747" s="5"/>
      <c r="I747" s="5"/>
      <c r="J747" s="5"/>
      <c r="K747" s="5"/>
      <c r="L747" s="5"/>
      <c r="M747" s="5"/>
      <c r="N747" s="9"/>
      <c r="O747" s="9" t="str">
        <f t="shared" ca="1" si="27"/>
        <v/>
      </c>
      <c r="P747" s="9"/>
      <c r="Q747" s="5"/>
      <c r="R747" s="9"/>
    </row>
    <row r="748" spans="1:18">
      <c r="A748" s="7" t="str">
        <f t="shared" si="26"/>
        <v/>
      </c>
      <c r="B748" s="5"/>
      <c r="C748" s="5"/>
      <c r="D748" s="5"/>
      <c r="E748" s="5"/>
      <c r="F748" s="7"/>
      <c r="G748" s="9"/>
      <c r="H748" s="5"/>
      <c r="I748" s="5"/>
      <c r="J748" s="5"/>
      <c r="K748" s="5"/>
      <c r="L748" s="5"/>
      <c r="M748" s="5"/>
      <c r="N748" s="9"/>
      <c r="O748" s="9" t="str">
        <f t="shared" ca="1" si="27"/>
        <v/>
      </c>
      <c r="P748" s="9"/>
      <c r="Q748" s="5"/>
      <c r="R748" s="9"/>
    </row>
    <row r="749" spans="1:18">
      <c r="A749" s="7" t="str">
        <f t="shared" si="26"/>
        <v/>
      </c>
      <c r="B749" s="5"/>
      <c r="C749" s="5"/>
      <c r="D749" s="5"/>
      <c r="E749" s="5"/>
      <c r="F749" s="7"/>
      <c r="G749" s="9"/>
      <c r="H749" s="5"/>
      <c r="I749" s="5"/>
      <c r="J749" s="5"/>
      <c r="K749" s="5"/>
      <c r="L749" s="5"/>
      <c r="M749" s="5"/>
      <c r="N749" s="9"/>
      <c r="O749" s="9" t="str">
        <f t="shared" ca="1" si="27"/>
        <v/>
      </c>
      <c r="P749" s="9"/>
      <c r="Q749" s="5"/>
      <c r="R749" s="9"/>
    </row>
    <row r="750" spans="1:18">
      <c r="A750" s="7" t="str">
        <f t="shared" si="26"/>
        <v/>
      </c>
      <c r="B750" s="5"/>
      <c r="C750" s="5"/>
      <c r="D750" s="5"/>
      <c r="E750" s="5"/>
      <c r="F750" s="7"/>
      <c r="G750" s="9"/>
      <c r="H750" s="5"/>
      <c r="I750" s="5"/>
      <c r="J750" s="5"/>
      <c r="K750" s="5"/>
      <c r="L750" s="5"/>
      <c r="M750" s="5"/>
      <c r="N750" s="9"/>
      <c r="O750" s="9" t="str">
        <f t="shared" ca="1" si="27"/>
        <v/>
      </c>
      <c r="P750" s="9"/>
      <c r="Q750" s="5"/>
      <c r="R750" s="9"/>
    </row>
    <row r="751" spans="1:18">
      <c r="A751" s="7" t="str">
        <f t="shared" si="26"/>
        <v/>
      </c>
      <c r="B751" s="5"/>
      <c r="C751" s="5"/>
      <c r="D751" s="5"/>
      <c r="E751" s="5"/>
      <c r="F751" s="7"/>
      <c r="G751" s="9"/>
      <c r="H751" s="5"/>
      <c r="I751" s="5"/>
      <c r="J751" s="5"/>
      <c r="K751" s="5"/>
      <c r="L751" s="5"/>
      <c r="M751" s="5"/>
      <c r="N751" s="9"/>
      <c r="O751" s="9" t="str">
        <f t="shared" ca="1" si="27"/>
        <v/>
      </c>
      <c r="P751" s="9"/>
      <c r="Q751" s="5"/>
      <c r="R751" s="9"/>
    </row>
    <row r="752" spans="1:18">
      <c r="A752" s="7" t="str">
        <f t="shared" si="26"/>
        <v/>
      </c>
      <c r="B752" s="5"/>
      <c r="C752" s="5"/>
      <c r="D752" s="5"/>
      <c r="E752" s="5"/>
      <c r="F752" s="7"/>
      <c r="G752" s="9"/>
      <c r="H752" s="5"/>
      <c r="I752" s="5"/>
      <c r="J752" s="5"/>
      <c r="K752" s="5"/>
      <c r="L752" s="5"/>
      <c r="M752" s="5"/>
      <c r="N752" s="9"/>
      <c r="O752" s="9" t="str">
        <f t="shared" ca="1" si="27"/>
        <v/>
      </c>
      <c r="P752" s="9"/>
      <c r="Q752" s="5"/>
      <c r="R752" s="9"/>
    </row>
    <row r="753" spans="1:18">
      <c r="A753" s="7" t="str">
        <f t="shared" si="26"/>
        <v/>
      </c>
      <c r="B753" s="5"/>
      <c r="C753" s="5"/>
      <c r="D753" s="5"/>
      <c r="E753" s="5"/>
      <c r="F753" s="7"/>
      <c r="G753" s="9"/>
      <c r="H753" s="5"/>
      <c r="I753" s="5"/>
      <c r="J753" s="5"/>
      <c r="K753" s="5"/>
      <c r="L753" s="5"/>
      <c r="M753" s="5"/>
      <c r="N753" s="9"/>
      <c r="O753" s="9" t="str">
        <f t="shared" ca="1" si="27"/>
        <v/>
      </c>
      <c r="P753" s="9"/>
      <c r="Q753" s="5"/>
      <c r="R753" s="9"/>
    </row>
    <row r="754" spans="1:18">
      <c r="A754" s="7" t="str">
        <f t="shared" si="26"/>
        <v/>
      </c>
      <c r="B754" s="5"/>
      <c r="C754" s="5"/>
      <c r="D754" s="5"/>
      <c r="E754" s="5"/>
      <c r="F754" s="7"/>
      <c r="G754" s="9"/>
      <c r="H754" s="5"/>
      <c r="I754" s="5"/>
      <c r="J754" s="5"/>
      <c r="K754" s="5"/>
      <c r="L754" s="5"/>
      <c r="M754" s="5"/>
      <c r="N754" s="9"/>
      <c r="O754" s="9" t="str">
        <f t="shared" ca="1" si="27"/>
        <v/>
      </c>
      <c r="P754" s="9"/>
      <c r="Q754" s="5"/>
      <c r="R754" s="9"/>
    </row>
    <row r="755" spans="1:18">
      <c r="A755" s="7" t="str">
        <f t="shared" si="26"/>
        <v/>
      </c>
      <c r="B755" s="5"/>
      <c r="C755" s="5"/>
      <c r="D755" s="5"/>
      <c r="E755" s="5"/>
      <c r="F755" s="7"/>
      <c r="G755" s="9"/>
      <c r="H755" s="5"/>
      <c r="I755" s="5"/>
      <c r="J755" s="5"/>
      <c r="K755" s="5"/>
      <c r="L755" s="5"/>
      <c r="M755" s="5"/>
      <c r="N755" s="9"/>
      <c r="O755" s="9" t="str">
        <f t="shared" ca="1" si="27"/>
        <v/>
      </c>
      <c r="P755" s="9"/>
      <c r="Q755" s="5"/>
      <c r="R755" s="9"/>
    </row>
    <row r="756" spans="1:18">
      <c r="A756" s="7" t="str">
        <f t="shared" si="26"/>
        <v/>
      </c>
      <c r="B756" s="5"/>
      <c r="C756" s="5"/>
      <c r="D756" s="5"/>
      <c r="E756" s="5"/>
      <c r="F756" s="7"/>
      <c r="G756" s="9"/>
      <c r="H756" s="5"/>
      <c r="I756" s="5"/>
      <c r="J756" s="5"/>
      <c r="K756" s="5"/>
      <c r="L756" s="5"/>
      <c r="M756" s="5"/>
      <c r="N756" s="9"/>
      <c r="O756" s="9" t="str">
        <f t="shared" ca="1" si="27"/>
        <v/>
      </c>
      <c r="P756" s="9"/>
      <c r="Q756" s="5"/>
      <c r="R756" s="9"/>
    </row>
    <row r="757" spans="1:18">
      <c r="A757" s="7" t="str">
        <f t="shared" si="26"/>
        <v/>
      </c>
      <c r="B757" s="5"/>
      <c r="C757" s="5"/>
      <c r="D757" s="5"/>
      <c r="E757" s="5"/>
      <c r="F757" s="7"/>
      <c r="G757" s="9"/>
      <c r="H757" s="5"/>
      <c r="I757" s="5"/>
      <c r="J757" s="5"/>
      <c r="K757" s="5"/>
      <c r="L757" s="5"/>
      <c r="M757" s="5"/>
      <c r="N757" s="9"/>
      <c r="O757" s="9" t="str">
        <f t="shared" ca="1" si="27"/>
        <v/>
      </c>
      <c r="P757" s="9"/>
      <c r="Q757" s="5"/>
      <c r="R757" s="9"/>
    </row>
    <row r="758" spans="1:18">
      <c r="A758" s="7" t="str">
        <f t="shared" si="26"/>
        <v/>
      </c>
      <c r="B758" s="5"/>
      <c r="C758" s="5"/>
      <c r="D758" s="5"/>
      <c r="E758" s="5"/>
      <c r="F758" s="7"/>
      <c r="G758" s="9"/>
      <c r="H758" s="5"/>
      <c r="I758" s="5"/>
      <c r="J758" s="5"/>
      <c r="K758" s="5"/>
      <c r="L758" s="5"/>
      <c r="M758" s="5"/>
      <c r="N758" s="9"/>
      <c r="O758" s="9" t="str">
        <f t="shared" ca="1" si="27"/>
        <v/>
      </c>
      <c r="P758" s="9"/>
      <c r="Q758" s="5"/>
      <c r="R758" s="9"/>
    </row>
    <row r="759" spans="1:18">
      <c r="A759" s="7" t="str">
        <f t="shared" si="26"/>
        <v/>
      </c>
      <c r="B759" s="5"/>
      <c r="C759" s="5"/>
      <c r="D759" s="5"/>
      <c r="E759" s="5"/>
      <c r="F759" s="7"/>
      <c r="G759" s="9"/>
      <c r="H759" s="5"/>
      <c r="I759" s="5"/>
      <c r="J759" s="5"/>
      <c r="K759" s="5"/>
      <c r="L759" s="5"/>
      <c r="M759" s="5"/>
      <c r="N759" s="9"/>
      <c r="O759" s="9" t="str">
        <f t="shared" ca="1" si="27"/>
        <v/>
      </c>
      <c r="P759" s="9"/>
      <c r="Q759" s="5"/>
      <c r="R759" s="9"/>
    </row>
    <row r="760" spans="1:18">
      <c r="A760" s="7" t="str">
        <f t="shared" si="26"/>
        <v/>
      </c>
      <c r="B760" s="5"/>
      <c r="C760" s="5"/>
      <c r="D760" s="5"/>
      <c r="E760" s="5"/>
      <c r="F760" s="7"/>
      <c r="G760" s="9"/>
      <c r="H760" s="5"/>
      <c r="I760" s="5"/>
      <c r="J760" s="5"/>
      <c r="K760" s="5"/>
      <c r="L760" s="5"/>
      <c r="M760" s="5"/>
      <c r="N760" s="9"/>
      <c r="O760" s="9" t="str">
        <f t="shared" ca="1" si="27"/>
        <v/>
      </c>
      <c r="P760" s="9"/>
      <c r="Q760" s="5"/>
      <c r="R760" s="9"/>
    </row>
    <row r="761" spans="1:18">
      <c r="A761" s="7" t="str">
        <f t="shared" si="26"/>
        <v/>
      </c>
      <c r="B761" s="5"/>
      <c r="C761" s="5"/>
      <c r="D761" s="5"/>
      <c r="E761" s="5"/>
      <c r="F761" s="7"/>
      <c r="G761" s="9"/>
      <c r="H761" s="5"/>
      <c r="I761" s="5"/>
      <c r="J761" s="5"/>
      <c r="K761" s="5"/>
      <c r="L761" s="5"/>
      <c r="M761" s="5"/>
      <c r="N761" s="9"/>
      <c r="O761" s="9" t="str">
        <f t="shared" ca="1" si="27"/>
        <v/>
      </c>
      <c r="P761" s="9"/>
      <c r="Q761" s="5"/>
      <c r="R761" s="9"/>
    </row>
    <row r="762" spans="1:18">
      <c r="A762" s="7" t="str">
        <f t="shared" si="26"/>
        <v/>
      </c>
      <c r="B762" s="5"/>
      <c r="C762" s="5"/>
      <c r="D762" s="5"/>
      <c r="E762" s="5"/>
      <c r="F762" s="7"/>
      <c r="G762" s="9"/>
      <c r="H762" s="5"/>
      <c r="I762" s="5"/>
      <c r="J762" s="5"/>
      <c r="K762" s="5"/>
      <c r="L762" s="5"/>
      <c r="M762" s="5"/>
      <c r="N762" s="9"/>
      <c r="O762" s="9" t="str">
        <f t="shared" ca="1" si="27"/>
        <v/>
      </c>
      <c r="P762" s="9"/>
      <c r="Q762" s="5"/>
      <c r="R762" s="9"/>
    </row>
    <row r="763" spans="1:18">
      <c r="A763" s="7" t="str">
        <f t="shared" si="26"/>
        <v/>
      </c>
      <c r="B763" s="5"/>
      <c r="C763" s="5"/>
      <c r="D763" s="5"/>
      <c r="E763" s="5"/>
      <c r="F763" s="7"/>
      <c r="G763" s="9"/>
      <c r="H763" s="5"/>
      <c r="I763" s="5"/>
      <c r="J763" s="5"/>
      <c r="K763" s="5"/>
      <c r="L763" s="5"/>
      <c r="M763" s="5"/>
      <c r="N763" s="9"/>
      <c r="O763" s="9" t="str">
        <f t="shared" ca="1" si="27"/>
        <v/>
      </c>
      <c r="P763" s="9"/>
      <c r="Q763" s="5"/>
      <c r="R763" s="9"/>
    </row>
    <row r="764" spans="1:18">
      <c r="A764" s="7" t="str">
        <f t="shared" si="26"/>
        <v/>
      </c>
      <c r="B764" s="5"/>
      <c r="C764" s="5"/>
      <c r="D764" s="5"/>
      <c r="E764" s="5"/>
      <c r="F764" s="7"/>
      <c r="G764" s="9"/>
      <c r="H764" s="5"/>
      <c r="I764" s="5"/>
      <c r="J764" s="5"/>
      <c r="K764" s="5"/>
      <c r="L764" s="5"/>
      <c r="M764" s="5"/>
      <c r="N764" s="9"/>
      <c r="O764" s="9" t="str">
        <f t="shared" ca="1" si="27"/>
        <v/>
      </c>
      <c r="P764" s="9"/>
      <c r="Q764" s="5"/>
      <c r="R764" s="9"/>
    </row>
    <row r="765" spans="1:18">
      <c r="A765" s="7" t="str">
        <f t="shared" si="26"/>
        <v/>
      </c>
      <c r="B765" s="5"/>
      <c r="C765" s="5"/>
      <c r="D765" s="5"/>
      <c r="E765" s="5"/>
      <c r="F765" s="7"/>
      <c r="G765" s="9"/>
      <c r="H765" s="5"/>
      <c r="I765" s="5"/>
      <c r="J765" s="5"/>
      <c r="K765" s="5"/>
      <c r="L765" s="5"/>
      <c r="M765" s="5"/>
      <c r="N765" s="9"/>
      <c r="O765" s="9" t="str">
        <f t="shared" ca="1" si="27"/>
        <v/>
      </c>
      <c r="P765" s="9"/>
      <c r="Q765" s="5"/>
      <c r="R765" s="9"/>
    </row>
    <row r="766" spans="1:18">
      <c r="A766" s="7" t="str">
        <f t="shared" si="26"/>
        <v/>
      </c>
      <c r="B766" s="5"/>
      <c r="C766" s="5"/>
      <c r="D766" s="5"/>
      <c r="E766" s="5"/>
      <c r="F766" s="7"/>
      <c r="G766" s="9"/>
      <c r="H766" s="5"/>
      <c r="I766" s="5"/>
      <c r="J766" s="5"/>
      <c r="K766" s="5"/>
      <c r="L766" s="5"/>
      <c r="M766" s="5"/>
      <c r="N766" s="9"/>
      <c r="O766" s="9" t="str">
        <f t="shared" ca="1" si="27"/>
        <v/>
      </c>
      <c r="P766" s="9"/>
      <c r="Q766" s="5"/>
      <c r="R766" s="9"/>
    </row>
    <row r="767" spans="1:18">
      <c r="A767" s="7" t="str">
        <f t="shared" si="26"/>
        <v/>
      </c>
      <c r="B767" s="5"/>
      <c r="C767" s="5"/>
      <c r="D767" s="5"/>
      <c r="E767" s="5"/>
      <c r="F767" s="7"/>
      <c r="G767" s="9"/>
      <c r="H767" s="5"/>
      <c r="I767" s="5"/>
      <c r="J767" s="5"/>
      <c r="K767" s="5"/>
      <c r="L767" s="5"/>
      <c r="M767" s="5"/>
      <c r="N767" s="9"/>
      <c r="O767" s="9" t="str">
        <f t="shared" ca="1" si="27"/>
        <v/>
      </c>
      <c r="P767" s="9"/>
      <c r="Q767" s="5"/>
      <c r="R767" s="9"/>
    </row>
    <row r="768" spans="1:18">
      <c r="A768" s="7" t="str">
        <f t="shared" si="26"/>
        <v/>
      </c>
      <c r="B768" s="5"/>
      <c r="C768" s="5"/>
      <c r="D768" s="5"/>
      <c r="E768" s="5"/>
      <c r="F768" s="7"/>
      <c r="G768" s="9"/>
      <c r="H768" s="5"/>
      <c r="I768" s="5"/>
      <c r="J768" s="5"/>
      <c r="K768" s="5"/>
      <c r="L768" s="5"/>
      <c r="M768" s="5"/>
      <c r="N768" s="9"/>
      <c r="O768" s="9" t="str">
        <f t="shared" ca="1" si="27"/>
        <v/>
      </c>
      <c r="P768" s="9"/>
      <c r="Q768" s="5"/>
      <c r="R768" s="9"/>
    </row>
    <row r="769" spans="1:18">
      <c r="A769" s="7" t="str">
        <f t="shared" si="26"/>
        <v/>
      </c>
      <c r="B769" s="5"/>
      <c r="C769" s="5"/>
      <c r="D769" s="5"/>
      <c r="E769" s="5"/>
      <c r="F769" s="7"/>
      <c r="G769" s="9"/>
      <c r="H769" s="5"/>
      <c r="I769" s="5"/>
      <c r="J769" s="5"/>
      <c r="K769" s="5"/>
      <c r="L769" s="5"/>
      <c r="M769" s="5"/>
      <c r="N769" s="9"/>
      <c r="O769" s="9" t="str">
        <f t="shared" ca="1" si="27"/>
        <v/>
      </c>
      <c r="P769" s="9"/>
      <c r="Q769" s="5"/>
      <c r="R769" s="9"/>
    </row>
    <row r="770" spans="1:18">
      <c r="A770" s="7" t="str">
        <f t="shared" si="26"/>
        <v/>
      </c>
      <c r="B770" s="5"/>
      <c r="C770" s="5"/>
      <c r="D770" s="5"/>
      <c r="E770" s="5"/>
      <c r="F770" s="7"/>
      <c r="G770" s="9"/>
      <c r="H770" s="5"/>
      <c r="I770" s="5"/>
      <c r="J770" s="5"/>
      <c r="K770" s="5"/>
      <c r="L770" s="5"/>
      <c r="M770" s="5"/>
      <c r="N770" s="9"/>
      <c r="O770" s="9" t="str">
        <f t="shared" ca="1" si="27"/>
        <v/>
      </c>
      <c r="P770" s="9"/>
      <c r="Q770" s="5"/>
      <c r="R770" s="9"/>
    </row>
    <row r="771" spans="1:18">
      <c r="A771" s="7" t="str">
        <f t="shared" si="26"/>
        <v/>
      </c>
      <c r="B771" s="5"/>
      <c r="C771" s="5"/>
      <c r="D771" s="5"/>
      <c r="E771" s="5"/>
      <c r="F771" s="7"/>
      <c r="G771" s="9"/>
      <c r="H771" s="5"/>
      <c r="I771" s="5"/>
      <c r="J771" s="5"/>
      <c r="K771" s="5"/>
      <c r="L771" s="5"/>
      <c r="M771" s="5"/>
      <c r="N771" s="9"/>
      <c r="O771" s="9" t="str">
        <f t="shared" ca="1" si="27"/>
        <v/>
      </c>
      <c r="P771" s="9"/>
      <c r="Q771" s="5"/>
      <c r="R771" s="9"/>
    </row>
    <row r="772" spans="1:18">
      <c r="A772" s="7" t="str">
        <f t="shared" ref="A772:A835" si="28">IF(B772="","",ROW()-3)</f>
        <v/>
      </c>
      <c r="B772" s="5"/>
      <c r="C772" s="5"/>
      <c r="D772" s="5"/>
      <c r="E772" s="5"/>
      <c r="F772" s="7"/>
      <c r="G772" s="9"/>
      <c r="H772" s="5"/>
      <c r="I772" s="5"/>
      <c r="J772" s="5"/>
      <c r="K772" s="5"/>
      <c r="L772" s="5"/>
      <c r="M772" s="5"/>
      <c r="N772" s="9"/>
      <c r="O772" s="9" t="str">
        <f t="shared" ca="1" si="27"/>
        <v/>
      </c>
      <c r="P772" s="9"/>
      <c r="Q772" s="5"/>
      <c r="R772" s="9"/>
    </row>
    <row r="773" spans="1:18">
      <c r="A773" s="7" t="str">
        <f t="shared" si="28"/>
        <v/>
      </c>
      <c r="B773" s="5"/>
      <c r="C773" s="5"/>
      <c r="D773" s="5"/>
      <c r="E773" s="5"/>
      <c r="F773" s="7"/>
      <c r="G773" s="9"/>
      <c r="H773" s="5"/>
      <c r="I773" s="5"/>
      <c r="J773" s="5"/>
      <c r="K773" s="5"/>
      <c r="L773" s="5"/>
      <c r="M773" s="5"/>
      <c r="N773" s="9"/>
      <c r="O773" s="9" t="str">
        <f t="shared" ca="1" si="27"/>
        <v/>
      </c>
      <c r="P773" s="9"/>
      <c r="Q773" s="5"/>
      <c r="R773" s="9"/>
    </row>
    <row r="774" spans="1:18">
      <c r="A774" s="7" t="str">
        <f t="shared" si="28"/>
        <v/>
      </c>
      <c r="B774" s="5"/>
      <c r="C774" s="5"/>
      <c r="D774" s="5"/>
      <c r="E774" s="5"/>
      <c r="F774" s="7"/>
      <c r="G774" s="9"/>
      <c r="H774" s="5"/>
      <c r="I774" s="5"/>
      <c r="J774" s="5"/>
      <c r="K774" s="5"/>
      <c r="L774" s="5"/>
      <c r="M774" s="5"/>
      <c r="N774" s="9"/>
      <c r="O774" s="9" t="str">
        <f t="shared" ca="1" si="27"/>
        <v/>
      </c>
      <c r="P774" s="9"/>
      <c r="Q774" s="5"/>
      <c r="R774" s="9"/>
    </row>
    <row r="775" spans="1:18">
      <c r="A775" s="7" t="str">
        <f t="shared" si="28"/>
        <v/>
      </c>
      <c r="B775" s="5"/>
      <c r="C775" s="5"/>
      <c r="D775" s="5"/>
      <c r="E775" s="5"/>
      <c r="F775" s="7"/>
      <c r="G775" s="9"/>
      <c r="H775" s="5"/>
      <c r="I775" s="5"/>
      <c r="J775" s="5"/>
      <c r="K775" s="5"/>
      <c r="L775" s="5"/>
      <c r="M775" s="5"/>
      <c r="N775" s="9"/>
      <c r="O775" s="9" t="str">
        <f t="shared" ca="1" si="27"/>
        <v/>
      </c>
      <c r="P775" s="9"/>
      <c r="Q775" s="5"/>
      <c r="R775" s="9"/>
    </row>
    <row r="776" spans="1:18">
      <c r="A776" s="7" t="str">
        <f t="shared" si="28"/>
        <v/>
      </c>
      <c r="B776" s="5"/>
      <c r="C776" s="5"/>
      <c r="D776" s="5"/>
      <c r="E776" s="5"/>
      <c r="F776" s="7"/>
      <c r="G776" s="9"/>
      <c r="H776" s="5"/>
      <c r="I776" s="5"/>
      <c r="J776" s="5"/>
      <c r="K776" s="5"/>
      <c r="L776" s="5"/>
      <c r="M776" s="5"/>
      <c r="N776" s="9"/>
      <c r="O776" s="9" t="str">
        <f t="shared" ca="1" si="27"/>
        <v/>
      </c>
      <c r="P776" s="9"/>
      <c r="Q776" s="5"/>
      <c r="R776" s="9"/>
    </row>
    <row r="777" spans="1:18">
      <c r="A777" s="7" t="str">
        <f t="shared" si="28"/>
        <v/>
      </c>
      <c r="B777" s="5"/>
      <c r="C777" s="5"/>
      <c r="D777" s="5"/>
      <c r="E777" s="5"/>
      <c r="F777" s="7"/>
      <c r="G777" s="9"/>
      <c r="H777" s="5"/>
      <c r="I777" s="5"/>
      <c r="J777" s="5"/>
      <c r="K777" s="5"/>
      <c r="L777" s="5"/>
      <c r="M777" s="5"/>
      <c r="N777" s="9"/>
      <c r="O777" s="9" t="str">
        <f t="shared" ca="1" si="27"/>
        <v/>
      </c>
      <c r="P777" s="9"/>
      <c r="Q777" s="5"/>
      <c r="R777" s="9"/>
    </row>
    <row r="778" spans="1:18">
      <c r="A778" s="7" t="str">
        <f t="shared" si="28"/>
        <v/>
      </c>
      <c r="B778" s="5"/>
      <c r="C778" s="5"/>
      <c r="D778" s="5"/>
      <c r="E778" s="5"/>
      <c r="F778" s="7"/>
      <c r="G778" s="9"/>
      <c r="H778" s="5"/>
      <c r="I778" s="5"/>
      <c r="J778" s="5"/>
      <c r="K778" s="5"/>
      <c r="L778" s="5"/>
      <c r="M778" s="5"/>
      <c r="N778" s="9"/>
      <c r="O778" s="9" t="str">
        <f t="shared" ca="1" si="27"/>
        <v/>
      </c>
      <c r="P778" s="9"/>
      <c r="Q778" s="5"/>
      <c r="R778" s="9"/>
    </row>
    <row r="779" spans="1:18">
      <c r="A779" s="7" t="str">
        <f t="shared" si="28"/>
        <v/>
      </c>
      <c r="B779" s="5"/>
      <c r="C779" s="5"/>
      <c r="D779" s="5"/>
      <c r="E779" s="5"/>
      <c r="F779" s="7"/>
      <c r="G779" s="9"/>
      <c r="H779" s="5"/>
      <c r="I779" s="5"/>
      <c r="J779" s="5"/>
      <c r="K779" s="5"/>
      <c r="L779" s="5"/>
      <c r="M779" s="5"/>
      <c r="N779" s="9"/>
      <c r="O779" s="9" t="str">
        <f t="shared" ca="1" si="27"/>
        <v/>
      </c>
      <c r="P779" s="9"/>
      <c r="Q779" s="5"/>
      <c r="R779" s="9"/>
    </row>
    <row r="780" spans="1:18">
      <c r="A780" s="7" t="str">
        <f t="shared" si="28"/>
        <v/>
      </c>
      <c r="B780" s="5"/>
      <c r="C780" s="5"/>
      <c r="D780" s="5"/>
      <c r="E780" s="5"/>
      <c r="F780" s="7"/>
      <c r="G780" s="9"/>
      <c r="H780" s="5"/>
      <c r="I780" s="5"/>
      <c r="J780" s="5"/>
      <c r="K780" s="5"/>
      <c r="L780" s="5"/>
      <c r="M780" s="5"/>
      <c r="N780" s="9"/>
      <c r="O780" s="9" t="str">
        <f t="shared" ca="1" si="27"/>
        <v/>
      </c>
      <c r="P780" s="9"/>
      <c r="Q780" s="5"/>
      <c r="R780" s="9"/>
    </row>
    <row r="781" spans="1:18">
      <c r="A781" s="7" t="str">
        <f t="shared" si="28"/>
        <v/>
      </c>
      <c r="B781" s="5"/>
      <c r="C781" s="5"/>
      <c r="D781" s="5"/>
      <c r="E781" s="5"/>
      <c r="F781" s="7"/>
      <c r="G781" s="9"/>
      <c r="H781" s="5"/>
      <c r="I781" s="5"/>
      <c r="J781" s="5"/>
      <c r="K781" s="5"/>
      <c r="L781" s="5"/>
      <c r="M781" s="5"/>
      <c r="N781" s="9"/>
      <c r="O781" s="9" t="str">
        <f t="shared" ca="1" si="27"/>
        <v/>
      </c>
      <c r="P781" s="9"/>
      <c r="Q781" s="5"/>
      <c r="R781" s="9"/>
    </row>
    <row r="782" spans="1:18">
      <c r="A782" s="7" t="str">
        <f t="shared" si="28"/>
        <v/>
      </c>
      <c r="B782" s="5"/>
      <c r="C782" s="5"/>
      <c r="D782" s="5"/>
      <c r="E782" s="5"/>
      <c r="F782" s="7"/>
      <c r="G782" s="9"/>
      <c r="H782" s="5"/>
      <c r="I782" s="5"/>
      <c r="J782" s="5"/>
      <c r="K782" s="5"/>
      <c r="L782" s="5"/>
      <c r="M782" s="5"/>
      <c r="N782" s="9"/>
      <c r="O782" s="9" t="str">
        <f t="shared" ref="O782:O845" ca="1" si="29">IF(OR($B782="",$N782&lt;&gt;"Yes",$G782="",$M782=""),"",IF(AND(ISNUMBER($P782),$P782&lt;=TODAY()),$P782+IF($M782="Low",3,IF($M782="Medium",7,21)),$G782+IF($M782="Low",2,IF($M782="Medium",5,14))))</f>
        <v/>
      </c>
      <c r="P782" s="9"/>
      <c r="Q782" s="5"/>
      <c r="R782" s="9"/>
    </row>
    <row r="783" spans="1:18">
      <c r="A783" s="7" t="str">
        <f t="shared" si="28"/>
        <v/>
      </c>
      <c r="B783" s="5"/>
      <c r="C783" s="5"/>
      <c r="D783" s="5"/>
      <c r="E783" s="5"/>
      <c r="F783" s="7"/>
      <c r="G783" s="9"/>
      <c r="H783" s="5"/>
      <c r="I783" s="5"/>
      <c r="J783" s="5"/>
      <c r="K783" s="5"/>
      <c r="L783" s="5"/>
      <c r="M783" s="5"/>
      <c r="N783" s="9"/>
      <c r="O783" s="9" t="str">
        <f t="shared" ca="1" si="29"/>
        <v/>
      </c>
      <c r="P783" s="9"/>
      <c r="Q783" s="5"/>
      <c r="R783" s="9"/>
    </row>
    <row r="784" spans="1:18">
      <c r="A784" s="7" t="str">
        <f t="shared" si="28"/>
        <v/>
      </c>
      <c r="B784" s="5"/>
      <c r="C784" s="5"/>
      <c r="D784" s="5"/>
      <c r="E784" s="5"/>
      <c r="F784" s="7"/>
      <c r="G784" s="9"/>
      <c r="H784" s="5"/>
      <c r="I784" s="5"/>
      <c r="J784" s="5"/>
      <c r="K784" s="5"/>
      <c r="L784" s="5"/>
      <c r="M784" s="5"/>
      <c r="N784" s="9"/>
      <c r="O784" s="9" t="str">
        <f t="shared" ca="1" si="29"/>
        <v/>
      </c>
      <c r="P784" s="9"/>
      <c r="Q784" s="5"/>
      <c r="R784" s="9"/>
    </row>
    <row r="785" spans="1:18">
      <c r="A785" s="7" t="str">
        <f t="shared" si="28"/>
        <v/>
      </c>
      <c r="B785" s="5"/>
      <c r="C785" s="5"/>
      <c r="D785" s="5"/>
      <c r="E785" s="5"/>
      <c r="F785" s="7"/>
      <c r="G785" s="9"/>
      <c r="H785" s="5"/>
      <c r="I785" s="5"/>
      <c r="J785" s="5"/>
      <c r="K785" s="5"/>
      <c r="L785" s="5"/>
      <c r="M785" s="5"/>
      <c r="N785" s="9"/>
      <c r="O785" s="9" t="str">
        <f t="shared" ca="1" si="29"/>
        <v/>
      </c>
      <c r="P785" s="9"/>
      <c r="Q785" s="5"/>
      <c r="R785" s="9"/>
    </row>
    <row r="786" spans="1:18">
      <c r="A786" s="7" t="str">
        <f t="shared" si="28"/>
        <v/>
      </c>
      <c r="B786" s="5"/>
      <c r="C786" s="5"/>
      <c r="D786" s="5"/>
      <c r="E786" s="5"/>
      <c r="F786" s="7"/>
      <c r="G786" s="9"/>
      <c r="H786" s="5"/>
      <c r="I786" s="5"/>
      <c r="J786" s="5"/>
      <c r="K786" s="5"/>
      <c r="L786" s="5"/>
      <c r="M786" s="5"/>
      <c r="N786" s="9"/>
      <c r="O786" s="9" t="str">
        <f t="shared" ca="1" si="29"/>
        <v/>
      </c>
      <c r="P786" s="9"/>
      <c r="Q786" s="5"/>
      <c r="R786" s="9"/>
    </row>
    <row r="787" spans="1:18">
      <c r="A787" s="7" t="str">
        <f t="shared" si="28"/>
        <v/>
      </c>
      <c r="B787" s="5"/>
      <c r="C787" s="5"/>
      <c r="D787" s="5"/>
      <c r="E787" s="5"/>
      <c r="F787" s="7"/>
      <c r="G787" s="9"/>
      <c r="H787" s="5"/>
      <c r="I787" s="5"/>
      <c r="J787" s="5"/>
      <c r="K787" s="5"/>
      <c r="L787" s="5"/>
      <c r="M787" s="5"/>
      <c r="N787" s="9"/>
      <c r="O787" s="9" t="str">
        <f t="shared" ca="1" si="29"/>
        <v/>
      </c>
      <c r="P787" s="9"/>
      <c r="Q787" s="5"/>
      <c r="R787" s="9"/>
    </row>
    <row r="788" spans="1:18">
      <c r="A788" s="7" t="str">
        <f t="shared" si="28"/>
        <v/>
      </c>
      <c r="B788" s="5"/>
      <c r="C788" s="5"/>
      <c r="D788" s="5"/>
      <c r="E788" s="5"/>
      <c r="F788" s="7"/>
      <c r="G788" s="9"/>
      <c r="H788" s="5"/>
      <c r="I788" s="5"/>
      <c r="J788" s="5"/>
      <c r="K788" s="5"/>
      <c r="L788" s="5"/>
      <c r="M788" s="5"/>
      <c r="N788" s="9"/>
      <c r="O788" s="9" t="str">
        <f t="shared" ca="1" si="29"/>
        <v/>
      </c>
      <c r="P788" s="9"/>
      <c r="Q788" s="5"/>
      <c r="R788" s="9"/>
    </row>
    <row r="789" spans="1:18">
      <c r="A789" s="7" t="str">
        <f t="shared" si="28"/>
        <v/>
      </c>
      <c r="B789" s="5"/>
      <c r="C789" s="5"/>
      <c r="D789" s="5"/>
      <c r="E789" s="5"/>
      <c r="F789" s="7"/>
      <c r="G789" s="9"/>
      <c r="H789" s="5"/>
      <c r="I789" s="5"/>
      <c r="J789" s="5"/>
      <c r="K789" s="5"/>
      <c r="L789" s="5"/>
      <c r="M789" s="5"/>
      <c r="N789" s="9"/>
      <c r="O789" s="9" t="str">
        <f t="shared" ca="1" si="29"/>
        <v/>
      </c>
      <c r="P789" s="9"/>
      <c r="Q789" s="5"/>
      <c r="R789" s="9"/>
    </row>
    <row r="790" spans="1:18">
      <c r="A790" s="7" t="str">
        <f t="shared" si="28"/>
        <v/>
      </c>
      <c r="B790" s="5"/>
      <c r="C790" s="5"/>
      <c r="D790" s="5"/>
      <c r="E790" s="5"/>
      <c r="F790" s="7"/>
      <c r="G790" s="9"/>
      <c r="H790" s="5"/>
      <c r="I790" s="5"/>
      <c r="J790" s="5"/>
      <c r="K790" s="5"/>
      <c r="L790" s="5"/>
      <c r="M790" s="5"/>
      <c r="N790" s="9"/>
      <c r="O790" s="9" t="str">
        <f t="shared" ca="1" si="29"/>
        <v/>
      </c>
      <c r="P790" s="9"/>
      <c r="Q790" s="5"/>
      <c r="R790" s="9"/>
    </row>
    <row r="791" spans="1:18">
      <c r="A791" s="7" t="str">
        <f t="shared" si="28"/>
        <v/>
      </c>
      <c r="B791" s="5"/>
      <c r="C791" s="5"/>
      <c r="D791" s="5"/>
      <c r="E791" s="5"/>
      <c r="F791" s="7"/>
      <c r="G791" s="9"/>
      <c r="H791" s="5"/>
      <c r="I791" s="5"/>
      <c r="J791" s="5"/>
      <c r="K791" s="5"/>
      <c r="L791" s="5"/>
      <c r="M791" s="5"/>
      <c r="N791" s="9"/>
      <c r="O791" s="9" t="str">
        <f t="shared" ca="1" si="29"/>
        <v/>
      </c>
      <c r="P791" s="9"/>
      <c r="Q791" s="5"/>
      <c r="R791" s="9"/>
    </row>
    <row r="792" spans="1:18">
      <c r="A792" s="7" t="str">
        <f t="shared" si="28"/>
        <v/>
      </c>
      <c r="B792" s="5"/>
      <c r="C792" s="5"/>
      <c r="D792" s="5"/>
      <c r="E792" s="5"/>
      <c r="F792" s="7"/>
      <c r="G792" s="9"/>
      <c r="H792" s="5"/>
      <c r="I792" s="5"/>
      <c r="J792" s="5"/>
      <c r="K792" s="5"/>
      <c r="L792" s="5"/>
      <c r="M792" s="5"/>
      <c r="N792" s="9"/>
      <c r="O792" s="9" t="str">
        <f t="shared" ca="1" si="29"/>
        <v/>
      </c>
      <c r="P792" s="9"/>
      <c r="Q792" s="5"/>
      <c r="R792" s="9"/>
    </row>
    <row r="793" spans="1:18">
      <c r="A793" s="7" t="str">
        <f t="shared" si="28"/>
        <v/>
      </c>
      <c r="B793" s="5"/>
      <c r="C793" s="5"/>
      <c r="D793" s="5"/>
      <c r="E793" s="5"/>
      <c r="F793" s="7"/>
      <c r="G793" s="9"/>
      <c r="H793" s="5"/>
      <c r="I793" s="5"/>
      <c r="J793" s="5"/>
      <c r="K793" s="5"/>
      <c r="L793" s="5"/>
      <c r="M793" s="5"/>
      <c r="N793" s="9"/>
      <c r="O793" s="9" t="str">
        <f t="shared" ca="1" si="29"/>
        <v/>
      </c>
      <c r="P793" s="9"/>
      <c r="Q793" s="5"/>
      <c r="R793" s="9"/>
    </row>
    <row r="794" spans="1:18">
      <c r="A794" s="7" t="str">
        <f t="shared" si="28"/>
        <v/>
      </c>
      <c r="B794" s="5"/>
      <c r="C794" s="5"/>
      <c r="D794" s="5"/>
      <c r="E794" s="5"/>
      <c r="F794" s="7"/>
      <c r="G794" s="9"/>
      <c r="H794" s="5"/>
      <c r="I794" s="5"/>
      <c r="J794" s="5"/>
      <c r="K794" s="5"/>
      <c r="L794" s="5"/>
      <c r="M794" s="5"/>
      <c r="N794" s="9"/>
      <c r="O794" s="9" t="str">
        <f t="shared" ca="1" si="29"/>
        <v/>
      </c>
      <c r="P794" s="9"/>
      <c r="Q794" s="5"/>
      <c r="R794" s="9"/>
    </row>
    <row r="795" spans="1:18">
      <c r="A795" s="7" t="str">
        <f t="shared" si="28"/>
        <v/>
      </c>
      <c r="B795" s="5"/>
      <c r="C795" s="5"/>
      <c r="D795" s="5"/>
      <c r="E795" s="5"/>
      <c r="F795" s="7"/>
      <c r="G795" s="9"/>
      <c r="H795" s="5"/>
      <c r="I795" s="5"/>
      <c r="J795" s="5"/>
      <c r="K795" s="5"/>
      <c r="L795" s="5"/>
      <c r="M795" s="5"/>
      <c r="N795" s="9"/>
      <c r="O795" s="9" t="str">
        <f t="shared" ca="1" si="29"/>
        <v/>
      </c>
      <c r="P795" s="9"/>
      <c r="Q795" s="5"/>
      <c r="R795" s="9"/>
    </row>
    <row r="796" spans="1:18">
      <c r="A796" s="7" t="str">
        <f t="shared" si="28"/>
        <v/>
      </c>
      <c r="B796" s="5"/>
      <c r="C796" s="5"/>
      <c r="D796" s="5"/>
      <c r="E796" s="5"/>
      <c r="F796" s="7"/>
      <c r="G796" s="9"/>
      <c r="H796" s="5"/>
      <c r="I796" s="5"/>
      <c r="J796" s="5"/>
      <c r="K796" s="5"/>
      <c r="L796" s="5"/>
      <c r="M796" s="5"/>
      <c r="N796" s="9"/>
      <c r="O796" s="9" t="str">
        <f t="shared" ca="1" si="29"/>
        <v/>
      </c>
      <c r="P796" s="9"/>
      <c r="Q796" s="5"/>
      <c r="R796" s="9"/>
    </row>
    <row r="797" spans="1:18">
      <c r="A797" s="7" t="str">
        <f t="shared" si="28"/>
        <v/>
      </c>
      <c r="B797" s="5"/>
      <c r="C797" s="5"/>
      <c r="D797" s="5"/>
      <c r="E797" s="5"/>
      <c r="F797" s="7"/>
      <c r="G797" s="9"/>
      <c r="H797" s="5"/>
      <c r="I797" s="5"/>
      <c r="J797" s="5"/>
      <c r="K797" s="5"/>
      <c r="L797" s="5"/>
      <c r="M797" s="5"/>
      <c r="N797" s="9"/>
      <c r="O797" s="9" t="str">
        <f t="shared" ca="1" si="29"/>
        <v/>
      </c>
      <c r="P797" s="9"/>
      <c r="Q797" s="5"/>
      <c r="R797" s="9"/>
    </row>
    <row r="798" spans="1:18">
      <c r="A798" s="7" t="str">
        <f t="shared" si="28"/>
        <v/>
      </c>
      <c r="B798" s="5"/>
      <c r="C798" s="5"/>
      <c r="D798" s="5"/>
      <c r="E798" s="5"/>
      <c r="F798" s="7"/>
      <c r="G798" s="9"/>
      <c r="H798" s="5"/>
      <c r="I798" s="5"/>
      <c r="J798" s="5"/>
      <c r="K798" s="5"/>
      <c r="L798" s="5"/>
      <c r="M798" s="5"/>
      <c r="N798" s="9"/>
      <c r="O798" s="9" t="str">
        <f t="shared" ca="1" si="29"/>
        <v/>
      </c>
      <c r="P798" s="9"/>
      <c r="Q798" s="5"/>
      <c r="R798" s="9"/>
    </row>
    <row r="799" spans="1:18">
      <c r="A799" s="7" t="str">
        <f t="shared" si="28"/>
        <v/>
      </c>
      <c r="B799" s="5"/>
      <c r="C799" s="5"/>
      <c r="D799" s="5"/>
      <c r="E799" s="5"/>
      <c r="F799" s="7"/>
      <c r="G799" s="9"/>
      <c r="H799" s="5"/>
      <c r="I799" s="5"/>
      <c r="J799" s="5"/>
      <c r="K799" s="5"/>
      <c r="L799" s="5"/>
      <c r="M799" s="5"/>
      <c r="N799" s="9"/>
      <c r="O799" s="9" t="str">
        <f t="shared" ca="1" si="29"/>
        <v/>
      </c>
      <c r="P799" s="9"/>
      <c r="Q799" s="5"/>
      <c r="R799" s="9"/>
    </row>
    <row r="800" spans="1:18">
      <c r="A800" s="7" t="str">
        <f t="shared" si="28"/>
        <v/>
      </c>
      <c r="B800" s="5"/>
      <c r="C800" s="5"/>
      <c r="D800" s="5"/>
      <c r="E800" s="5"/>
      <c r="F800" s="7"/>
      <c r="G800" s="9"/>
      <c r="H800" s="5"/>
      <c r="I800" s="5"/>
      <c r="J800" s="5"/>
      <c r="K800" s="5"/>
      <c r="L800" s="5"/>
      <c r="M800" s="5"/>
      <c r="N800" s="9"/>
      <c r="O800" s="9" t="str">
        <f t="shared" ca="1" si="29"/>
        <v/>
      </c>
      <c r="P800" s="9"/>
      <c r="Q800" s="5"/>
      <c r="R800" s="9"/>
    </row>
    <row r="801" spans="1:18">
      <c r="A801" s="7" t="str">
        <f t="shared" si="28"/>
        <v/>
      </c>
      <c r="B801" s="5"/>
      <c r="C801" s="5"/>
      <c r="D801" s="5"/>
      <c r="E801" s="5"/>
      <c r="F801" s="7"/>
      <c r="G801" s="9"/>
      <c r="H801" s="5"/>
      <c r="I801" s="5"/>
      <c r="J801" s="5"/>
      <c r="K801" s="5"/>
      <c r="L801" s="5"/>
      <c r="M801" s="5"/>
      <c r="N801" s="9"/>
      <c r="O801" s="9" t="str">
        <f t="shared" ca="1" si="29"/>
        <v/>
      </c>
      <c r="P801" s="9"/>
      <c r="Q801" s="5"/>
      <c r="R801" s="9"/>
    </row>
    <row r="802" spans="1:18">
      <c r="A802" s="7" t="str">
        <f t="shared" si="28"/>
        <v/>
      </c>
      <c r="B802" s="5"/>
      <c r="C802" s="5"/>
      <c r="D802" s="5"/>
      <c r="E802" s="5"/>
      <c r="F802" s="7"/>
      <c r="G802" s="9"/>
      <c r="H802" s="5"/>
      <c r="I802" s="5"/>
      <c r="J802" s="5"/>
      <c r="K802" s="5"/>
      <c r="L802" s="5"/>
      <c r="M802" s="5"/>
      <c r="N802" s="9"/>
      <c r="O802" s="9" t="str">
        <f t="shared" ca="1" si="29"/>
        <v/>
      </c>
      <c r="P802" s="9"/>
      <c r="Q802" s="5"/>
      <c r="R802" s="9"/>
    </row>
    <row r="803" spans="1:18">
      <c r="A803" s="7" t="str">
        <f t="shared" si="28"/>
        <v/>
      </c>
      <c r="B803" s="5"/>
      <c r="C803" s="5"/>
      <c r="D803" s="5"/>
      <c r="E803" s="5"/>
      <c r="F803" s="7"/>
      <c r="G803" s="9"/>
      <c r="H803" s="5"/>
      <c r="I803" s="5"/>
      <c r="J803" s="5"/>
      <c r="K803" s="5"/>
      <c r="L803" s="5"/>
      <c r="M803" s="5"/>
      <c r="N803" s="9"/>
      <c r="O803" s="9" t="str">
        <f t="shared" ca="1" si="29"/>
        <v/>
      </c>
      <c r="P803" s="9"/>
      <c r="Q803" s="5"/>
      <c r="R803" s="9"/>
    </row>
    <row r="804" spans="1:18">
      <c r="A804" s="7" t="str">
        <f t="shared" si="28"/>
        <v/>
      </c>
      <c r="B804" s="5"/>
      <c r="C804" s="5"/>
      <c r="D804" s="5"/>
      <c r="E804" s="5"/>
      <c r="F804" s="7"/>
      <c r="G804" s="9"/>
      <c r="H804" s="5"/>
      <c r="I804" s="5"/>
      <c r="J804" s="5"/>
      <c r="K804" s="5"/>
      <c r="L804" s="5"/>
      <c r="M804" s="5"/>
      <c r="N804" s="9"/>
      <c r="O804" s="9" t="str">
        <f t="shared" ca="1" si="29"/>
        <v/>
      </c>
      <c r="P804" s="9"/>
      <c r="Q804" s="5"/>
      <c r="R804" s="9"/>
    </row>
    <row r="805" spans="1:18">
      <c r="A805" s="7" t="str">
        <f t="shared" si="28"/>
        <v/>
      </c>
      <c r="B805" s="5"/>
      <c r="C805" s="5"/>
      <c r="D805" s="5"/>
      <c r="E805" s="5"/>
      <c r="F805" s="7"/>
      <c r="G805" s="9"/>
      <c r="H805" s="5"/>
      <c r="I805" s="5"/>
      <c r="J805" s="5"/>
      <c r="K805" s="5"/>
      <c r="L805" s="5"/>
      <c r="M805" s="5"/>
      <c r="N805" s="9"/>
      <c r="O805" s="9" t="str">
        <f t="shared" ca="1" si="29"/>
        <v/>
      </c>
      <c r="P805" s="9"/>
      <c r="Q805" s="5"/>
      <c r="R805" s="9"/>
    </row>
    <row r="806" spans="1:18">
      <c r="A806" s="7" t="str">
        <f t="shared" si="28"/>
        <v/>
      </c>
      <c r="B806" s="5"/>
      <c r="C806" s="5"/>
      <c r="D806" s="5"/>
      <c r="E806" s="5"/>
      <c r="F806" s="7"/>
      <c r="G806" s="9"/>
      <c r="H806" s="5"/>
      <c r="I806" s="5"/>
      <c r="J806" s="5"/>
      <c r="K806" s="5"/>
      <c r="L806" s="5"/>
      <c r="M806" s="5"/>
      <c r="N806" s="9"/>
      <c r="O806" s="9" t="str">
        <f t="shared" ca="1" si="29"/>
        <v/>
      </c>
      <c r="P806" s="9"/>
      <c r="Q806" s="5"/>
      <c r="R806" s="9"/>
    </row>
    <row r="807" spans="1:18">
      <c r="A807" s="7" t="str">
        <f t="shared" si="28"/>
        <v/>
      </c>
      <c r="B807" s="5"/>
      <c r="C807" s="5"/>
      <c r="D807" s="5"/>
      <c r="E807" s="5"/>
      <c r="F807" s="7"/>
      <c r="G807" s="9"/>
      <c r="H807" s="5"/>
      <c r="I807" s="5"/>
      <c r="J807" s="5"/>
      <c r="K807" s="5"/>
      <c r="L807" s="5"/>
      <c r="M807" s="5"/>
      <c r="N807" s="9"/>
      <c r="O807" s="9" t="str">
        <f t="shared" ca="1" si="29"/>
        <v/>
      </c>
      <c r="P807" s="9"/>
      <c r="Q807" s="5"/>
      <c r="R807" s="9"/>
    </row>
    <row r="808" spans="1:18">
      <c r="A808" s="7" t="str">
        <f t="shared" si="28"/>
        <v/>
      </c>
      <c r="B808" s="5"/>
      <c r="C808" s="5"/>
      <c r="D808" s="5"/>
      <c r="E808" s="5"/>
      <c r="F808" s="7"/>
      <c r="G808" s="9"/>
      <c r="H808" s="5"/>
      <c r="I808" s="5"/>
      <c r="J808" s="5"/>
      <c r="K808" s="5"/>
      <c r="L808" s="5"/>
      <c r="M808" s="5"/>
      <c r="N808" s="9"/>
      <c r="O808" s="9" t="str">
        <f t="shared" ca="1" si="29"/>
        <v/>
      </c>
      <c r="P808" s="9"/>
      <c r="Q808" s="5"/>
      <c r="R808" s="9"/>
    </row>
    <row r="809" spans="1:18">
      <c r="A809" s="7" t="str">
        <f t="shared" si="28"/>
        <v/>
      </c>
      <c r="B809" s="5"/>
      <c r="C809" s="5"/>
      <c r="D809" s="5"/>
      <c r="E809" s="5"/>
      <c r="F809" s="7"/>
      <c r="G809" s="9"/>
      <c r="H809" s="5"/>
      <c r="I809" s="5"/>
      <c r="J809" s="5"/>
      <c r="K809" s="5"/>
      <c r="L809" s="5"/>
      <c r="M809" s="5"/>
      <c r="N809" s="9"/>
      <c r="O809" s="9" t="str">
        <f t="shared" ca="1" si="29"/>
        <v/>
      </c>
      <c r="P809" s="9"/>
      <c r="Q809" s="5"/>
      <c r="R809" s="9"/>
    </row>
    <row r="810" spans="1:18">
      <c r="A810" s="7" t="str">
        <f t="shared" si="28"/>
        <v/>
      </c>
      <c r="B810" s="5"/>
      <c r="C810" s="5"/>
      <c r="D810" s="5"/>
      <c r="E810" s="5"/>
      <c r="F810" s="7"/>
      <c r="G810" s="9"/>
      <c r="H810" s="5"/>
      <c r="I810" s="5"/>
      <c r="J810" s="5"/>
      <c r="K810" s="5"/>
      <c r="L810" s="5"/>
      <c r="M810" s="5"/>
      <c r="N810" s="9"/>
      <c r="O810" s="9" t="str">
        <f t="shared" ca="1" si="29"/>
        <v/>
      </c>
      <c r="P810" s="9"/>
      <c r="Q810" s="5"/>
      <c r="R810" s="9"/>
    </row>
    <row r="811" spans="1:18">
      <c r="A811" s="7" t="str">
        <f t="shared" si="28"/>
        <v/>
      </c>
      <c r="B811" s="5"/>
      <c r="C811" s="5"/>
      <c r="D811" s="5"/>
      <c r="E811" s="5"/>
      <c r="F811" s="7"/>
      <c r="G811" s="9"/>
      <c r="H811" s="5"/>
      <c r="I811" s="5"/>
      <c r="J811" s="5"/>
      <c r="K811" s="5"/>
      <c r="L811" s="5"/>
      <c r="M811" s="5"/>
      <c r="N811" s="9"/>
      <c r="O811" s="9" t="str">
        <f t="shared" ca="1" si="29"/>
        <v/>
      </c>
      <c r="P811" s="9"/>
      <c r="Q811" s="5"/>
      <c r="R811" s="9"/>
    </row>
    <row r="812" spans="1:18">
      <c r="A812" s="7" t="str">
        <f t="shared" si="28"/>
        <v/>
      </c>
      <c r="B812" s="5"/>
      <c r="C812" s="5"/>
      <c r="D812" s="5"/>
      <c r="E812" s="5"/>
      <c r="F812" s="7"/>
      <c r="G812" s="9"/>
      <c r="H812" s="5"/>
      <c r="I812" s="5"/>
      <c r="J812" s="5"/>
      <c r="K812" s="5"/>
      <c r="L812" s="5"/>
      <c r="M812" s="5"/>
      <c r="N812" s="9"/>
      <c r="O812" s="9" t="str">
        <f t="shared" ca="1" si="29"/>
        <v/>
      </c>
      <c r="P812" s="9"/>
      <c r="Q812" s="5"/>
      <c r="R812" s="9"/>
    </row>
    <row r="813" spans="1:18">
      <c r="A813" s="7" t="str">
        <f t="shared" si="28"/>
        <v/>
      </c>
      <c r="B813" s="5"/>
      <c r="C813" s="5"/>
      <c r="D813" s="5"/>
      <c r="E813" s="5"/>
      <c r="F813" s="7"/>
      <c r="G813" s="9"/>
      <c r="H813" s="5"/>
      <c r="I813" s="5"/>
      <c r="J813" s="5"/>
      <c r="K813" s="5"/>
      <c r="L813" s="5"/>
      <c r="M813" s="5"/>
      <c r="N813" s="9"/>
      <c r="O813" s="9" t="str">
        <f t="shared" ca="1" si="29"/>
        <v/>
      </c>
      <c r="P813" s="9"/>
      <c r="Q813" s="5"/>
      <c r="R813" s="9"/>
    </row>
    <row r="814" spans="1:18">
      <c r="A814" s="7" t="str">
        <f t="shared" si="28"/>
        <v/>
      </c>
      <c r="B814" s="5"/>
      <c r="C814" s="5"/>
      <c r="D814" s="5"/>
      <c r="E814" s="5"/>
      <c r="F814" s="7"/>
      <c r="G814" s="9"/>
      <c r="H814" s="5"/>
      <c r="I814" s="5"/>
      <c r="J814" s="5"/>
      <c r="K814" s="5"/>
      <c r="L814" s="5"/>
      <c r="M814" s="5"/>
      <c r="N814" s="9"/>
      <c r="O814" s="9" t="str">
        <f t="shared" ca="1" si="29"/>
        <v/>
      </c>
      <c r="P814" s="9"/>
      <c r="Q814" s="5"/>
      <c r="R814" s="9"/>
    </row>
    <row r="815" spans="1:18">
      <c r="A815" s="7" t="str">
        <f t="shared" si="28"/>
        <v/>
      </c>
      <c r="B815" s="5"/>
      <c r="C815" s="5"/>
      <c r="D815" s="5"/>
      <c r="E815" s="5"/>
      <c r="F815" s="7"/>
      <c r="G815" s="9"/>
      <c r="H815" s="5"/>
      <c r="I815" s="5"/>
      <c r="J815" s="5"/>
      <c r="K815" s="5"/>
      <c r="L815" s="5"/>
      <c r="M815" s="5"/>
      <c r="N815" s="9"/>
      <c r="O815" s="9" t="str">
        <f t="shared" ca="1" si="29"/>
        <v/>
      </c>
      <c r="P815" s="9"/>
      <c r="Q815" s="5"/>
      <c r="R815" s="9"/>
    </row>
    <row r="816" spans="1:18">
      <c r="A816" s="7" t="str">
        <f t="shared" si="28"/>
        <v/>
      </c>
      <c r="B816" s="5"/>
      <c r="C816" s="5"/>
      <c r="D816" s="5"/>
      <c r="E816" s="5"/>
      <c r="F816" s="7"/>
      <c r="G816" s="9"/>
      <c r="H816" s="5"/>
      <c r="I816" s="5"/>
      <c r="J816" s="5"/>
      <c r="K816" s="5"/>
      <c r="L816" s="5"/>
      <c r="M816" s="5"/>
      <c r="N816" s="9"/>
      <c r="O816" s="9" t="str">
        <f t="shared" ca="1" si="29"/>
        <v/>
      </c>
      <c r="P816" s="9"/>
      <c r="Q816" s="5"/>
      <c r="R816" s="9"/>
    </row>
    <row r="817" spans="1:18">
      <c r="A817" s="7" t="str">
        <f t="shared" si="28"/>
        <v/>
      </c>
      <c r="B817" s="5"/>
      <c r="C817" s="5"/>
      <c r="D817" s="5"/>
      <c r="E817" s="5"/>
      <c r="F817" s="7"/>
      <c r="G817" s="9"/>
      <c r="H817" s="5"/>
      <c r="I817" s="5"/>
      <c r="J817" s="5"/>
      <c r="K817" s="5"/>
      <c r="L817" s="5"/>
      <c r="M817" s="5"/>
      <c r="N817" s="9"/>
      <c r="O817" s="9" t="str">
        <f t="shared" ca="1" si="29"/>
        <v/>
      </c>
      <c r="P817" s="9"/>
      <c r="Q817" s="5"/>
      <c r="R817" s="9"/>
    </row>
    <row r="818" spans="1:18">
      <c r="A818" s="7" t="str">
        <f t="shared" si="28"/>
        <v/>
      </c>
      <c r="B818" s="5"/>
      <c r="C818" s="5"/>
      <c r="D818" s="5"/>
      <c r="E818" s="5"/>
      <c r="F818" s="7"/>
      <c r="G818" s="9"/>
      <c r="H818" s="5"/>
      <c r="I818" s="5"/>
      <c r="J818" s="5"/>
      <c r="K818" s="5"/>
      <c r="L818" s="5"/>
      <c r="M818" s="5"/>
      <c r="N818" s="9"/>
      <c r="O818" s="9" t="str">
        <f t="shared" ca="1" si="29"/>
        <v/>
      </c>
      <c r="P818" s="9"/>
      <c r="Q818" s="5"/>
      <c r="R818" s="9"/>
    </row>
    <row r="819" spans="1:18">
      <c r="A819" s="7" t="str">
        <f t="shared" si="28"/>
        <v/>
      </c>
      <c r="B819" s="5"/>
      <c r="C819" s="5"/>
      <c r="D819" s="5"/>
      <c r="E819" s="5"/>
      <c r="F819" s="7"/>
      <c r="G819" s="9"/>
      <c r="H819" s="5"/>
      <c r="I819" s="5"/>
      <c r="J819" s="5"/>
      <c r="K819" s="5"/>
      <c r="L819" s="5"/>
      <c r="M819" s="5"/>
      <c r="N819" s="9"/>
      <c r="O819" s="9" t="str">
        <f t="shared" ca="1" si="29"/>
        <v/>
      </c>
      <c r="P819" s="9"/>
      <c r="Q819" s="5"/>
      <c r="R819" s="9"/>
    </row>
    <row r="820" spans="1:18">
      <c r="A820" s="7" t="str">
        <f t="shared" si="28"/>
        <v/>
      </c>
      <c r="B820" s="5"/>
      <c r="C820" s="5"/>
      <c r="D820" s="5"/>
      <c r="E820" s="5"/>
      <c r="F820" s="7"/>
      <c r="G820" s="9"/>
      <c r="H820" s="5"/>
      <c r="I820" s="5"/>
      <c r="J820" s="5"/>
      <c r="K820" s="5"/>
      <c r="L820" s="5"/>
      <c r="M820" s="5"/>
      <c r="N820" s="9"/>
      <c r="O820" s="9" t="str">
        <f t="shared" ca="1" si="29"/>
        <v/>
      </c>
      <c r="P820" s="9"/>
      <c r="Q820" s="5"/>
      <c r="R820" s="9"/>
    </row>
    <row r="821" spans="1:18">
      <c r="A821" s="7" t="str">
        <f t="shared" si="28"/>
        <v/>
      </c>
      <c r="B821" s="5"/>
      <c r="C821" s="5"/>
      <c r="D821" s="5"/>
      <c r="E821" s="5"/>
      <c r="F821" s="7"/>
      <c r="G821" s="9"/>
      <c r="H821" s="5"/>
      <c r="I821" s="5"/>
      <c r="J821" s="5"/>
      <c r="K821" s="5"/>
      <c r="L821" s="5"/>
      <c r="M821" s="5"/>
      <c r="N821" s="9"/>
      <c r="O821" s="9" t="str">
        <f t="shared" ca="1" si="29"/>
        <v/>
      </c>
      <c r="P821" s="9"/>
      <c r="Q821" s="5"/>
      <c r="R821" s="9"/>
    </row>
    <row r="822" spans="1:18">
      <c r="A822" s="7" t="str">
        <f t="shared" si="28"/>
        <v/>
      </c>
      <c r="B822" s="5"/>
      <c r="C822" s="5"/>
      <c r="D822" s="5"/>
      <c r="E822" s="5"/>
      <c r="F822" s="7"/>
      <c r="G822" s="9"/>
      <c r="H822" s="5"/>
      <c r="I822" s="5"/>
      <c r="J822" s="5"/>
      <c r="K822" s="5"/>
      <c r="L822" s="5"/>
      <c r="M822" s="5"/>
      <c r="N822" s="9"/>
      <c r="O822" s="9" t="str">
        <f t="shared" ca="1" si="29"/>
        <v/>
      </c>
      <c r="P822" s="9"/>
      <c r="Q822" s="5"/>
      <c r="R822" s="9"/>
    </row>
    <row r="823" spans="1:18">
      <c r="A823" s="7" t="str">
        <f t="shared" si="28"/>
        <v/>
      </c>
      <c r="B823" s="5"/>
      <c r="C823" s="5"/>
      <c r="D823" s="5"/>
      <c r="E823" s="5"/>
      <c r="F823" s="7"/>
      <c r="G823" s="9"/>
      <c r="H823" s="5"/>
      <c r="I823" s="5"/>
      <c r="J823" s="5"/>
      <c r="K823" s="5"/>
      <c r="L823" s="5"/>
      <c r="M823" s="5"/>
      <c r="N823" s="9"/>
      <c r="O823" s="9" t="str">
        <f t="shared" ca="1" si="29"/>
        <v/>
      </c>
      <c r="P823" s="9"/>
      <c r="Q823" s="5"/>
      <c r="R823" s="9"/>
    </row>
    <row r="824" spans="1:18">
      <c r="A824" s="7" t="str">
        <f t="shared" si="28"/>
        <v/>
      </c>
      <c r="B824" s="5"/>
      <c r="C824" s="5"/>
      <c r="D824" s="5"/>
      <c r="E824" s="5"/>
      <c r="F824" s="7"/>
      <c r="G824" s="9"/>
      <c r="H824" s="5"/>
      <c r="I824" s="5"/>
      <c r="J824" s="5"/>
      <c r="K824" s="5"/>
      <c r="L824" s="5"/>
      <c r="M824" s="5"/>
      <c r="N824" s="9"/>
      <c r="O824" s="9" t="str">
        <f t="shared" ca="1" si="29"/>
        <v/>
      </c>
      <c r="P824" s="9"/>
      <c r="Q824" s="5"/>
      <c r="R824" s="9"/>
    </row>
    <row r="825" spans="1:18">
      <c r="A825" s="7" t="str">
        <f t="shared" si="28"/>
        <v/>
      </c>
      <c r="B825" s="5"/>
      <c r="C825" s="5"/>
      <c r="D825" s="5"/>
      <c r="E825" s="5"/>
      <c r="F825" s="7"/>
      <c r="G825" s="9"/>
      <c r="H825" s="5"/>
      <c r="I825" s="5"/>
      <c r="J825" s="5"/>
      <c r="K825" s="5"/>
      <c r="L825" s="5"/>
      <c r="M825" s="5"/>
      <c r="N825" s="9"/>
      <c r="O825" s="9" t="str">
        <f t="shared" ca="1" si="29"/>
        <v/>
      </c>
      <c r="P825" s="9"/>
      <c r="Q825" s="5"/>
      <c r="R825" s="9"/>
    </row>
    <row r="826" spans="1:18">
      <c r="A826" s="7" t="str">
        <f t="shared" si="28"/>
        <v/>
      </c>
      <c r="B826" s="5"/>
      <c r="C826" s="5"/>
      <c r="D826" s="5"/>
      <c r="E826" s="5"/>
      <c r="F826" s="7"/>
      <c r="G826" s="9"/>
      <c r="H826" s="5"/>
      <c r="I826" s="5"/>
      <c r="J826" s="5"/>
      <c r="K826" s="5"/>
      <c r="L826" s="5"/>
      <c r="M826" s="5"/>
      <c r="N826" s="9"/>
      <c r="O826" s="9" t="str">
        <f t="shared" ca="1" si="29"/>
        <v/>
      </c>
      <c r="P826" s="9"/>
      <c r="Q826" s="5"/>
      <c r="R826" s="9"/>
    </row>
    <row r="827" spans="1:18">
      <c r="A827" s="7" t="str">
        <f t="shared" si="28"/>
        <v/>
      </c>
      <c r="B827" s="5"/>
      <c r="C827" s="5"/>
      <c r="D827" s="5"/>
      <c r="E827" s="5"/>
      <c r="F827" s="7"/>
      <c r="G827" s="9"/>
      <c r="H827" s="5"/>
      <c r="I827" s="5"/>
      <c r="J827" s="5"/>
      <c r="K827" s="5"/>
      <c r="L827" s="5"/>
      <c r="M827" s="5"/>
      <c r="N827" s="9"/>
      <c r="O827" s="9" t="str">
        <f t="shared" ca="1" si="29"/>
        <v/>
      </c>
      <c r="P827" s="9"/>
      <c r="Q827" s="5"/>
      <c r="R827" s="9"/>
    </row>
    <row r="828" spans="1:18">
      <c r="A828" s="7" t="str">
        <f t="shared" si="28"/>
        <v/>
      </c>
      <c r="B828" s="5"/>
      <c r="C828" s="5"/>
      <c r="D828" s="5"/>
      <c r="E828" s="5"/>
      <c r="F828" s="7"/>
      <c r="G828" s="9"/>
      <c r="H828" s="5"/>
      <c r="I828" s="5"/>
      <c r="J828" s="5"/>
      <c r="K828" s="5"/>
      <c r="L828" s="5"/>
      <c r="M828" s="5"/>
      <c r="N828" s="9"/>
      <c r="O828" s="9" t="str">
        <f t="shared" ca="1" si="29"/>
        <v/>
      </c>
      <c r="P828" s="9"/>
      <c r="Q828" s="5"/>
      <c r="R828" s="9"/>
    </row>
    <row r="829" spans="1:18">
      <c r="A829" s="7" t="str">
        <f t="shared" si="28"/>
        <v/>
      </c>
      <c r="B829" s="5"/>
      <c r="C829" s="5"/>
      <c r="D829" s="5"/>
      <c r="E829" s="5"/>
      <c r="F829" s="7"/>
      <c r="G829" s="9"/>
      <c r="H829" s="5"/>
      <c r="I829" s="5"/>
      <c r="J829" s="5"/>
      <c r="K829" s="5"/>
      <c r="L829" s="5"/>
      <c r="M829" s="5"/>
      <c r="N829" s="9"/>
      <c r="O829" s="9" t="str">
        <f t="shared" ca="1" si="29"/>
        <v/>
      </c>
      <c r="P829" s="9"/>
      <c r="Q829" s="5"/>
      <c r="R829" s="9"/>
    </row>
    <row r="830" spans="1:18">
      <c r="A830" s="7" t="str">
        <f t="shared" si="28"/>
        <v/>
      </c>
      <c r="B830" s="5"/>
      <c r="C830" s="5"/>
      <c r="D830" s="5"/>
      <c r="E830" s="5"/>
      <c r="F830" s="7"/>
      <c r="G830" s="9"/>
      <c r="H830" s="5"/>
      <c r="I830" s="5"/>
      <c r="J830" s="5"/>
      <c r="K830" s="5"/>
      <c r="L830" s="5"/>
      <c r="M830" s="5"/>
      <c r="N830" s="9"/>
      <c r="O830" s="9" t="str">
        <f t="shared" ca="1" si="29"/>
        <v/>
      </c>
      <c r="P830" s="9"/>
      <c r="Q830" s="5"/>
      <c r="R830" s="9"/>
    </row>
    <row r="831" spans="1:18">
      <c r="A831" s="7" t="str">
        <f t="shared" si="28"/>
        <v/>
      </c>
      <c r="B831" s="5"/>
      <c r="C831" s="5"/>
      <c r="D831" s="5"/>
      <c r="E831" s="5"/>
      <c r="F831" s="7"/>
      <c r="G831" s="9"/>
      <c r="H831" s="5"/>
      <c r="I831" s="5"/>
      <c r="J831" s="5"/>
      <c r="K831" s="5"/>
      <c r="L831" s="5"/>
      <c r="M831" s="5"/>
      <c r="N831" s="9"/>
      <c r="O831" s="9" t="str">
        <f t="shared" ca="1" si="29"/>
        <v/>
      </c>
      <c r="P831" s="9"/>
      <c r="Q831" s="5"/>
      <c r="R831" s="9"/>
    </row>
    <row r="832" spans="1:18">
      <c r="A832" s="7" t="str">
        <f t="shared" si="28"/>
        <v/>
      </c>
      <c r="B832" s="5"/>
      <c r="C832" s="5"/>
      <c r="D832" s="5"/>
      <c r="E832" s="5"/>
      <c r="F832" s="7"/>
      <c r="G832" s="9"/>
      <c r="H832" s="5"/>
      <c r="I832" s="5"/>
      <c r="J832" s="5"/>
      <c r="K832" s="5"/>
      <c r="L832" s="5"/>
      <c r="M832" s="5"/>
      <c r="N832" s="9"/>
      <c r="O832" s="9" t="str">
        <f t="shared" ca="1" si="29"/>
        <v/>
      </c>
      <c r="P832" s="9"/>
      <c r="Q832" s="5"/>
      <c r="R832" s="9"/>
    </row>
    <row r="833" spans="1:18">
      <c r="A833" s="7" t="str">
        <f t="shared" si="28"/>
        <v/>
      </c>
      <c r="B833" s="5"/>
      <c r="C833" s="5"/>
      <c r="D833" s="5"/>
      <c r="E833" s="5"/>
      <c r="F833" s="7"/>
      <c r="G833" s="9"/>
      <c r="H833" s="5"/>
      <c r="I833" s="5"/>
      <c r="J833" s="5"/>
      <c r="K833" s="5"/>
      <c r="L833" s="5"/>
      <c r="M833" s="5"/>
      <c r="N833" s="9"/>
      <c r="O833" s="9" t="str">
        <f t="shared" ca="1" si="29"/>
        <v/>
      </c>
      <c r="P833" s="9"/>
      <c r="Q833" s="5"/>
      <c r="R833" s="9"/>
    </row>
    <row r="834" spans="1:18">
      <c r="A834" s="7" t="str">
        <f t="shared" si="28"/>
        <v/>
      </c>
      <c r="B834" s="5"/>
      <c r="C834" s="5"/>
      <c r="D834" s="5"/>
      <c r="E834" s="5"/>
      <c r="F834" s="7"/>
      <c r="G834" s="9"/>
      <c r="H834" s="5"/>
      <c r="I834" s="5"/>
      <c r="J834" s="5"/>
      <c r="K834" s="5"/>
      <c r="L834" s="5"/>
      <c r="M834" s="5"/>
      <c r="N834" s="9"/>
      <c r="O834" s="9" t="str">
        <f t="shared" ca="1" si="29"/>
        <v/>
      </c>
      <c r="P834" s="9"/>
      <c r="Q834" s="5"/>
      <c r="R834" s="9"/>
    </row>
    <row r="835" spans="1:18">
      <c r="A835" s="7" t="str">
        <f t="shared" si="28"/>
        <v/>
      </c>
      <c r="B835" s="5"/>
      <c r="C835" s="5"/>
      <c r="D835" s="5"/>
      <c r="E835" s="5"/>
      <c r="F835" s="7"/>
      <c r="G835" s="9"/>
      <c r="H835" s="5"/>
      <c r="I835" s="5"/>
      <c r="J835" s="5"/>
      <c r="K835" s="5"/>
      <c r="L835" s="5"/>
      <c r="M835" s="5"/>
      <c r="N835" s="9"/>
      <c r="O835" s="9" t="str">
        <f t="shared" ca="1" si="29"/>
        <v/>
      </c>
      <c r="P835" s="9"/>
      <c r="Q835" s="5"/>
      <c r="R835" s="9"/>
    </row>
    <row r="836" spans="1:18">
      <c r="A836" s="7" t="str">
        <f t="shared" ref="A836:A882" si="30">IF(B836="","",ROW()-3)</f>
        <v/>
      </c>
      <c r="B836" s="5"/>
      <c r="C836" s="5"/>
      <c r="D836" s="5"/>
      <c r="E836" s="5"/>
      <c r="F836" s="7"/>
      <c r="G836" s="9"/>
      <c r="H836" s="5"/>
      <c r="I836" s="5"/>
      <c r="J836" s="5"/>
      <c r="K836" s="5"/>
      <c r="L836" s="5"/>
      <c r="M836" s="5"/>
      <c r="N836" s="9"/>
      <c r="O836" s="9" t="str">
        <f t="shared" ca="1" si="29"/>
        <v/>
      </c>
      <c r="P836" s="9"/>
      <c r="Q836" s="5"/>
      <c r="R836" s="9"/>
    </row>
    <row r="837" spans="1:18">
      <c r="A837" s="7" t="str">
        <f t="shared" si="30"/>
        <v/>
      </c>
      <c r="B837" s="5"/>
      <c r="C837" s="5"/>
      <c r="D837" s="5"/>
      <c r="E837" s="5"/>
      <c r="F837" s="7"/>
      <c r="G837" s="9"/>
      <c r="H837" s="5"/>
      <c r="I837" s="5"/>
      <c r="J837" s="5"/>
      <c r="K837" s="5"/>
      <c r="L837" s="5"/>
      <c r="M837" s="5"/>
      <c r="N837" s="9"/>
      <c r="O837" s="9" t="str">
        <f t="shared" ca="1" si="29"/>
        <v/>
      </c>
      <c r="P837" s="9"/>
      <c r="Q837" s="5"/>
      <c r="R837" s="9"/>
    </row>
    <row r="838" spans="1:18">
      <c r="A838" s="7" t="str">
        <f t="shared" si="30"/>
        <v/>
      </c>
      <c r="B838" s="5"/>
      <c r="C838" s="5"/>
      <c r="D838" s="5"/>
      <c r="E838" s="5"/>
      <c r="F838" s="7"/>
      <c r="G838" s="9"/>
      <c r="H838" s="5"/>
      <c r="I838" s="5"/>
      <c r="J838" s="5"/>
      <c r="K838" s="5"/>
      <c r="L838" s="5"/>
      <c r="M838" s="5"/>
      <c r="N838" s="9"/>
      <c r="O838" s="9" t="str">
        <f t="shared" ca="1" si="29"/>
        <v/>
      </c>
      <c r="P838" s="9"/>
      <c r="Q838" s="5"/>
      <c r="R838" s="9"/>
    </row>
    <row r="839" spans="1:18">
      <c r="A839" s="7" t="str">
        <f t="shared" si="30"/>
        <v/>
      </c>
      <c r="B839" s="5"/>
      <c r="C839" s="5"/>
      <c r="D839" s="5"/>
      <c r="E839" s="5"/>
      <c r="F839" s="7"/>
      <c r="G839" s="9"/>
      <c r="H839" s="5"/>
      <c r="I839" s="5"/>
      <c r="J839" s="5"/>
      <c r="K839" s="5"/>
      <c r="L839" s="5"/>
      <c r="M839" s="5"/>
      <c r="N839" s="9"/>
      <c r="O839" s="9" t="str">
        <f t="shared" ca="1" si="29"/>
        <v/>
      </c>
      <c r="P839" s="9"/>
      <c r="Q839" s="5"/>
      <c r="R839" s="9"/>
    </row>
    <row r="840" spans="1:18">
      <c r="A840" s="7" t="str">
        <f t="shared" si="30"/>
        <v/>
      </c>
      <c r="B840" s="5"/>
      <c r="C840" s="5"/>
      <c r="D840" s="5"/>
      <c r="E840" s="5"/>
      <c r="F840" s="7"/>
      <c r="G840" s="9"/>
      <c r="H840" s="5"/>
      <c r="I840" s="5"/>
      <c r="J840" s="5"/>
      <c r="K840" s="5"/>
      <c r="L840" s="5"/>
      <c r="M840" s="5"/>
      <c r="N840" s="9"/>
      <c r="O840" s="9" t="str">
        <f t="shared" ca="1" si="29"/>
        <v/>
      </c>
      <c r="P840" s="9"/>
      <c r="Q840" s="5"/>
      <c r="R840" s="9"/>
    </row>
    <row r="841" spans="1:18">
      <c r="A841" s="7" t="str">
        <f t="shared" si="30"/>
        <v/>
      </c>
      <c r="B841" s="5"/>
      <c r="C841" s="5"/>
      <c r="D841" s="5"/>
      <c r="E841" s="5"/>
      <c r="F841" s="7"/>
      <c r="G841" s="9"/>
      <c r="H841" s="5"/>
      <c r="I841" s="5"/>
      <c r="J841" s="5"/>
      <c r="K841" s="5"/>
      <c r="L841" s="5"/>
      <c r="M841" s="5"/>
      <c r="N841" s="9"/>
      <c r="O841" s="9" t="str">
        <f t="shared" ca="1" si="29"/>
        <v/>
      </c>
      <c r="P841" s="9"/>
      <c r="Q841" s="5"/>
      <c r="R841" s="9"/>
    </row>
    <row r="842" spans="1:18">
      <c r="A842" s="7" t="str">
        <f t="shared" si="30"/>
        <v/>
      </c>
      <c r="B842" s="5"/>
      <c r="C842" s="5"/>
      <c r="D842" s="5"/>
      <c r="E842" s="5"/>
      <c r="F842" s="7"/>
      <c r="G842" s="9"/>
      <c r="H842" s="5"/>
      <c r="I842" s="5"/>
      <c r="J842" s="5"/>
      <c r="K842" s="5"/>
      <c r="L842" s="5"/>
      <c r="M842" s="5"/>
      <c r="N842" s="9"/>
      <c r="O842" s="9" t="str">
        <f t="shared" ca="1" si="29"/>
        <v/>
      </c>
      <c r="P842" s="9"/>
      <c r="Q842" s="5"/>
      <c r="R842" s="9"/>
    </row>
    <row r="843" spans="1:18">
      <c r="A843" s="7" t="str">
        <f t="shared" si="30"/>
        <v/>
      </c>
      <c r="B843" s="5"/>
      <c r="C843" s="5"/>
      <c r="D843" s="5"/>
      <c r="E843" s="5"/>
      <c r="F843" s="7"/>
      <c r="G843" s="9"/>
      <c r="H843" s="5"/>
      <c r="I843" s="5"/>
      <c r="J843" s="5"/>
      <c r="K843" s="5"/>
      <c r="L843" s="5"/>
      <c r="M843" s="5"/>
      <c r="N843" s="9"/>
      <c r="O843" s="9" t="str">
        <f t="shared" ca="1" si="29"/>
        <v/>
      </c>
      <c r="P843" s="9"/>
      <c r="Q843" s="5"/>
      <c r="R843" s="9"/>
    </row>
    <row r="844" spans="1:18">
      <c r="A844" s="7" t="str">
        <f t="shared" si="30"/>
        <v/>
      </c>
      <c r="B844" s="5"/>
      <c r="C844" s="5"/>
      <c r="D844" s="5"/>
      <c r="E844" s="5"/>
      <c r="F844" s="7"/>
      <c r="G844" s="9"/>
      <c r="H844" s="5"/>
      <c r="I844" s="5"/>
      <c r="J844" s="5"/>
      <c r="K844" s="5"/>
      <c r="L844" s="5"/>
      <c r="M844" s="5"/>
      <c r="N844" s="9"/>
      <c r="O844" s="9" t="str">
        <f t="shared" ca="1" si="29"/>
        <v/>
      </c>
      <c r="P844" s="9"/>
      <c r="Q844" s="5"/>
      <c r="R844" s="9"/>
    </row>
    <row r="845" spans="1:18">
      <c r="A845" s="7" t="str">
        <f t="shared" si="30"/>
        <v/>
      </c>
      <c r="B845" s="5"/>
      <c r="C845" s="5"/>
      <c r="D845" s="5"/>
      <c r="E845" s="5"/>
      <c r="F845" s="7"/>
      <c r="G845" s="9"/>
      <c r="H845" s="5"/>
      <c r="I845" s="5"/>
      <c r="J845" s="5"/>
      <c r="K845" s="5"/>
      <c r="L845" s="5"/>
      <c r="M845" s="5"/>
      <c r="N845" s="9"/>
      <c r="O845" s="9" t="str">
        <f t="shared" ca="1" si="29"/>
        <v/>
      </c>
      <c r="P845" s="9"/>
      <c r="Q845" s="5"/>
      <c r="R845" s="9"/>
    </row>
    <row r="846" spans="1:18">
      <c r="A846" s="7" t="str">
        <f t="shared" si="30"/>
        <v/>
      </c>
      <c r="B846" s="5"/>
      <c r="C846" s="5"/>
      <c r="D846" s="5"/>
      <c r="E846" s="5"/>
      <c r="F846" s="7"/>
      <c r="G846" s="9"/>
      <c r="H846" s="5"/>
      <c r="I846" s="5"/>
      <c r="J846" s="5"/>
      <c r="K846" s="5"/>
      <c r="L846" s="5"/>
      <c r="M846" s="5"/>
      <c r="N846" s="9"/>
      <c r="O846" s="9" t="str">
        <f t="shared" ref="O846:O881" ca="1" si="31">IF(OR($B846="",$N846&lt;&gt;"Yes",$G846="",$M846=""),"",IF(AND(ISNUMBER($P846),$P846&lt;=TODAY()),$P846+IF($M846="Low",3,IF($M846="Medium",7,21)),$G846+IF($M846="Low",2,IF($M846="Medium",5,14))))</f>
        <v/>
      </c>
      <c r="P846" s="9"/>
      <c r="Q846" s="5"/>
      <c r="R846" s="9"/>
    </row>
    <row r="847" spans="1:18">
      <c r="A847" s="7" t="str">
        <f t="shared" si="30"/>
        <v/>
      </c>
      <c r="B847" s="5"/>
      <c r="C847" s="5"/>
      <c r="D847" s="5"/>
      <c r="E847" s="5"/>
      <c r="F847" s="7"/>
      <c r="G847" s="9"/>
      <c r="H847" s="5"/>
      <c r="I847" s="5"/>
      <c r="J847" s="5"/>
      <c r="K847" s="5"/>
      <c r="L847" s="5"/>
      <c r="M847" s="5"/>
      <c r="N847" s="9"/>
      <c r="O847" s="9" t="str">
        <f t="shared" ca="1" si="31"/>
        <v/>
      </c>
      <c r="P847" s="9"/>
      <c r="Q847" s="5"/>
      <c r="R847" s="9"/>
    </row>
    <row r="848" spans="1:18">
      <c r="A848" s="7" t="str">
        <f t="shared" si="30"/>
        <v/>
      </c>
      <c r="B848" s="5"/>
      <c r="C848" s="5"/>
      <c r="D848" s="5"/>
      <c r="E848" s="5"/>
      <c r="F848" s="7"/>
      <c r="G848" s="9"/>
      <c r="H848" s="5"/>
      <c r="I848" s="5"/>
      <c r="J848" s="5"/>
      <c r="K848" s="5"/>
      <c r="L848" s="5"/>
      <c r="M848" s="5"/>
      <c r="N848" s="9"/>
      <c r="O848" s="9" t="str">
        <f t="shared" ca="1" si="31"/>
        <v/>
      </c>
      <c r="P848" s="9"/>
      <c r="Q848" s="5"/>
      <c r="R848" s="9"/>
    </row>
    <row r="849" spans="1:18">
      <c r="A849" s="7" t="str">
        <f t="shared" si="30"/>
        <v/>
      </c>
      <c r="B849" s="5"/>
      <c r="C849" s="5"/>
      <c r="D849" s="5"/>
      <c r="E849" s="5"/>
      <c r="F849" s="7"/>
      <c r="G849" s="9"/>
      <c r="H849" s="5"/>
      <c r="I849" s="5"/>
      <c r="J849" s="5"/>
      <c r="K849" s="5"/>
      <c r="L849" s="5"/>
      <c r="M849" s="5"/>
      <c r="N849" s="9"/>
      <c r="O849" s="9" t="str">
        <f t="shared" ca="1" si="31"/>
        <v/>
      </c>
      <c r="P849" s="9"/>
      <c r="Q849" s="5"/>
      <c r="R849" s="9"/>
    </row>
    <row r="850" spans="1:18">
      <c r="A850" s="7" t="str">
        <f t="shared" si="30"/>
        <v/>
      </c>
      <c r="B850" s="5"/>
      <c r="C850" s="5"/>
      <c r="D850" s="5"/>
      <c r="E850" s="5"/>
      <c r="F850" s="7"/>
      <c r="G850" s="9"/>
      <c r="H850" s="5"/>
      <c r="I850" s="5"/>
      <c r="J850" s="5"/>
      <c r="K850" s="5"/>
      <c r="L850" s="5"/>
      <c r="M850" s="5"/>
      <c r="N850" s="9"/>
      <c r="O850" s="9" t="str">
        <f t="shared" ca="1" si="31"/>
        <v/>
      </c>
      <c r="P850" s="9"/>
      <c r="Q850" s="5"/>
      <c r="R850" s="9"/>
    </row>
    <row r="851" spans="1:18">
      <c r="A851" s="7" t="str">
        <f t="shared" si="30"/>
        <v/>
      </c>
      <c r="B851" s="5"/>
      <c r="C851" s="5"/>
      <c r="D851" s="5"/>
      <c r="E851" s="5"/>
      <c r="F851" s="7"/>
      <c r="G851" s="9"/>
      <c r="H851" s="5"/>
      <c r="I851" s="5"/>
      <c r="J851" s="5"/>
      <c r="K851" s="5"/>
      <c r="L851" s="5"/>
      <c r="M851" s="5"/>
      <c r="N851" s="9"/>
      <c r="O851" s="9" t="str">
        <f t="shared" ca="1" si="31"/>
        <v/>
      </c>
      <c r="P851" s="9"/>
      <c r="Q851" s="5"/>
      <c r="R851" s="9"/>
    </row>
    <row r="852" spans="1:18">
      <c r="A852" s="7" t="str">
        <f t="shared" si="30"/>
        <v/>
      </c>
      <c r="B852" s="5"/>
      <c r="C852" s="5"/>
      <c r="D852" s="5"/>
      <c r="E852" s="5"/>
      <c r="F852" s="7"/>
      <c r="G852" s="9"/>
      <c r="H852" s="5"/>
      <c r="I852" s="5"/>
      <c r="J852" s="5"/>
      <c r="K852" s="5"/>
      <c r="L852" s="5"/>
      <c r="M852" s="5"/>
      <c r="N852" s="9"/>
      <c r="O852" s="9" t="str">
        <f t="shared" ca="1" si="31"/>
        <v/>
      </c>
      <c r="P852" s="9"/>
      <c r="Q852" s="5"/>
      <c r="R852" s="9"/>
    </row>
    <row r="853" spans="1:18">
      <c r="A853" s="7" t="str">
        <f t="shared" si="30"/>
        <v/>
      </c>
      <c r="B853" s="5"/>
      <c r="C853" s="5"/>
      <c r="D853" s="5"/>
      <c r="E853" s="5"/>
      <c r="F853" s="7"/>
      <c r="G853" s="9"/>
      <c r="H853" s="5"/>
      <c r="I853" s="5"/>
      <c r="J853" s="5"/>
      <c r="K853" s="5"/>
      <c r="L853" s="5"/>
      <c r="M853" s="5"/>
      <c r="N853" s="9"/>
      <c r="O853" s="9" t="str">
        <f t="shared" ca="1" si="31"/>
        <v/>
      </c>
      <c r="P853" s="9"/>
      <c r="Q853" s="5"/>
      <c r="R853" s="9"/>
    </row>
    <row r="854" spans="1:18">
      <c r="A854" s="7" t="str">
        <f t="shared" si="30"/>
        <v/>
      </c>
      <c r="B854" s="5"/>
      <c r="C854" s="5"/>
      <c r="D854" s="5"/>
      <c r="E854" s="5"/>
      <c r="F854" s="7"/>
      <c r="G854" s="9"/>
      <c r="H854" s="5"/>
      <c r="I854" s="5"/>
      <c r="J854" s="5"/>
      <c r="K854" s="5"/>
      <c r="L854" s="5"/>
      <c r="M854" s="5"/>
      <c r="N854" s="9"/>
      <c r="O854" s="9" t="str">
        <f t="shared" ca="1" si="31"/>
        <v/>
      </c>
      <c r="P854" s="9"/>
      <c r="Q854" s="5"/>
      <c r="R854" s="9"/>
    </row>
    <row r="855" spans="1:18">
      <c r="A855" s="7" t="str">
        <f t="shared" si="30"/>
        <v/>
      </c>
      <c r="B855" s="5"/>
      <c r="C855" s="5"/>
      <c r="D855" s="5"/>
      <c r="E855" s="5"/>
      <c r="F855" s="7"/>
      <c r="G855" s="9"/>
      <c r="H855" s="5"/>
      <c r="I855" s="5"/>
      <c r="J855" s="5"/>
      <c r="K855" s="5"/>
      <c r="L855" s="5"/>
      <c r="M855" s="5"/>
      <c r="N855" s="9"/>
      <c r="O855" s="9" t="str">
        <f t="shared" ca="1" si="31"/>
        <v/>
      </c>
      <c r="P855" s="9"/>
      <c r="Q855" s="5"/>
      <c r="R855" s="9"/>
    </row>
    <row r="856" spans="1:18">
      <c r="A856" s="7" t="str">
        <f t="shared" si="30"/>
        <v/>
      </c>
      <c r="B856" s="5"/>
      <c r="C856" s="5"/>
      <c r="D856" s="5"/>
      <c r="E856" s="5"/>
      <c r="F856" s="7"/>
      <c r="G856" s="9"/>
      <c r="H856" s="5"/>
      <c r="I856" s="5"/>
      <c r="J856" s="5"/>
      <c r="K856" s="5"/>
      <c r="L856" s="5"/>
      <c r="M856" s="5"/>
      <c r="N856" s="9"/>
      <c r="O856" s="9" t="str">
        <f t="shared" ca="1" si="31"/>
        <v/>
      </c>
      <c r="P856" s="9"/>
      <c r="Q856" s="5"/>
      <c r="R856" s="9"/>
    </row>
    <row r="857" spans="1:18">
      <c r="A857" s="7" t="str">
        <f t="shared" si="30"/>
        <v/>
      </c>
      <c r="B857" s="5"/>
      <c r="C857" s="5"/>
      <c r="D857" s="5"/>
      <c r="E857" s="5"/>
      <c r="F857" s="7"/>
      <c r="G857" s="9"/>
      <c r="H857" s="5"/>
      <c r="I857" s="5"/>
      <c r="J857" s="5"/>
      <c r="K857" s="5"/>
      <c r="L857" s="5"/>
      <c r="M857" s="5"/>
      <c r="N857" s="9"/>
      <c r="O857" s="9" t="str">
        <f t="shared" ca="1" si="31"/>
        <v/>
      </c>
      <c r="P857" s="9"/>
      <c r="Q857" s="5"/>
      <c r="R857" s="9"/>
    </row>
    <row r="858" spans="1:18">
      <c r="A858" s="7" t="str">
        <f t="shared" si="30"/>
        <v/>
      </c>
      <c r="B858" s="5"/>
      <c r="C858" s="5"/>
      <c r="D858" s="5"/>
      <c r="E858" s="5"/>
      <c r="F858" s="7"/>
      <c r="G858" s="9"/>
      <c r="H858" s="5"/>
      <c r="I858" s="5"/>
      <c r="J858" s="5"/>
      <c r="K858" s="5"/>
      <c r="L858" s="5"/>
      <c r="M858" s="5"/>
      <c r="N858" s="9"/>
      <c r="O858" s="9" t="str">
        <f t="shared" ca="1" si="31"/>
        <v/>
      </c>
      <c r="P858" s="9"/>
      <c r="Q858" s="5"/>
      <c r="R858" s="9"/>
    </row>
    <row r="859" spans="1:18">
      <c r="A859" s="7" t="str">
        <f t="shared" si="30"/>
        <v/>
      </c>
      <c r="B859" s="5"/>
      <c r="C859" s="5"/>
      <c r="D859" s="5"/>
      <c r="E859" s="5"/>
      <c r="F859" s="7"/>
      <c r="G859" s="9"/>
      <c r="H859" s="5"/>
      <c r="I859" s="5"/>
      <c r="J859" s="5"/>
      <c r="K859" s="5"/>
      <c r="L859" s="5"/>
      <c r="M859" s="5"/>
      <c r="N859" s="9"/>
      <c r="O859" s="9" t="str">
        <f t="shared" ca="1" si="31"/>
        <v/>
      </c>
      <c r="P859" s="9"/>
      <c r="Q859" s="5"/>
      <c r="R859" s="9"/>
    </row>
    <row r="860" spans="1:18">
      <c r="A860" s="7" t="str">
        <f t="shared" si="30"/>
        <v/>
      </c>
      <c r="B860" s="5"/>
      <c r="C860" s="5"/>
      <c r="D860" s="5"/>
      <c r="E860" s="5"/>
      <c r="F860" s="7"/>
      <c r="G860" s="9"/>
      <c r="H860" s="5"/>
      <c r="I860" s="5"/>
      <c r="J860" s="5"/>
      <c r="K860" s="5"/>
      <c r="L860" s="5"/>
      <c r="M860" s="5"/>
      <c r="N860" s="9"/>
      <c r="O860" s="9" t="str">
        <f t="shared" ca="1" si="31"/>
        <v/>
      </c>
      <c r="P860" s="9"/>
      <c r="Q860" s="5"/>
      <c r="R860" s="9"/>
    </row>
    <row r="861" spans="1:18">
      <c r="A861" s="7" t="str">
        <f t="shared" si="30"/>
        <v/>
      </c>
      <c r="B861" s="5"/>
      <c r="C861" s="5"/>
      <c r="D861" s="5"/>
      <c r="E861" s="5"/>
      <c r="F861" s="7"/>
      <c r="G861" s="9"/>
      <c r="H861" s="5"/>
      <c r="I861" s="5"/>
      <c r="J861" s="5"/>
      <c r="K861" s="5"/>
      <c r="L861" s="5"/>
      <c r="M861" s="5"/>
      <c r="N861" s="9"/>
      <c r="O861" s="9" t="str">
        <f t="shared" ca="1" si="31"/>
        <v/>
      </c>
      <c r="P861" s="9"/>
      <c r="Q861" s="5"/>
      <c r="R861" s="9"/>
    </row>
    <row r="862" spans="1:18">
      <c r="A862" s="7" t="str">
        <f t="shared" si="30"/>
        <v/>
      </c>
      <c r="B862" s="5"/>
      <c r="C862" s="5"/>
      <c r="D862" s="5"/>
      <c r="E862" s="5"/>
      <c r="F862" s="7"/>
      <c r="G862" s="9"/>
      <c r="H862" s="5"/>
      <c r="I862" s="5"/>
      <c r="J862" s="5"/>
      <c r="K862" s="5"/>
      <c r="L862" s="5"/>
      <c r="M862" s="5"/>
      <c r="N862" s="9"/>
      <c r="O862" s="9" t="str">
        <f t="shared" ca="1" si="31"/>
        <v/>
      </c>
      <c r="P862" s="9"/>
      <c r="Q862" s="5"/>
      <c r="R862" s="9"/>
    </row>
    <row r="863" spans="1:18">
      <c r="A863" s="7" t="str">
        <f t="shared" si="30"/>
        <v/>
      </c>
      <c r="B863" s="5"/>
      <c r="C863" s="5"/>
      <c r="D863" s="5"/>
      <c r="E863" s="5"/>
      <c r="F863" s="7"/>
      <c r="G863" s="9"/>
      <c r="H863" s="5"/>
      <c r="I863" s="5"/>
      <c r="J863" s="5"/>
      <c r="K863" s="5"/>
      <c r="L863" s="5"/>
      <c r="M863" s="5"/>
      <c r="N863" s="9"/>
      <c r="O863" s="9" t="str">
        <f t="shared" ca="1" si="31"/>
        <v/>
      </c>
      <c r="P863" s="9"/>
      <c r="Q863" s="5"/>
      <c r="R863" s="9"/>
    </row>
    <row r="864" spans="1:18">
      <c r="A864" s="7" t="str">
        <f t="shared" si="30"/>
        <v/>
      </c>
      <c r="B864" s="5"/>
      <c r="C864" s="5"/>
      <c r="D864" s="5"/>
      <c r="E864" s="5"/>
      <c r="F864" s="7"/>
      <c r="G864" s="9"/>
      <c r="H864" s="5"/>
      <c r="I864" s="5"/>
      <c r="J864" s="5"/>
      <c r="K864" s="5"/>
      <c r="L864" s="5"/>
      <c r="M864" s="5"/>
      <c r="N864" s="9"/>
      <c r="O864" s="9" t="str">
        <f t="shared" ca="1" si="31"/>
        <v/>
      </c>
      <c r="P864" s="9"/>
      <c r="Q864" s="5"/>
      <c r="R864" s="9"/>
    </row>
    <row r="865" spans="1:18">
      <c r="A865" s="7" t="str">
        <f t="shared" si="30"/>
        <v/>
      </c>
      <c r="B865" s="5"/>
      <c r="C865" s="5"/>
      <c r="D865" s="5"/>
      <c r="E865" s="5"/>
      <c r="F865" s="7"/>
      <c r="G865" s="9"/>
      <c r="H865" s="5"/>
      <c r="I865" s="5"/>
      <c r="J865" s="5"/>
      <c r="K865" s="5"/>
      <c r="L865" s="5"/>
      <c r="M865" s="5"/>
      <c r="N865" s="9"/>
      <c r="O865" s="9" t="str">
        <f t="shared" ca="1" si="31"/>
        <v/>
      </c>
      <c r="P865" s="9"/>
      <c r="Q865" s="5"/>
      <c r="R865" s="9"/>
    </row>
    <row r="866" spans="1:18">
      <c r="A866" s="7" t="str">
        <f t="shared" si="30"/>
        <v/>
      </c>
      <c r="B866" s="5"/>
      <c r="C866" s="5"/>
      <c r="D866" s="5"/>
      <c r="E866" s="5"/>
      <c r="F866" s="7"/>
      <c r="G866" s="9"/>
      <c r="H866" s="5"/>
      <c r="I866" s="5"/>
      <c r="J866" s="5"/>
      <c r="K866" s="5"/>
      <c r="L866" s="5"/>
      <c r="M866" s="5"/>
      <c r="N866" s="9"/>
      <c r="O866" s="9" t="str">
        <f t="shared" ca="1" si="31"/>
        <v/>
      </c>
      <c r="P866" s="9"/>
      <c r="Q866" s="5"/>
      <c r="R866" s="9"/>
    </row>
    <row r="867" spans="1:18">
      <c r="A867" s="7" t="str">
        <f t="shared" si="30"/>
        <v/>
      </c>
      <c r="B867" s="5"/>
      <c r="C867" s="5"/>
      <c r="D867" s="5"/>
      <c r="E867" s="5"/>
      <c r="F867" s="7"/>
      <c r="G867" s="9"/>
      <c r="H867" s="5"/>
      <c r="I867" s="5"/>
      <c r="J867" s="5"/>
      <c r="K867" s="5"/>
      <c r="L867" s="5"/>
      <c r="M867" s="5"/>
      <c r="N867" s="9"/>
      <c r="O867" s="9" t="str">
        <f t="shared" ca="1" si="31"/>
        <v/>
      </c>
      <c r="P867" s="9"/>
      <c r="Q867" s="5"/>
      <c r="R867" s="9"/>
    </row>
    <row r="868" spans="1:18">
      <c r="A868" s="7" t="str">
        <f t="shared" si="30"/>
        <v/>
      </c>
      <c r="B868" s="5"/>
      <c r="C868" s="5"/>
      <c r="D868" s="5"/>
      <c r="E868" s="5"/>
      <c r="F868" s="7"/>
      <c r="G868" s="9"/>
      <c r="H868" s="5"/>
      <c r="I868" s="5"/>
      <c r="J868" s="5"/>
      <c r="K868" s="5"/>
      <c r="L868" s="5"/>
      <c r="M868" s="5"/>
      <c r="N868" s="9"/>
      <c r="O868" s="9" t="str">
        <f t="shared" ca="1" si="31"/>
        <v/>
      </c>
      <c r="P868" s="9"/>
      <c r="Q868" s="5"/>
      <c r="R868" s="9"/>
    </row>
    <row r="869" spans="1:18">
      <c r="A869" s="7" t="str">
        <f t="shared" si="30"/>
        <v/>
      </c>
      <c r="B869" s="5"/>
      <c r="C869" s="5"/>
      <c r="D869" s="5"/>
      <c r="E869" s="5"/>
      <c r="F869" s="7"/>
      <c r="G869" s="9"/>
      <c r="H869" s="5"/>
      <c r="I869" s="5"/>
      <c r="J869" s="5"/>
      <c r="K869" s="5"/>
      <c r="L869" s="5"/>
      <c r="M869" s="5"/>
      <c r="N869" s="9"/>
      <c r="O869" s="9" t="str">
        <f t="shared" ca="1" si="31"/>
        <v/>
      </c>
      <c r="P869" s="9"/>
      <c r="Q869" s="5"/>
      <c r="R869" s="9"/>
    </row>
    <row r="870" spans="1:18">
      <c r="A870" s="7" t="str">
        <f t="shared" si="30"/>
        <v/>
      </c>
      <c r="B870" s="5"/>
      <c r="C870" s="5"/>
      <c r="D870" s="5"/>
      <c r="E870" s="5"/>
      <c r="F870" s="7"/>
      <c r="G870" s="9"/>
      <c r="H870" s="5"/>
      <c r="I870" s="5"/>
      <c r="J870" s="5"/>
      <c r="K870" s="5"/>
      <c r="L870" s="5"/>
      <c r="M870" s="5"/>
      <c r="N870" s="9"/>
      <c r="O870" s="9" t="str">
        <f t="shared" ca="1" si="31"/>
        <v/>
      </c>
      <c r="P870" s="9"/>
      <c r="Q870" s="5"/>
      <c r="R870" s="9"/>
    </row>
    <row r="871" spans="1:18">
      <c r="A871" s="7" t="str">
        <f t="shared" si="30"/>
        <v/>
      </c>
      <c r="B871" s="5"/>
      <c r="C871" s="5"/>
      <c r="D871" s="5"/>
      <c r="E871" s="5"/>
      <c r="F871" s="7"/>
      <c r="G871" s="9"/>
      <c r="H871" s="5"/>
      <c r="I871" s="5"/>
      <c r="J871" s="5"/>
      <c r="K871" s="5"/>
      <c r="L871" s="5"/>
      <c r="M871" s="5"/>
      <c r="N871" s="9"/>
      <c r="O871" s="9" t="str">
        <f t="shared" ca="1" si="31"/>
        <v/>
      </c>
      <c r="P871" s="9"/>
      <c r="Q871" s="5"/>
      <c r="R871" s="9"/>
    </row>
    <row r="872" spans="1:18">
      <c r="A872" s="7" t="str">
        <f t="shared" si="30"/>
        <v/>
      </c>
      <c r="B872" s="5"/>
      <c r="C872" s="5"/>
      <c r="D872" s="5"/>
      <c r="E872" s="5"/>
      <c r="F872" s="7"/>
      <c r="G872" s="9"/>
      <c r="H872" s="5"/>
      <c r="I872" s="5"/>
      <c r="J872" s="5"/>
      <c r="K872" s="5"/>
      <c r="L872" s="5"/>
      <c r="M872" s="5"/>
      <c r="N872" s="9"/>
      <c r="O872" s="9" t="str">
        <f t="shared" ca="1" si="31"/>
        <v/>
      </c>
      <c r="P872" s="9"/>
      <c r="Q872" s="5"/>
      <c r="R872" s="9"/>
    </row>
    <row r="873" spans="1:18">
      <c r="A873" s="7" t="str">
        <f t="shared" si="30"/>
        <v/>
      </c>
      <c r="B873" s="5"/>
      <c r="C873" s="5"/>
      <c r="D873" s="5"/>
      <c r="E873" s="5"/>
      <c r="F873" s="7"/>
      <c r="G873" s="9"/>
      <c r="H873" s="5"/>
      <c r="I873" s="5"/>
      <c r="J873" s="5"/>
      <c r="K873" s="5"/>
      <c r="L873" s="5"/>
      <c r="M873" s="5"/>
      <c r="N873" s="9"/>
      <c r="O873" s="9" t="str">
        <f t="shared" ca="1" si="31"/>
        <v/>
      </c>
      <c r="P873" s="9"/>
      <c r="Q873" s="5"/>
      <c r="R873" s="9"/>
    </row>
    <row r="874" spans="1:18">
      <c r="A874" s="7" t="str">
        <f t="shared" si="30"/>
        <v/>
      </c>
      <c r="B874" s="5"/>
      <c r="C874" s="5"/>
      <c r="D874" s="5"/>
      <c r="E874" s="5"/>
      <c r="F874" s="7"/>
      <c r="G874" s="9"/>
      <c r="H874" s="5"/>
      <c r="I874" s="5"/>
      <c r="J874" s="5"/>
      <c r="K874" s="5"/>
      <c r="L874" s="5"/>
      <c r="M874" s="5"/>
      <c r="N874" s="9"/>
      <c r="O874" s="9" t="str">
        <f t="shared" ca="1" si="31"/>
        <v/>
      </c>
      <c r="P874" s="9"/>
      <c r="Q874" s="5"/>
      <c r="R874" s="9"/>
    </row>
    <row r="875" spans="1:18">
      <c r="A875" s="7" t="str">
        <f t="shared" si="30"/>
        <v/>
      </c>
      <c r="B875" s="5"/>
      <c r="C875" s="5"/>
      <c r="D875" s="5"/>
      <c r="E875" s="5"/>
      <c r="F875" s="7"/>
      <c r="G875" s="9"/>
      <c r="H875" s="5"/>
      <c r="I875" s="5"/>
      <c r="J875" s="5"/>
      <c r="K875" s="5"/>
      <c r="L875" s="5"/>
      <c r="M875" s="5"/>
      <c r="N875" s="9"/>
      <c r="O875" s="9" t="str">
        <f t="shared" ca="1" si="31"/>
        <v/>
      </c>
      <c r="P875" s="9"/>
      <c r="Q875" s="5"/>
      <c r="R875" s="9"/>
    </row>
    <row r="876" spans="1:18">
      <c r="A876" s="7" t="str">
        <f t="shared" si="30"/>
        <v/>
      </c>
      <c r="B876" s="5"/>
      <c r="C876" s="5"/>
      <c r="D876" s="5"/>
      <c r="E876" s="5"/>
      <c r="F876" s="7"/>
      <c r="G876" s="9"/>
      <c r="H876" s="5"/>
      <c r="I876" s="5"/>
      <c r="J876" s="5"/>
      <c r="K876" s="5"/>
      <c r="L876" s="5"/>
      <c r="M876" s="5"/>
      <c r="N876" s="9"/>
      <c r="O876" s="9" t="str">
        <f t="shared" ca="1" si="31"/>
        <v/>
      </c>
      <c r="P876" s="9"/>
      <c r="Q876" s="5"/>
      <c r="R876" s="9"/>
    </row>
    <row r="877" spans="1:18">
      <c r="A877" s="7" t="str">
        <f t="shared" si="30"/>
        <v/>
      </c>
      <c r="B877" s="5"/>
      <c r="C877" s="5"/>
      <c r="D877" s="5"/>
      <c r="E877" s="5"/>
      <c r="F877" s="7"/>
      <c r="G877" s="9"/>
      <c r="H877" s="5"/>
      <c r="I877" s="5"/>
      <c r="J877" s="5"/>
      <c r="K877" s="5"/>
      <c r="L877" s="5"/>
      <c r="M877" s="5"/>
      <c r="N877" s="9"/>
      <c r="O877" s="9" t="str">
        <f t="shared" ca="1" si="31"/>
        <v/>
      </c>
      <c r="P877" s="9"/>
      <c r="Q877" s="5"/>
      <c r="R877" s="9"/>
    </row>
    <row r="878" spans="1:18">
      <c r="A878" s="7" t="str">
        <f t="shared" si="30"/>
        <v/>
      </c>
      <c r="B878" s="5"/>
      <c r="C878" s="5"/>
      <c r="D878" s="5"/>
      <c r="E878" s="5"/>
      <c r="F878" s="7"/>
      <c r="G878" s="9"/>
      <c r="H878" s="5"/>
      <c r="I878" s="5"/>
      <c r="J878" s="5"/>
      <c r="K878" s="5"/>
      <c r="L878" s="5"/>
      <c r="M878" s="5"/>
      <c r="N878" s="9"/>
      <c r="O878" s="9" t="str">
        <f t="shared" ca="1" si="31"/>
        <v/>
      </c>
      <c r="P878" s="9"/>
      <c r="Q878" s="5"/>
      <c r="R878" s="9"/>
    </row>
    <row r="879" spans="1:18">
      <c r="A879" s="7" t="str">
        <f t="shared" si="30"/>
        <v/>
      </c>
      <c r="B879" s="5"/>
      <c r="C879" s="5"/>
      <c r="D879" s="5"/>
      <c r="E879" s="5"/>
      <c r="F879" s="7"/>
      <c r="G879" s="9"/>
      <c r="H879" s="5"/>
      <c r="I879" s="5"/>
      <c r="J879" s="5"/>
      <c r="K879" s="5"/>
      <c r="L879" s="5"/>
      <c r="M879" s="5"/>
      <c r="N879" s="9"/>
      <c r="O879" s="9" t="str">
        <f t="shared" ca="1" si="31"/>
        <v/>
      </c>
      <c r="P879" s="9"/>
      <c r="Q879" s="5"/>
      <c r="R879" s="9"/>
    </row>
    <row r="880" spans="1:18">
      <c r="A880" s="7" t="str">
        <f t="shared" si="30"/>
        <v/>
      </c>
      <c r="B880" s="5"/>
      <c r="C880" s="5"/>
      <c r="D880" s="5"/>
      <c r="E880" s="5"/>
      <c r="F880" s="7"/>
      <c r="G880" s="9"/>
      <c r="H880" s="5"/>
      <c r="I880" s="5"/>
      <c r="J880" s="5"/>
      <c r="K880" s="5"/>
      <c r="L880" s="5"/>
      <c r="M880" s="5"/>
      <c r="N880" s="9"/>
      <c r="O880" s="9" t="str">
        <f t="shared" ca="1" si="31"/>
        <v/>
      </c>
      <c r="P880" s="9"/>
      <c r="Q880" s="5"/>
      <c r="R880" s="9"/>
    </row>
    <row r="881" spans="1:18">
      <c r="A881" s="7" t="str">
        <f t="shared" si="30"/>
        <v/>
      </c>
      <c r="B881" s="5"/>
      <c r="C881" s="5"/>
      <c r="D881" s="5"/>
      <c r="E881" s="5"/>
      <c r="F881" s="7"/>
      <c r="G881" s="9"/>
      <c r="H881" s="5"/>
      <c r="I881" s="5"/>
      <c r="J881" s="5"/>
      <c r="K881" s="5"/>
      <c r="L881" s="5"/>
      <c r="M881" s="5"/>
      <c r="N881" s="9"/>
      <c r="O881" s="9" t="str">
        <f t="shared" ca="1" si="31"/>
        <v/>
      </c>
      <c r="P881" s="9"/>
      <c r="Q881" s="5"/>
      <c r="R881" s="9"/>
    </row>
    <row r="882" spans="1:18">
      <c r="A882" t="str">
        <f t="shared" si="30"/>
        <v/>
      </c>
    </row>
  </sheetData>
  <mergeCells count="2">
    <mergeCell ref="A2:R2"/>
    <mergeCell ref="A1:S1"/>
  </mergeCells>
  <conditionalFormatting sqref="M4:M881">
    <cfRule type="expression" dxfId="10" priority="1">
      <formula>M4="Low"</formula>
    </cfRule>
    <cfRule type="expression" dxfId="9" priority="2">
      <formula>M4="Medium"</formula>
    </cfRule>
    <cfRule type="expression" dxfId="8" priority="3">
      <formula>M4="High"</formula>
    </cfRule>
  </conditionalFormatting>
  <conditionalFormatting sqref="O4:O881">
    <cfRule type="expression" dxfId="7" priority="9">
      <formula>AND($O4&lt;&gt;"",$O4&lt;TODAY())</formula>
    </cfRule>
    <cfRule type="expression" dxfId="6" priority="10">
      <formula>AND($O4&lt;&gt;"",$O4=TODAY())</formula>
    </cfRule>
  </conditionalFormatting>
  <conditionalFormatting sqref="Q4:Q881">
    <cfRule type="expression" dxfId="5" priority="7">
      <formula>Q4="Done"</formula>
    </cfRule>
  </conditionalFormatting>
  <dataValidations count="4">
    <dataValidation type="list" sqref="F4:F881" xr:uid="{00000000-0002-0000-0000-000000000000}">
      <formula1>"Easy,Medium,Hard"</formula1>
    </dataValidation>
    <dataValidation type="list" sqref="M4:M881" xr:uid="{00000000-0002-0000-0000-000001000000}">
      <formula1>"High,Medium,Low"</formula1>
    </dataValidation>
    <dataValidation type="list" sqref="Q4:Q881" xr:uid="{00000000-0002-0000-0000-000002000000}">
      <formula1>"New,Review,Weak,Mastered"</formula1>
    </dataValidation>
    <dataValidation type="list" sqref="N4:N881" xr:uid="{00000000-0002-0000-0000-000003000000}">
      <formula1>"Yes,No"</formula1>
    </dataValidation>
  </dataValidations>
  <hyperlinks>
    <hyperlink ref="C9" r:id="rId1" xr:uid="{00000000-0004-0000-0000-000000000000}"/>
    <hyperlink ref="S9" r:id="rId2" xr:uid="{00000000-0004-0000-0000-000001000000}"/>
    <hyperlink ref="C20" r:id="rId3" xr:uid="{00000000-0004-0000-0000-000002000000}"/>
    <hyperlink ref="C21" r:id="rId4" xr:uid="{00000000-0004-0000-0000-000003000000}"/>
    <hyperlink ref="C22" r:id="rId5" xr:uid="{00000000-0004-0000-0000-000004000000}"/>
    <hyperlink ref="C23" r:id="rId6" xr:uid="{00000000-0004-0000-0000-000005000000}"/>
    <hyperlink ref="C24" r:id="rId7" xr:uid="{00000000-0004-0000-0000-000006000000}"/>
    <hyperlink ref="C25" r:id="rId8" xr:uid="{00000000-0004-0000-0000-000007000000}"/>
    <hyperlink ref="C26" r:id="rId9" xr:uid="{00000000-0004-0000-0000-000008000000}"/>
    <hyperlink ref="C27" r:id="rId10" xr:uid="{00000000-0004-0000-0000-000009000000}"/>
    <hyperlink ref="C28" r:id="rId11" xr:uid="{00000000-0004-0000-0000-00000A000000}"/>
    <hyperlink ref="C30" r:id="rId12" xr:uid="{00000000-0004-0000-0000-00000B000000}"/>
    <hyperlink ref="C31" r:id="rId13" xr:uid="{00000000-0004-0000-0000-00000C000000}"/>
    <hyperlink ref="C32" r:id="rId14" xr:uid="{00000000-0004-0000-0000-00000D000000}"/>
    <hyperlink ref="C33" r:id="rId15" xr:uid="{00000000-0004-0000-0000-00000E000000}"/>
    <hyperlink ref="C34" r:id="rId16" xr:uid="{00000000-0004-0000-0000-00000F000000}"/>
    <hyperlink ref="C35" r:id="rId17" xr:uid="{00000000-0004-0000-0000-000010000000}"/>
    <hyperlink ref="C36" r:id="rId18" xr:uid="{00000000-0004-0000-0000-000011000000}"/>
    <hyperlink ref="C37" r:id="rId19" xr:uid="{00000000-0004-0000-0000-000012000000}"/>
    <hyperlink ref="C38" r:id="rId20" xr:uid="{00000000-0004-0000-0000-000013000000}"/>
    <hyperlink ref="C39" r:id="rId21" xr:uid="{00000000-0004-0000-0000-000014000000}"/>
    <hyperlink ref="C41" r:id="rId22" xr:uid="{3E60130A-C64A-4A7B-B56B-07EE3AE30C21}"/>
    <hyperlink ref="C42" r:id="rId23" xr:uid="{A07F57A7-BC4B-4770-9BBB-0DBEBFCF70F3}"/>
    <hyperlink ref="C43" r:id="rId24" xr:uid="{C356A7D5-871E-4F32-9B07-8D886AEBE6CE}"/>
    <hyperlink ref="C44" r:id="rId25" xr:uid="{186FAC64-A1D9-4D0A-802B-3B3078BFF1FD}"/>
    <hyperlink ref="C45" r:id="rId26" xr:uid="{041A77F7-35FC-42F5-B46F-540073B91D9A}"/>
    <hyperlink ref="C46" r:id="rId27" xr:uid="{66B6DC34-0DB4-46D9-A2E6-FC7AE9DA5E95}"/>
    <hyperlink ref="C47" r:id="rId28" xr:uid="{4C5DF712-85BF-4983-929C-5377F3741D45}"/>
    <hyperlink ref="C48" r:id="rId29" xr:uid="{319BC2D3-7528-49C6-8889-A471BA8E0763}"/>
    <hyperlink ref="C49" r:id="rId30" xr:uid="{7BCB491B-B53F-4D73-8453-017409121573}"/>
    <hyperlink ref="C51" r:id="rId31" xr:uid="{D9B544EA-278D-40C2-8F09-742E6B4C25F2}"/>
    <hyperlink ref="C52" r:id="rId32" xr:uid="{84D64143-8512-4792-B09D-838B2D0D5F8A}"/>
  </hyperlinks>
  <pageMargins left="0.7" right="0.7" top="0.75" bottom="0.75" header="0.3" footer="0.3"/>
  <pageSetup orientation="portrait" r:id="rId33"/>
  <tableParts count="1">
    <tablePart r:id="rId3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topLeftCell="A7" workbookViewId="0">
      <selection activeCell="B28" sqref="B28"/>
    </sheetView>
  </sheetViews>
  <sheetFormatPr defaultRowHeight="13.8"/>
  <cols>
    <col min="1" max="1" width="24" customWidth="1"/>
    <col min="2" max="2" width="34" customWidth="1"/>
    <col min="3" max="3" width="12" customWidth="1"/>
    <col min="4" max="4" width="15" customWidth="1"/>
    <col min="5" max="5" width="42" customWidth="1"/>
    <col min="6" max="8" width="24" customWidth="1"/>
  </cols>
  <sheetData>
    <row r="1" spans="1:8" ht="9.15" customHeight="1">
      <c r="A1" s="36" t="s">
        <v>258</v>
      </c>
      <c r="B1" s="36"/>
      <c r="C1" s="36"/>
      <c r="D1" s="36"/>
      <c r="E1" s="36"/>
      <c r="F1" s="36"/>
      <c r="G1" s="36"/>
      <c r="H1" s="36"/>
    </row>
    <row r="2" spans="1:8">
      <c r="A2" s="3"/>
      <c r="B2" s="3"/>
      <c r="C2" s="3"/>
      <c r="D2" s="3"/>
      <c r="E2" s="3"/>
      <c r="F2" s="3"/>
      <c r="G2" s="3"/>
      <c r="H2" s="3"/>
    </row>
    <row r="3" spans="1:8">
      <c r="A3" s="12" t="s">
        <v>259</v>
      </c>
      <c r="B3" s="12" t="s">
        <v>260</v>
      </c>
      <c r="C3" s="3"/>
      <c r="D3" s="12" t="s">
        <v>14</v>
      </c>
      <c r="E3" s="12" t="s">
        <v>261</v>
      </c>
      <c r="F3" s="3"/>
      <c r="G3" s="3"/>
      <c r="H3" s="3"/>
    </row>
    <row r="4" spans="1:8">
      <c r="A4" s="13" t="s">
        <v>262</v>
      </c>
      <c r="B4" s="18">
        <f>COUNTIF(Tracker!B4:B881,"&lt;&gt;")</f>
        <v>49</v>
      </c>
      <c r="C4" s="3"/>
      <c r="D4" s="3" t="s">
        <v>30</v>
      </c>
      <c r="E4" s="19">
        <f>COUNTIF(Tracker!$M$4:$M$881,D4)</f>
        <v>16</v>
      </c>
      <c r="F4" s="3"/>
      <c r="G4" s="3"/>
      <c r="H4" s="3"/>
    </row>
    <row r="5" spans="1:8">
      <c r="A5" s="13" t="s">
        <v>263</v>
      </c>
      <c r="B5" s="18">
        <f>COUNTIF(Tracker!M4:M881,"High")</f>
        <v>16</v>
      </c>
      <c r="C5" s="3"/>
      <c r="D5" s="3" t="s">
        <v>52</v>
      </c>
      <c r="E5" s="19">
        <f>COUNTIF(Tracker!$M$4:$M$881,D5)</f>
        <v>20</v>
      </c>
      <c r="F5" s="3"/>
      <c r="G5" s="3"/>
      <c r="H5" s="3"/>
    </row>
    <row r="6" spans="1:8">
      <c r="A6" s="13" t="s">
        <v>264</v>
      </c>
      <c r="B6" s="18">
        <f>COUNTIF(Tracker!M4:M881,"Medium")</f>
        <v>20</v>
      </c>
      <c r="C6" s="3"/>
      <c r="D6" s="3" t="s">
        <v>112</v>
      </c>
      <c r="E6" s="19">
        <f>COUNTIF(Tracker!$M$4:$M$881,D6)</f>
        <v>4</v>
      </c>
      <c r="F6" s="3"/>
      <c r="G6" s="3"/>
      <c r="H6" s="3"/>
    </row>
    <row r="7" spans="1:8">
      <c r="A7" s="13" t="s">
        <v>265</v>
      </c>
      <c r="B7" s="18">
        <f>COUNTIF(Tracker!M4:M881,"Low")</f>
        <v>4</v>
      </c>
      <c r="C7" s="3"/>
      <c r="D7" s="3"/>
      <c r="E7" s="3"/>
      <c r="F7" s="3"/>
      <c r="G7" s="3"/>
      <c r="H7" s="3"/>
    </row>
    <row r="8" spans="1:8">
      <c r="A8" s="13" t="s">
        <v>266</v>
      </c>
      <c r="B8" s="18">
        <f>COUNTIF(Tracker!Q4:Q881,"Weak")</f>
        <v>0</v>
      </c>
      <c r="C8" s="3"/>
      <c r="D8" s="3"/>
      <c r="E8" s="3"/>
      <c r="F8" s="3"/>
      <c r="G8" s="3"/>
      <c r="H8" s="3"/>
    </row>
    <row r="9" spans="1:8">
      <c r="A9" s="13" t="s">
        <v>267</v>
      </c>
      <c r="B9" s="18">
        <f>COUNTIF(Tracker!N4:N881,"Yes")</f>
        <v>43</v>
      </c>
      <c r="C9" s="3"/>
      <c r="D9" s="3"/>
      <c r="E9" s="3"/>
      <c r="F9" s="3"/>
      <c r="G9" s="3"/>
      <c r="H9" s="3"/>
    </row>
    <row r="10" spans="1:8">
      <c r="A10" s="3" t="s">
        <v>268</v>
      </c>
      <c r="B10" s="19">
        <f ca="1">COUNTIFS(Tracker!O4:O881,"&lt;="&amp;TODAY(),Tracker!O4:O881,"&gt;0",Tracker!N4:N881,"Yes")</f>
        <v>37</v>
      </c>
      <c r="C10" s="3"/>
      <c r="D10" s="3"/>
      <c r="E10" s="3"/>
      <c r="F10" s="3"/>
      <c r="G10" s="3"/>
      <c r="H10" s="3"/>
    </row>
    <row r="11" spans="1:8">
      <c r="A11" s="2"/>
      <c r="B11" s="2"/>
      <c r="C11" s="2"/>
      <c r="D11" s="37"/>
      <c r="E11" s="38"/>
      <c r="F11" s="38"/>
      <c r="G11" s="38"/>
      <c r="H11" s="38"/>
    </row>
    <row r="12" spans="1:8">
      <c r="A12" s="10" t="s">
        <v>269</v>
      </c>
      <c r="B12" s="10" t="s">
        <v>6</v>
      </c>
      <c r="C12" s="10" t="s">
        <v>14</v>
      </c>
      <c r="D12" s="14" t="s">
        <v>16</v>
      </c>
      <c r="E12" s="14" t="s">
        <v>270</v>
      </c>
      <c r="F12" s="2"/>
      <c r="G12" s="2"/>
      <c r="H12" s="2"/>
    </row>
    <row r="13" spans="1:8">
      <c r="A13" s="3" t="str">
        <f ca="1">IF(AND(Tracker!$N4="Yes",Tracker!$O4&lt;&gt;"",Tracker!$O4&lt;=TODAY()),Tracker!$B4,"")</f>
        <v>Contains Duplicate</v>
      </c>
      <c r="B13" s="3" t="str">
        <f ca="1">IF($A13="","",Tracker!$E4)</f>
        <v>Hash Set</v>
      </c>
      <c r="C13" s="3" t="str">
        <f ca="1">IF($A13="","",Tracker!$M4)</f>
        <v>High</v>
      </c>
      <c r="D13" s="24">
        <f ca="1">IF($A13="","",Tracker!$O4)</f>
        <v>46265</v>
      </c>
      <c r="E13" s="3" t="str">
        <f t="shared" ref="E13:E22" ca="1" si="0">IF($A13="","","Redo on paper → enter today in Last Redo Done")</f>
        <v>Redo on paper → enter today in Last Redo Done</v>
      </c>
      <c r="F13" s="3"/>
      <c r="G13" s="3"/>
      <c r="H13" s="3" t="str">
        <f t="shared" ref="H13:H22" ca="1" si="1">IF(D13="","","Read pattern + key trick; redo if still Low")</f>
        <v>Read pattern + key trick; redo if still Low</v>
      </c>
    </row>
    <row r="14" spans="1:8" ht="27.6">
      <c r="A14" s="3" t="str">
        <f ca="1">IF(AND(Tracker!$N5="Yes",Tracker!$O5&lt;&gt;"",Tracker!$O5&lt;=TODAY()),Tracker!$B5,"")</f>
        <v>Maximum Average Subarray I</v>
      </c>
      <c r="B14" s="3" t="str">
        <f ca="1">IF($A14="","",Tracker!$E5)</f>
        <v>Fixed-size Sliding Window</v>
      </c>
      <c r="C14" s="3" t="str">
        <f ca="1">IF($A14="","",Tracker!$M5)</f>
        <v>High</v>
      </c>
      <c r="D14" s="24">
        <f ca="1">IF($A14="","",Tracker!$O5)</f>
        <v>46267</v>
      </c>
      <c r="E14" s="3" t="str">
        <f t="shared" ca="1" si="0"/>
        <v>Redo on paper → enter today in Last Redo Done</v>
      </c>
      <c r="F14" s="3"/>
      <c r="G14" s="3"/>
      <c r="H14" s="3" t="str">
        <f t="shared" ca="1" si="1"/>
        <v>Read pattern + key trick; redo if still Low</v>
      </c>
    </row>
    <row r="15" spans="1:8">
      <c r="A15" s="3" t="str">
        <f ca="1">IF(AND(Tracker!$N6="Yes",Tracker!$O6&lt;&gt;"",Tracker!$O6&lt;=TODAY()),Tracker!$B6,"")</f>
        <v>Find Pivot Integer</v>
      </c>
      <c r="B15" s="3" t="str">
        <f ca="1">IF($A15="","",Tracker!$E6)</f>
        <v>Math / Perfect Square</v>
      </c>
      <c r="C15" s="3" t="str">
        <f ca="1">IF($A15="","",Tracker!$M6)</f>
        <v>High</v>
      </c>
      <c r="D15" s="24">
        <f ca="1">IF($A15="","",Tracker!$O6)</f>
        <v>46271</v>
      </c>
      <c r="E15" s="3" t="str">
        <f t="shared" ca="1" si="0"/>
        <v>Redo on paper → enter today in Last Redo Done</v>
      </c>
      <c r="F15" s="3"/>
      <c r="G15" s="3"/>
      <c r="H15" s="3" t="str">
        <f t="shared" ca="1" si="1"/>
        <v>Read pattern + key trick; redo if still Low</v>
      </c>
    </row>
    <row r="16" spans="1:8" ht="27.6">
      <c r="A16" s="3" t="str">
        <f ca="1">IF(AND(Tracker!$N7="Yes",Tracker!$O7&lt;&gt;"",Tracker!$O7&lt;=TODAY()),Tracker!$B7,"")</f>
        <v>Smallest Integer Divisible by K</v>
      </c>
      <c r="B16" s="3" t="str">
        <f ca="1">IF($A16="","",Tracker!$E7)</f>
        <v>Modulo / Remainder</v>
      </c>
      <c r="C16" s="3" t="str">
        <f ca="1">IF($A16="","",Tracker!$M7)</f>
        <v>Medium</v>
      </c>
      <c r="D16" s="24">
        <f ca="1">IF($A16="","",Tracker!$O7)</f>
        <v>46219</v>
      </c>
      <c r="E16" s="3" t="str">
        <f t="shared" ca="1" si="0"/>
        <v>Redo on paper → enter today in Last Redo Done</v>
      </c>
      <c r="F16" s="3"/>
      <c r="G16" s="3"/>
      <c r="H16" s="3" t="str">
        <f t="shared" ca="1" si="1"/>
        <v>Read pattern + key trick; redo if still Low</v>
      </c>
    </row>
    <row r="17" spans="1:8">
      <c r="A17" s="3" t="str">
        <f ca="1">IF(AND(Tracker!$N8="Yes",Tracker!$O8&lt;&gt;"",Tracker!$O8&lt;=TODAY()),Tracker!$B8,"")</f>
        <v>Self Dividing Numbers</v>
      </c>
      <c r="B17" s="3" t="str">
        <f ca="1">IF($A17="","",Tracker!$E8)</f>
        <v>Digit Extraction</v>
      </c>
      <c r="C17" s="3" t="str">
        <f ca="1">IF($A17="","",Tracker!$M8)</f>
        <v>High</v>
      </c>
      <c r="D17" s="24">
        <f ca="1">IF($A17="","",Tracker!$O8)</f>
        <v>46233</v>
      </c>
      <c r="E17" s="3" t="str">
        <f t="shared" ca="1" si="0"/>
        <v>Redo on paper → enter today in Last Redo Done</v>
      </c>
      <c r="F17" s="3"/>
      <c r="G17" s="3"/>
      <c r="H17" s="3" t="str">
        <f t="shared" ca="1" si="1"/>
        <v>Read pattern + key trick; redo if still Low</v>
      </c>
    </row>
    <row r="18" spans="1:8">
      <c r="A18" s="3" t="str">
        <f ca="1">IF(AND(Tracker!$N9="Yes",Tracker!$O9&lt;&gt;"",Tracker!$O9&lt;=TODAY()),Tracker!$B9,"")</f>
        <v>Subarray Sum Equals K</v>
      </c>
      <c r="B18" s="3" t="str">
        <f ca="1">IF($A18="","",Tracker!$E9)</f>
        <v>Prefix Sum + Hash Table</v>
      </c>
      <c r="C18" s="3" t="str">
        <f ca="1">IF($A18="","",Tracker!$M9)</f>
        <v>Medium</v>
      </c>
      <c r="D18" s="24">
        <f ca="1">IF($A18="","",Tracker!$O9)</f>
        <v>46219</v>
      </c>
      <c r="E18" s="3" t="str">
        <f t="shared" ca="1" si="0"/>
        <v>Redo on paper → enter today in Last Redo Done</v>
      </c>
      <c r="F18" s="3"/>
      <c r="G18" s="3"/>
      <c r="H18" s="3" t="str">
        <f t="shared" ca="1" si="1"/>
        <v>Read pattern + key trick; redo if still Low</v>
      </c>
    </row>
    <row r="19" spans="1:8">
      <c r="A19" s="3" t="str">
        <f ca="1">IF(AND(Tracker!$N10="Yes",Tracker!$O10&lt;&gt;"",Tracker!$O10&lt;=TODAY()),Tracker!$B10,"")</f>
        <v>Product of Array Except Self</v>
      </c>
      <c r="B19" s="3" t="str">
        <f ca="1">IF($A19="","",Tracker!$E10)</f>
        <v>Prefix Sum</v>
      </c>
      <c r="C19" s="3" t="str">
        <f ca="1">IF($A19="","",Tracker!$M10)</f>
        <v>Medium</v>
      </c>
      <c r="D19" s="24">
        <f ca="1">IF($A19="","",Tracker!$O10)</f>
        <v>46214</v>
      </c>
      <c r="E19" s="3" t="str">
        <f t="shared" ca="1" si="0"/>
        <v>Redo on paper → enter today in Last Redo Done</v>
      </c>
      <c r="F19" s="3"/>
      <c r="G19" s="3"/>
      <c r="H19" s="3" t="str">
        <f t="shared" ca="1" si="1"/>
        <v>Read pattern + key trick; redo if still Low</v>
      </c>
    </row>
    <row r="20" spans="1:8">
      <c r="A20" s="3" t="str">
        <f ca="1">IF(AND(Tracker!$N11="Yes",Tracker!$O11&lt;&gt;"",Tracker!$O11&lt;=TODAY()),Tracker!$B11,"")</f>
        <v>Two Sum</v>
      </c>
      <c r="B20" s="3" t="str">
        <f ca="1">IF($A20="","",Tracker!$E11)</f>
        <v>Hashmap / Frequency</v>
      </c>
      <c r="C20" s="3" t="str">
        <f ca="1">IF($A20="","",Tracker!$M11)</f>
        <v>High</v>
      </c>
      <c r="D20" s="24">
        <f ca="1">IF($A20="","",Tracker!$O11)</f>
        <v>46235</v>
      </c>
      <c r="E20" s="3" t="str">
        <f t="shared" ca="1" si="0"/>
        <v>Redo on paper → enter today in Last Redo Done</v>
      </c>
      <c r="F20" s="3"/>
      <c r="G20" s="3"/>
      <c r="H20" s="3" t="str">
        <f t="shared" ca="1" si="1"/>
        <v>Read pattern + key trick; redo if still Low</v>
      </c>
    </row>
    <row r="21" spans="1:8">
      <c r="A21" s="39" t="str">
        <f ca="1">IF(AND(Tracker!$N12="Yes",Tracker!$O12&lt;&gt;"",Tracker!$O12&lt;=TODAY()),Tracker!$B12,"")</f>
        <v>Best Time to Buy and Sell Stock</v>
      </c>
      <c r="B21" s="38" t="str">
        <f ca="1">IF($A21="","",Tracker!$E12)</f>
        <v>Greedy / Running Minimum</v>
      </c>
      <c r="C21" s="38" t="str">
        <f ca="1">IF($A21="","",Tracker!$M12)</f>
        <v>High</v>
      </c>
      <c r="D21" s="24">
        <f ca="1">IF($A21="","",Tracker!$O12)</f>
        <v>46236</v>
      </c>
      <c r="E21" s="3" t="str">
        <f t="shared" ca="1" si="0"/>
        <v>Redo on paper → enter today in Last Redo Done</v>
      </c>
      <c r="F21" s="3"/>
      <c r="G21" s="3"/>
      <c r="H21" s="3" t="str">
        <f t="shared" ca="1" si="1"/>
        <v>Read pattern + key trick; redo if still Low</v>
      </c>
    </row>
    <row r="22" spans="1:8">
      <c r="A22" s="15" t="str">
        <f ca="1">IF(AND(Tracker!$N13="Yes",Tracker!$O13&lt;&gt;"",Tracker!$O13&lt;=TODAY()),Tracker!$B13,"")</f>
        <v>Find Pivot Index</v>
      </c>
      <c r="B22" s="3" t="str">
        <f ca="1">IF($A22="","",Tracker!$E13)</f>
        <v>Prefix Sum + Total Sum</v>
      </c>
      <c r="C22" s="3" t="str">
        <f ca="1">IF($A22="","",Tracker!$M13)</f>
        <v>High</v>
      </c>
      <c r="D22" s="24">
        <f ca="1">IF($A22="","",Tracker!$O13)</f>
        <v>46236</v>
      </c>
      <c r="E22" s="3" t="str">
        <f t="shared" ca="1" si="0"/>
        <v>Redo on paper → enter today in Last Redo Done</v>
      </c>
      <c r="F22" s="3"/>
      <c r="G22" s="3"/>
      <c r="H22" s="3" t="str">
        <f t="shared" ca="1" si="1"/>
        <v>Read pattern + key trick; redo if still Low</v>
      </c>
    </row>
    <row r="23" spans="1:8">
      <c r="A23" s="15"/>
      <c r="B23" s="3"/>
      <c r="C23" s="3"/>
      <c r="D23" s="20"/>
      <c r="E23" s="3"/>
      <c r="F23" s="3"/>
      <c r="G23" s="3"/>
      <c r="H23" s="3"/>
    </row>
    <row r="24" spans="1:8">
      <c r="A24" s="16" t="s">
        <v>271</v>
      </c>
      <c r="B24" s="11"/>
      <c r="C24" s="3"/>
      <c r="D24" s="20"/>
      <c r="E24" s="3"/>
      <c r="F24" s="3"/>
      <c r="G24" s="3"/>
      <c r="H24" s="3"/>
    </row>
    <row r="25" spans="1:8">
      <c r="A25" s="15">
        <v>1</v>
      </c>
      <c r="B25" s="3" t="s">
        <v>272</v>
      </c>
      <c r="C25" s="3"/>
      <c r="D25" s="20"/>
      <c r="E25" s="3"/>
      <c r="F25" s="3"/>
      <c r="G25" s="3"/>
      <c r="H25" s="3"/>
    </row>
    <row r="26" spans="1:8" ht="27.6">
      <c r="A26" s="32">
        <v>2</v>
      </c>
      <c r="B26" s="3" t="s">
        <v>273</v>
      </c>
      <c r="C26" s="3"/>
      <c r="D26" s="20"/>
      <c r="E26" s="3"/>
      <c r="F26" s="3"/>
      <c r="G26" s="3"/>
      <c r="H26" s="3"/>
    </row>
    <row r="27" spans="1:8">
      <c r="A27" s="32">
        <v>3</v>
      </c>
      <c r="B27" s="3" t="s">
        <v>274</v>
      </c>
      <c r="C27" s="3"/>
      <c r="D27" s="20"/>
      <c r="E27" s="3"/>
      <c r="F27" s="3"/>
      <c r="G27" s="3"/>
      <c r="H27" s="3"/>
    </row>
    <row r="28" spans="1:8" ht="27.6">
      <c r="A28" s="32">
        <v>4</v>
      </c>
      <c r="B28" s="3" t="s">
        <v>275</v>
      </c>
      <c r="C28" s="3"/>
      <c r="D28" s="20"/>
      <c r="E28" s="3"/>
      <c r="F28" s="3"/>
      <c r="G28" s="3"/>
      <c r="H28" s="3"/>
    </row>
    <row r="29" spans="1:8">
      <c r="D29" s="21"/>
    </row>
    <row r="30" spans="1:8">
      <c r="D30" s="21"/>
    </row>
    <row r="31" spans="1:8">
      <c r="D31" s="21"/>
    </row>
    <row r="32" spans="1:8">
      <c r="D32" s="21"/>
    </row>
    <row r="33" spans="4:4">
      <c r="D33" s="21"/>
    </row>
    <row r="34" spans="4:4">
      <c r="D34" s="21"/>
    </row>
    <row r="35" spans="4:4">
      <c r="D35" s="21"/>
    </row>
    <row r="36" spans="4:4">
      <c r="D36" s="21"/>
    </row>
    <row r="37" spans="4:4">
      <c r="D37" s="21"/>
    </row>
    <row r="38" spans="4:4">
      <c r="D38" s="21"/>
    </row>
    <row r="39" spans="4:4">
      <c r="D39" s="21"/>
    </row>
    <row r="40" spans="4:4">
      <c r="D40" s="21"/>
    </row>
  </sheetData>
  <mergeCells count="3">
    <mergeCell ref="A1:H1"/>
    <mergeCell ref="D11:H11"/>
    <mergeCell ref="A21:C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election sqref="A1:G1"/>
    </sheetView>
  </sheetViews>
  <sheetFormatPr defaultRowHeight="13.8"/>
  <cols>
    <col min="1" max="1" width="24" customWidth="1"/>
    <col min="2" max="2" width="32" customWidth="1"/>
    <col min="3" max="3" width="36" customWidth="1"/>
    <col min="4" max="4" width="32" customWidth="1"/>
    <col min="5" max="5" width="28" customWidth="1"/>
    <col min="6" max="6" width="36" customWidth="1"/>
    <col min="7" max="7" width="32" customWidth="1"/>
  </cols>
  <sheetData>
    <row r="1" spans="1:7" ht="9.15" customHeight="1">
      <c r="A1" s="40" t="s">
        <v>276</v>
      </c>
      <c r="B1" s="41"/>
      <c r="C1" s="41"/>
      <c r="D1" s="41"/>
      <c r="E1" s="41"/>
      <c r="F1" s="41"/>
      <c r="G1" s="41"/>
    </row>
    <row r="3" spans="1:7">
      <c r="A3" s="4" t="s">
        <v>6</v>
      </c>
      <c r="B3" s="4" t="s">
        <v>277</v>
      </c>
      <c r="C3" s="4" t="s">
        <v>278</v>
      </c>
      <c r="D3" s="4" t="s">
        <v>279</v>
      </c>
      <c r="E3" s="4" t="s">
        <v>280</v>
      </c>
      <c r="F3" s="4" t="s">
        <v>281</v>
      </c>
      <c r="G3" s="4" t="s">
        <v>282</v>
      </c>
    </row>
    <row r="4" spans="1:7" ht="27.6">
      <c r="A4" s="5" t="s">
        <v>24</v>
      </c>
      <c r="B4" s="5" t="s">
        <v>283</v>
      </c>
      <c r="C4" s="5" t="s">
        <v>284</v>
      </c>
      <c r="D4" s="5" t="s">
        <v>285</v>
      </c>
      <c r="E4" s="5" t="s">
        <v>21</v>
      </c>
      <c r="F4" s="5" t="s">
        <v>286</v>
      </c>
      <c r="G4" s="5" t="s">
        <v>287</v>
      </c>
    </row>
    <row r="5" spans="1:7" ht="27.6">
      <c r="A5" s="5" t="s">
        <v>35</v>
      </c>
      <c r="B5" s="5" t="s">
        <v>288</v>
      </c>
      <c r="C5" s="5" t="s">
        <v>289</v>
      </c>
      <c r="D5" s="5" t="s">
        <v>290</v>
      </c>
      <c r="E5" s="5" t="s">
        <v>33</v>
      </c>
      <c r="F5" s="5" t="s">
        <v>291</v>
      </c>
      <c r="G5" s="5" t="s">
        <v>292</v>
      </c>
    </row>
    <row r="6" spans="1:7" ht="27.6">
      <c r="A6" s="5" t="s">
        <v>45</v>
      </c>
      <c r="B6" s="5" t="s">
        <v>293</v>
      </c>
      <c r="C6" s="5" t="s">
        <v>294</v>
      </c>
      <c r="D6" s="5" t="s">
        <v>295</v>
      </c>
      <c r="E6" s="5" t="s">
        <v>42</v>
      </c>
      <c r="F6" s="5" t="s">
        <v>296</v>
      </c>
      <c r="G6" s="5" t="s">
        <v>297</v>
      </c>
    </row>
    <row r="7" spans="1:7" ht="27.6">
      <c r="A7" s="5" t="s">
        <v>51</v>
      </c>
      <c r="B7" s="5" t="s">
        <v>298</v>
      </c>
      <c r="C7" s="5" t="s">
        <v>299</v>
      </c>
      <c r="D7" s="5" t="s">
        <v>300</v>
      </c>
      <c r="E7" s="5" t="s">
        <v>301</v>
      </c>
      <c r="F7" s="5" t="s">
        <v>302</v>
      </c>
      <c r="G7" s="5" t="s">
        <v>303</v>
      </c>
    </row>
    <row r="8" spans="1:7" ht="27.6">
      <c r="A8" s="5" t="s">
        <v>60</v>
      </c>
      <c r="B8" s="5" t="s">
        <v>304</v>
      </c>
      <c r="C8" s="5" t="s">
        <v>305</v>
      </c>
      <c r="D8" s="5" t="s">
        <v>306</v>
      </c>
      <c r="E8" s="5" t="s">
        <v>58</v>
      </c>
      <c r="F8" s="5" t="s">
        <v>307</v>
      </c>
      <c r="G8" s="5" t="s">
        <v>308</v>
      </c>
    </row>
    <row r="9" spans="1:7" ht="27.6">
      <c r="A9" s="5" t="s">
        <v>309</v>
      </c>
      <c r="B9" s="5" t="s">
        <v>310</v>
      </c>
      <c r="C9" s="5" t="s">
        <v>311</v>
      </c>
      <c r="D9" s="5" t="s">
        <v>312</v>
      </c>
      <c r="E9" s="5" t="s">
        <v>313</v>
      </c>
      <c r="F9" s="5" t="s">
        <v>314</v>
      </c>
      <c r="G9" s="5" t="s">
        <v>315</v>
      </c>
    </row>
    <row r="10" spans="1:7" ht="27.6">
      <c r="A10" s="5" t="s">
        <v>75</v>
      </c>
      <c r="B10" s="5" t="s">
        <v>316</v>
      </c>
      <c r="C10" s="5" t="s">
        <v>317</v>
      </c>
      <c r="D10" s="5" t="s">
        <v>318</v>
      </c>
      <c r="E10" s="5" t="s">
        <v>319</v>
      </c>
      <c r="F10" s="5" t="s">
        <v>320</v>
      </c>
      <c r="G10" s="5" t="s">
        <v>321</v>
      </c>
    </row>
  </sheetData>
  <mergeCells count="1">
    <mergeCell ref="A1:G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3"/>
  <sheetViews>
    <sheetView workbookViewId="0"/>
  </sheetViews>
  <sheetFormatPr defaultRowHeight="13.8"/>
  <cols>
    <col min="1" max="11" width="24" customWidth="1"/>
  </cols>
  <sheetData>
    <row r="1" spans="1:11">
      <c r="A1" s="1" t="s">
        <v>322</v>
      </c>
      <c r="B1" s="1"/>
      <c r="C1" s="1" t="s">
        <v>7</v>
      </c>
      <c r="D1" s="1"/>
      <c r="E1" s="1" t="s">
        <v>14</v>
      </c>
      <c r="F1" s="1"/>
      <c r="G1" s="1" t="s">
        <v>323</v>
      </c>
      <c r="H1" s="1"/>
      <c r="I1" s="1" t="s">
        <v>324</v>
      </c>
      <c r="J1" s="1"/>
      <c r="K1" s="1" t="s">
        <v>325</v>
      </c>
    </row>
    <row r="2" spans="1:11">
      <c r="A2" t="s">
        <v>24</v>
      </c>
      <c r="C2" t="s">
        <v>25</v>
      </c>
      <c r="E2" t="s">
        <v>30</v>
      </c>
      <c r="G2" t="s">
        <v>31</v>
      </c>
      <c r="I2" t="s">
        <v>326</v>
      </c>
      <c r="K2" t="s">
        <v>113</v>
      </c>
    </row>
    <row r="3" spans="1:11">
      <c r="A3" t="s">
        <v>81</v>
      </c>
      <c r="C3" t="s">
        <v>52</v>
      </c>
      <c r="E3" t="s">
        <v>52</v>
      </c>
      <c r="G3" t="s">
        <v>327</v>
      </c>
      <c r="I3" t="s">
        <v>328</v>
      </c>
      <c r="K3" t="s">
        <v>40</v>
      </c>
    </row>
    <row r="4" spans="1:11">
      <c r="A4" t="s">
        <v>35</v>
      </c>
      <c r="C4" t="s">
        <v>204</v>
      </c>
      <c r="E4" t="s">
        <v>112</v>
      </c>
      <c r="I4" t="s">
        <v>329</v>
      </c>
      <c r="K4" t="s">
        <v>330</v>
      </c>
    </row>
    <row r="5" spans="1:11">
      <c r="A5" t="s">
        <v>331</v>
      </c>
      <c r="K5" t="s">
        <v>32</v>
      </c>
    </row>
    <row r="6" spans="1:11">
      <c r="A6" t="s">
        <v>309</v>
      </c>
    </row>
    <row r="7" spans="1:11">
      <c r="A7" t="s">
        <v>75</v>
      </c>
    </row>
    <row r="8" spans="1:11">
      <c r="A8" t="s">
        <v>96</v>
      </c>
    </row>
    <row r="9" spans="1:11">
      <c r="A9" t="s">
        <v>332</v>
      </c>
    </row>
    <row r="10" spans="1:11">
      <c r="A10" t="s">
        <v>333</v>
      </c>
    </row>
    <row r="11" spans="1:11">
      <c r="A11" t="s">
        <v>334</v>
      </c>
    </row>
    <row r="12" spans="1:11">
      <c r="A12" t="s">
        <v>335</v>
      </c>
    </row>
    <row r="13" spans="1:11">
      <c r="A13" t="s">
        <v>336</v>
      </c>
    </row>
    <row r="14" spans="1:11">
      <c r="A14" t="s">
        <v>337</v>
      </c>
    </row>
    <row r="15" spans="1:11">
      <c r="A15" t="s">
        <v>338</v>
      </c>
    </row>
    <row r="16" spans="1:11">
      <c r="A16" t="s">
        <v>339</v>
      </c>
    </row>
    <row r="17" spans="1:1">
      <c r="A17" t="s">
        <v>340</v>
      </c>
    </row>
    <row r="18" spans="1:1">
      <c r="A18" t="s">
        <v>151</v>
      </c>
    </row>
    <row r="19" spans="1:1">
      <c r="A19" t="s">
        <v>89</v>
      </c>
    </row>
    <row r="20" spans="1:1">
      <c r="A20" t="s">
        <v>341</v>
      </c>
    </row>
    <row r="21" spans="1:1">
      <c r="A21" t="s">
        <v>45</v>
      </c>
    </row>
    <row r="22" spans="1:1">
      <c r="A22" t="s">
        <v>51</v>
      </c>
    </row>
    <row r="23" spans="1:1">
      <c r="A23" t="s">
        <v>60</v>
      </c>
    </row>
    <row r="24" spans="1:1">
      <c r="A24" t="s">
        <v>342</v>
      </c>
    </row>
    <row r="25" spans="1:1">
      <c r="A25" t="s">
        <v>343</v>
      </c>
    </row>
    <row r="26" spans="1:1">
      <c r="A26" t="s">
        <v>344</v>
      </c>
    </row>
    <row r="27" spans="1:1">
      <c r="A27" t="s">
        <v>345</v>
      </c>
    </row>
    <row r="28" spans="1:1">
      <c r="A28" t="s">
        <v>346</v>
      </c>
    </row>
    <row r="29" spans="1:1">
      <c r="A29" t="s">
        <v>236</v>
      </c>
    </row>
    <row r="30" spans="1:1">
      <c r="A30" t="s">
        <v>347</v>
      </c>
    </row>
    <row r="31" spans="1:1">
      <c r="A31" t="s">
        <v>118</v>
      </c>
    </row>
    <row r="32" spans="1:1">
      <c r="A32" t="s">
        <v>107</v>
      </c>
    </row>
    <row r="33" spans="1:1">
      <c r="A33"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C497"/>
  <sheetViews>
    <sheetView tabSelected="1" workbookViewId="0">
      <selection activeCell="Q7" sqref="Q7"/>
    </sheetView>
  </sheetViews>
  <sheetFormatPr defaultRowHeight="13.8"/>
  <cols>
    <col min="1" max="1" width="9.69921875" style="31" customWidth="1"/>
    <col min="2" max="2" width="30" customWidth="1"/>
    <col min="3" max="3" width="38" customWidth="1"/>
    <col min="4" max="4" width="20" customWidth="1"/>
    <col min="5" max="5" width="30" customWidth="1"/>
    <col min="6" max="6" width="12" customWidth="1"/>
    <col min="7" max="7" width="14" customWidth="1"/>
    <col min="8" max="8" width="34" customWidth="1"/>
    <col min="9" max="9" width="32" customWidth="1"/>
    <col min="10" max="10" width="34" customWidth="1"/>
    <col min="11" max="11" width="28" customWidth="1"/>
    <col min="12" max="12" width="12" customWidth="1"/>
    <col min="13" max="13" width="10.69921875" customWidth="1"/>
    <col min="14" max="15" width="16" customWidth="1"/>
    <col min="16" max="16" width="14" customWidth="1"/>
    <col min="17" max="17" width="32" customWidth="1"/>
    <col min="18" max="18" width="28" customWidth="1"/>
    <col min="19" max="98" width="10.69921875" customWidth="1"/>
    <col min="99" max="998" width="11.69921875" customWidth="1"/>
    <col min="999" max="9998" width="12.69921875" customWidth="1"/>
    <col min="9999" max="16384" width="13.69921875" customWidth="1"/>
  </cols>
  <sheetData>
    <row r="1" spans="1:16383" ht="21">
      <c r="A1" s="35" t="s">
        <v>348</v>
      </c>
      <c r="B1" s="35"/>
      <c r="C1" s="35"/>
      <c r="D1" s="35"/>
      <c r="E1" s="35"/>
      <c r="F1" s="35"/>
      <c r="G1" s="35"/>
      <c r="H1" s="35"/>
      <c r="I1" s="35"/>
      <c r="J1" s="35"/>
      <c r="K1" s="35"/>
      <c r="L1" s="35"/>
      <c r="M1" s="35"/>
      <c r="N1" s="35"/>
      <c r="O1" s="35"/>
      <c r="P1" s="35"/>
      <c r="Q1" s="35"/>
      <c r="R1" s="35"/>
    </row>
    <row r="2" spans="1:16383" ht="14.4">
      <c r="A2" s="33" t="s">
        <v>349</v>
      </c>
      <c r="B2" s="34"/>
      <c r="C2" s="34"/>
      <c r="D2" s="34"/>
      <c r="E2" s="34"/>
      <c r="F2" s="34"/>
      <c r="G2" s="34"/>
      <c r="H2" s="34"/>
      <c r="I2" s="34"/>
      <c r="J2" s="34"/>
      <c r="K2" s="34"/>
      <c r="L2" s="34"/>
      <c r="M2" s="34"/>
      <c r="N2" s="34"/>
      <c r="O2" s="34"/>
      <c r="P2" s="34"/>
      <c r="Q2" s="34"/>
      <c r="R2" s="25"/>
    </row>
    <row r="3" spans="1:16383">
      <c r="A3" s="6" t="s">
        <v>2</v>
      </c>
      <c r="B3" s="6" t="s">
        <v>3</v>
      </c>
      <c r="C3" s="6" t="s">
        <v>4</v>
      </c>
      <c r="D3" s="6" t="s">
        <v>5</v>
      </c>
      <c r="E3" s="6" t="s">
        <v>6</v>
      </c>
      <c r="F3" s="6" t="s">
        <v>7</v>
      </c>
      <c r="G3" s="6" t="s">
        <v>8</v>
      </c>
      <c r="H3" s="6" t="s">
        <v>9</v>
      </c>
      <c r="I3" s="6" t="s">
        <v>10</v>
      </c>
      <c r="J3" s="6" t="s">
        <v>351</v>
      </c>
      <c r="K3" s="6" t="s">
        <v>352</v>
      </c>
      <c r="L3" s="6" t="s">
        <v>14</v>
      </c>
      <c r="M3" s="6" t="s">
        <v>15</v>
      </c>
      <c r="N3" s="6" t="s">
        <v>16</v>
      </c>
      <c r="O3" s="6" t="s">
        <v>17</v>
      </c>
      <c r="P3" s="6" t="s">
        <v>18</v>
      </c>
      <c r="Q3" s="6" t="s">
        <v>19</v>
      </c>
      <c r="R3" s="6" t="s">
        <v>353</v>
      </c>
      <c r="S3" t="s">
        <v>405</v>
      </c>
      <c r="T3" t="s">
        <v>406</v>
      </c>
      <c r="U3" t="s">
        <v>407</v>
      </c>
      <c r="V3" t="s">
        <v>408</v>
      </c>
      <c r="W3" t="s">
        <v>409</v>
      </c>
      <c r="X3" t="s">
        <v>410</v>
      </c>
      <c r="Y3" t="s">
        <v>411</v>
      </c>
      <c r="Z3" t="s">
        <v>412</v>
      </c>
      <c r="AA3" t="s">
        <v>413</v>
      </c>
      <c r="AB3" t="s">
        <v>414</v>
      </c>
      <c r="AC3" t="s">
        <v>415</v>
      </c>
      <c r="AD3" t="s">
        <v>416</v>
      </c>
      <c r="AE3" t="s">
        <v>417</v>
      </c>
      <c r="AF3" t="s">
        <v>418</v>
      </c>
      <c r="AG3" t="s">
        <v>419</v>
      </c>
      <c r="AH3" t="s">
        <v>420</v>
      </c>
      <c r="AI3" t="s">
        <v>421</v>
      </c>
      <c r="AJ3" t="s">
        <v>422</v>
      </c>
      <c r="AK3" t="s">
        <v>423</v>
      </c>
      <c r="AL3" t="s">
        <v>424</v>
      </c>
      <c r="AM3" t="s">
        <v>425</v>
      </c>
      <c r="AN3" t="s">
        <v>426</v>
      </c>
      <c r="AO3" t="s">
        <v>427</v>
      </c>
      <c r="AP3" t="s">
        <v>428</v>
      </c>
      <c r="AQ3" t="s">
        <v>429</v>
      </c>
      <c r="AR3" t="s">
        <v>430</v>
      </c>
      <c r="AS3" t="s">
        <v>431</v>
      </c>
      <c r="AT3" t="s">
        <v>432</v>
      </c>
      <c r="AU3" t="s">
        <v>433</v>
      </c>
      <c r="AV3" t="s">
        <v>434</v>
      </c>
      <c r="AW3" t="s">
        <v>435</v>
      </c>
      <c r="AX3" t="s">
        <v>436</v>
      </c>
      <c r="AY3" t="s">
        <v>437</v>
      </c>
      <c r="AZ3" t="s">
        <v>438</v>
      </c>
      <c r="BA3" t="s">
        <v>439</v>
      </c>
      <c r="BB3" t="s">
        <v>440</v>
      </c>
      <c r="BC3" t="s">
        <v>441</v>
      </c>
      <c r="BD3" t="s">
        <v>442</v>
      </c>
      <c r="BE3" t="s">
        <v>443</v>
      </c>
      <c r="BF3" t="s">
        <v>444</v>
      </c>
      <c r="BG3" t="s">
        <v>445</v>
      </c>
      <c r="BH3" t="s">
        <v>446</v>
      </c>
      <c r="BI3" t="s">
        <v>447</v>
      </c>
      <c r="BJ3" t="s">
        <v>448</v>
      </c>
      <c r="BK3" t="s">
        <v>449</v>
      </c>
      <c r="BL3" t="s">
        <v>450</v>
      </c>
      <c r="BM3" t="s">
        <v>451</v>
      </c>
      <c r="BN3" t="s">
        <v>452</v>
      </c>
      <c r="BO3" t="s">
        <v>453</v>
      </c>
      <c r="BP3" t="s">
        <v>454</v>
      </c>
      <c r="BQ3" t="s">
        <v>455</v>
      </c>
      <c r="BR3" t="s">
        <v>456</v>
      </c>
      <c r="BS3" t="s">
        <v>457</v>
      </c>
      <c r="BT3" t="s">
        <v>458</v>
      </c>
      <c r="BU3" t="s">
        <v>459</v>
      </c>
      <c r="BV3" t="s">
        <v>460</v>
      </c>
      <c r="BW3" t="s">
        <v>461</v>
      </c>
      <c r="BX3" t="s">
        <v>462</v>
      </c>
      <c r="BY3" t="s">
        <v>463</v>
      </c>
      <c r="BZ3" t="s">
        <v>464</v>
      </c>
      <c r="CA3" t="s">
        <v>465</v>
      </c>
      <c r="CB3" t="s">
        <v>466</v>
      </c>
      <c r="CC3" t="s">
        <v>467</v>
      </c>
      <c r="CD3" t="s">
        <v>468</v>
      </c>
      <c r="CE3" t="s">
        <v>469</v>
      </c>
      <c r="CF3" t="s">
        <v>470</v>
      </c>
      <c r="CG3" t="s">
        <v>471</v>
      </c>
      <c r="CH3" t="s">
        <v>472</v>
      </c>
      <c r="CI3" t="s">
        <v>473</v>
      </c>
      <c r="CJ3" t="s">
        <v>474</v>
      </c>
      <c r="CK3" t="s">
        <v>475</v>
      </c>
      <c r="CL3" t="s">
        <v>476</v>
      </c>
      <c r="CM3" t="s">
        <v>477</v>
      </c>
      <c r="CN3" t="s">
        <v>478</v>
      </c>
      <c r="CO3" t="s">
        <v>479</v>
      </c>
      <c r="CP3" t="s">
        <v>480</v>
      </c>
      <c r="CQ3" t="s">
        <v>481</v>
      </c>
      <c r="CR3" t="s">
        <v>482</v>
      </c>
      <c r="CS3" t="s">
        <v>483</v>
      </c>
      <c r="CT3" t="s">
        <v>484</v>
      </c>
      <c r="CU3" t="s">
        <v>485</v>
      </c>
      <c r="CV3" t="s">
        <v>486</v>
      </c>
      <c r="CW3" t="s">
        <v>487</v>
      </c>
      <c r="CX3" t="s">
        <v>488</v>
      </c>
      <c r="CY3" t="s">
        <v>489</v>
      </c>
      <c r="CZ3" t="s">
        <v>490</v>
      </c>
      <c r="DA3" t="s">
        <v>491</v>
      </c>
      <c r="DB3" t="s">
        <v>492</v>
      </c>
      <c r="DC3" t="s">
        <v>493</v>
      </c>
      <c r="DD3" t="s">
        <v>494</v>
      </c>
      <c r="DE3" t="s">
        <v>495</v>
      </c>
      <c r="DF3" t="s">
        <v>496</v>
      </c>
      <c r="DG3" t="s">
        <v>497</v>
      </c>
      <c r="DH3" t="s">
        <v>498</v>
      </c>
      <c r="DI3" t="s">
        <v>499</v>
      </c>
      <c r="DJ3" t="s">
        <v>500</v>
      </c>
      <c r="DK3" t="s">
        <v>501</v>
      </c>
      <c r="DL3" t="s">
        <v>502</v>
      </c>
      <c r="DM3" t="s">
        <v>503</v>
      </c>
      <c r="DN3" t="s">
        <v>504</v>
      </c>
      <c r="DO3" t="s">
        <v>505</v>
      </c>
      <c r="DP3" t="s">
        <v>506</v>
      </c>
      <c r="DQ3" t="s">
        <v>507</v>
      </c>
      <c r="DR3" t="s">
        <v>508</v>
      </c>
      <c r="DS3" t="s">
        <v>509</v>
      </c>
      <c r="DT3" t="s">
        <v>510</v>
      </c>
      <c r="DU3" t="s">
        <v>511</v>
      </c>
      <c r="DV3" t="s">
        <v>512</v>
      </c>
      <c r="DW3" t="s">
        <v>513</v>
      </c>
      <c r="DX3" t="s">
        <v>514</v>
      </c>
      <c r="DY3" t="s">
        <v>515</v>
      </c>
      <c r="DZ3" t="s">
        <v>516</v>
      </c>
      <c r="EA3" t="s">
        <v>517</v>
      </c>
      <c r="EB3" t="s">
        <v>518</v>
      </c>
      <c r="EC3" t="s">
        <v>519</v>
      </c>
      <c r="ED3" t="s">
        <v>520</v>
      </c>
      <c r="EE3" t="s">
        <v>521</v>
      </c>
      <c r="EF3" t="s">
        <v>522</v>
      </c>
      <c r="EG3" t="s">
        <v>523</v>
      </c>
      <c r="EH3" t="s">
        <v>524</v>
      </c>
      <c r="EI3" t="s">
        <v>525</v>
      </c>
      <c r="EJ3" t="s">
        <v>526</v>
      </c>
      <c r="EK3" t="s">
        <v>527</v>
      </c>
      <c r="EL3" t="s">
        <v>528</v>
      </c>
      <c r="EM3" t="s">
        <v>529</v>
      </c>
      <c r="EN3" t="s">
        <v>530</v>
      </c>
      <c r="EO3" t="s">
        <v>531</v>
      </c>
      <c r="EP3" t="s">
        <v>532</v>
      </c>
      <c r="EQ3" t="s">
        <v>533</v>
      </c>
      <c r="ER3" t="s">
        <v>534</v>
      </c>
      <c r="ES3" t="s">
        <v>535</v>
      </c>
      <c r="ET3" t="s">
        <v>536</v>
      </c>
      <c r="EU3" t="s">
        <v>537</v>
      </c>
      <c r="EV3" t="s">
        <v>538</v>
      </c>
      <c r="EW3" t="s">
        <v>539</v>
      </c>
      <c r="EX3" t="s">
        <v>540</v>
      </c>
      <c r="EY3" t="s">
        <v>541</v>
      </c>
      <c r="EZ3" t="s">
        <v>542</v>
      </c>
      <c r="FA3" t="s">
        <v>543</v>
      </c>
      <c r="FB3" t="s">
        <v>544</v>
      </c>
      <c r="FC3" t="s">
        <v>545</v>
      </c>
      <c r="FD3" t="s">
        <v>546</v>
      </c>
      <c r="FE3" t="s">
        <v>547</v>
      </c>
      <c r="FF3" t="s">
        <v>548</v>
      </c>
      <c r="FG3" t="s">
        <v>549</v>
      </c>
      <c r="FH3" t="s">
        <v>550</v>
      </c>
      <c r="FI3" t="s">
        <v>551</v>
      </c>
      <c r="FJ3" t="s">
        <v>552</v>
      </c>
      <c r="FK3" t="s">
        <v>553</v>
      </c>
      <c r="FL3" t="s">
        <v>554</v>
      </c>
      <c r="FM3" t="s">
        <v>555</v>
      </c>
      <c r="FN3" t="s">
        <v>556</v>
      </c>
      <c r="FO3" t="s">
        <v>557</v>
      </c>
      <c r="FP3" t="s">
        <v>558</v>
      </c>
      <c r="FQ3" t="s">
        <v>559</v>
      </c>
      <c r="FR3" t="s">
        <v>560</v>
      </c>
      <c r="FS3" t="s">
        <v>561</v>
      </c>
      <c r="FT3" t="s">
        <v>562</v>
      </c>
      <c r="FU3" t="s">
        <v>563</v>
      </c>
      <c r="FV3" t="s">
        <v>564</v>
      </c>
      <c r="FW3" t="s">
        <v>565</v>
      </c>
      <c r="FX3" t="s">
        <v>566</v>
      </c>
      <c r="FY3" t="s">
        <v>567</v>
      </c>
      <c r="FZ3" t="s">
        <v>568</v>
      </c>
      <c r="GA3" t="s">
        <v>569</v>
      </c>
      <c r="GB3" t="s">
        <v>570</v>
      </c>
      <c r="GC3" t="s">
        <v>571</v>
      </c>
      <c r="GD3" t="s">
        <v>572</v>
      </c>
      <c r="GE3" t="s">
        <v>573</v>
      </c>
      <c r="GF3" t="s">
        <v>574</v>
      </c>
      <c r="GG3" t="s">
        <v>575</v>
      </c>
      <c r="GH3" t="s">
        <v>576</v>
      </c>
      <c r="GI3" t="s">
        <v>577</v>
      </c>
      <c r="GJ3" t="s">
        <v>578</v>
      </c>
      <c r="GK3" t="s">
        <v>579</v>
      </c>
      <c r="GL3" t="s">
        <v>580</v>
      </c>
      <c r="GM3" t="s">
        <v>581</v>
      </c>
      <c r="GN3" t="s">
        <v>582</v>
      </c>
      <c r="GO3" t="s">
        <v>583</v>
      </c>
      <c r="GP3" t="s">
        <v>584</v>
      </c>
      <c r="GQ3" t="s">
        <v>585</v>
      </c>
      <c r="GR3" t="s">
        <v>586</v>
      </c>
      <c r="GS3" t="s">
        <v>587</v>
      </c>
      <c r="GT3" t="s">
        <v>588</v>
      </c>
      <c r="GU3" t="s">
        <v>589</v>
      </c>
      <c r="GV3" t="s">
        <v>590</v>
      </c>
      <c r="GW3" t="s">
        <v>591</v>
      </c>
      <c r="GX3" t="s">
        <v>592</v>
      </c>
      <c r="GY3" t="s">
        <v>593</v>
      </c>
      <c r="GZ3" t="s">
        <v>594</v>
      </c>
      <c r="HA3" t="s">
        <v>595</v>
      </c>
      <c r="HB3" t="s">
        <v>596</v>
      </c>
      <c r="HC3" t="s">
        <v>597</v>
      </c>
      <c r="HD3" t="s">
        <v>598</v>
      </c>
      <c r="HE3" t="s">
        <v>599</v>
      </c>
      <c r="HF3" t="s">
        <v>600</v>
      </c>
      <c r="HG3" t="s">
        <v>601</v>
      </c>
      <c r="HH3" t="s">
        <v>602</v>
      </c>
      <c r="HI3" t="s">
        <v>603</v>
      </c>
      <c r="HJ3" t="s">
        <v>604</v>
      </c>
      <c r="HK3" t="s">
        <v>605</v>
      </c>
      <c r="HL3" t="s">
        <v>606</v>
      </c>
      <c r="HM3" t="s">
        <v>607</v>
      </c>
      <c r="HN3" t="s">
        <v>608</v>
      </c>
      <c r="HO3" t="s">
        <v>609</v>
      </c>
      <c r="HP3" t="s">
        <v>610</v>
      </c>
      <c r="HQ3" t="s">
        <v>611</v>
      </c>
      <c r="HR3" t="s">
        <v>612</v>
      </c>
      <c r="HS3" t="s">
        <v>613</v>
      </c>
      <c r="HT3" t="s">
        <v>614</v>
      </c>
      <c r="HU3" t="s">
        <v>615</v>
      </c>
      <c r="HV3" t="s">
        <v>616</v>
      </c>
      <c r="HW3" t="s">
        <v>617</v>
      </c>
      <c r="HX3" t="s">
        <v>618</v>
      </c>
      <c r="HY3" t="s">
        <v>619</v>
      </c>
      <c r="HZ3" t="s">
        <v>620</v>
      </c>
      <c r="IA3" t="s">
        <v>621</v>
      </c>
      <c r="IB3" t="s">
        <v>622</v>
      </c>
      <c r="IC3" t="s">
        <v>623</v>
      </c>
      <c r="ID3" t="s">
        <v>624</v>
      </c>
      <c r="IE3" t="s">
        <v>625</v>
      </c>
      <c r="IF3" t="s">
        <v>626</v>
      </c>
      <c r="IG3" t="s">
        <v>627</v>
      </c>
      <c r="IH3" t="s">
        <v>628</v>
      </c>
      <c r="II3" t="s">
        <v>629</v>
      </c>
      <c r="IJ3" t="s">
        <v>630</v>
      </c>
      <c r="IK3" t="s">
        <v>631</v>
      </c>
      <c r="IL3" t="s">
        <v>632</v>
      </c>
      <c r="IM3" t="s">
        <v>633</v>
      </c>
      <c r="IN3" t="s">
        <v>634</v>
      </c>
      <c r="IO3" t="s">
        <v>635</v>
      </c>
      <c r="IP3" t="s">
        <v>636</v>
      </c>
      <c r="IQ3" t="s">
        <v>637</v>
      </c>
      <c r="IR3" t="s">
        <v>638</v>
      </c>
      <c r="IS3" t="s">
        <v>639</v>
      </c>
      <c r="IT3" t="s">
        <v>640</v>
      </c>
      <c r="IU3" t="s">
        <v>641</v>
      </c>
      <c r="IV3" t="s">
        <v>642</v>
      </c>
      <c r="IW3" t="s">
        <v>643</v>
      </c>
      <c r="IX3" t="s">
        <v>644</v>
      </c>
      <c r="IY3" t="s">
        <v>645</v>
      </c>
      <c r="IZ3" t="s">
        <v>646</v>
      </c>
      <c r="JA3" t="s">
        <v>647</v>
      </c>
      <c r="JB3" t="s">
        <v>648</v>
      </c>
      <c r="JC3" t="s">
        <v>649</v>
      </c>
      <c r="JD3" t="s">
        <v>650</v>
      </c>
      <c r="JE3" t="s">
        <v>651</v>
      </c>
      <c r="JF3" t="s">
        <v>652</v>
      </c>
      <c r="JG3" t="s">
        <v>653</v>
      </c>
      <c r="JH3" t="s">
        <v>654</v>
      </c>
      <c r="JI3" t="s">
        <v>655</v>
      </c>
      <c r="JJ3" t="s">
        <v>656</v>
      </c>
      <c r="JK3" t="s">
        <v>657</v>
      </c>
      <c r="JL3" t="s">
        <v>658</v>
      </c>
      <c r="JM3" t="s">
        <v>659</v>
      </c>
      <c r="JN3" t="s">
        <v>660</v>
      </c>
      <c r="JO3" t="s">
        <v>661</v>
      </c>
      <c r="JP3" t="s">
        <v>662</v>
      </c>
      <c r="JQ3" t="s">
        <v>663</v>
      </c>
      <c r="JR3" t="s">
        <v>664</v>
      </c>
      <c r="JS3" t="s">
        <v>665</v>
      </c>
      <c r="JT3" t="s">
        <v>666</v>
      </c>
      <c r="JU3" t="s">
        <v>667</v>
      </c>
      <c r="JV3" t="s">
        <v>668</v>
      </c>
      <c r="JW3" t="s">
        <v>669</v>
      </c>
      <c r="JX3" t="s">
        <v>670</v>
      </c>
      <c r="JY3" t="s">
        <v>671</v>
      </c>
      <c r="JZ3" t="s">
        <v>672</v>
      </c>
      <c r="KA3" t="s">
        <v>673</v>
      </c>
      <c r="KB3" t="s">
        <v>674</v>
      </c>
      <c r="KC3" t="s">
        <v>675</v>
      </c>
      <c r="KD3" t="s">
        <v>676</v>
      </c>
      <c r="KE3" t="s">
        <v>677</v>
      </c>
      <c r="KF3" t="s">
        <v>678</v>
      </c>
      <c r="KG3" t="s">
        <v>679</v>
      </c>
      <c r="KH3" t="s">
        <v>680</v>
      </c>
      <c r="KI3" t="s">
        <v>681</v>
      </c>
      <c r="KJ3" t="s">
        <v>682</v>
      </c>
      <c r="KK3" t="s">
        <v>683</v>
      </c>
      <c r="KL3" t="s">
        <v>684</v>
      </c>
      <c r="KM3" t="s">
        <v>685</v>
      </c>
      <c r="KN3" t="s">
        <v>686</v>
      </c>
      <c r="KO3" t="s">
        <v>687</v>
      </c>
      <c r="KP3" t="s">
        <v>688</v>
      </c>
      <c r="KQ3" t="s">
        <v>689</v>
      </c>
      <c r="KR3" t="s">
        <v>690</v>
      </c>
      <c r="KS3" t="s">
        <v>691</v>
      </c>
      <c r="KT3" t="s">
        <v>692</v>
      </c>
      <c r="KU3" t="s">
        <v>693</v>
      </c>
      <c r="KV3" t="s">
        <v>694</v>
      </c>
      <c r="KW3" t="s">
        <v>695</v>
      </c>
      <c r="KX3" t="s">
        <v>696</v>
      </c>
      <c r="KY3" t="s">
        <v>697</v>
      </c>
      <c r="KZ3" t="s">
        <v>698</v>
      </c>
      <c r="LA3" t="s">
        <v>699</v>
      </c>
      <c r="LB3" t="s">
        <v>700</v>
      </c>
      <c r="LC3" t="s">
        <v>701</v>
      </c>
      <c r="LD3" t="s">
        <v>702</v>
      </c>
      <c r="LE3" t="s">
        <v>703</v>
      </c>
      <c r="LF3" t="s">
        <v>704</v>
      </c>
      <c r="LG3" t="s">
        <v>705</v>
      </c>
      <c r="LH3" t="s">
        <v>706</v>
      </c>
      <c r="LI3" t="s">
        <v>707</v>
      </c>
      <c r="LJ3" t="s">
        <v>708</v>
      </c>
      <c r="LK3" t="s">
        <v>709</v>
      </c>
      <c r="LL3" t="s">
        <v>710</v>
      </c>
      <c r="LM3" t="s">
        <v>711</v>
      </c>
      <c r="LN3" t="s">
        <v>712</v>
      </c>
      <c r="LO3" t="s">
        <v>713</v>
      </c>
      <c r="LP3" t="s">
        <v>714</v>
      </c>
      <c r="LQ3" t="s">
        <v>715</v>
      </c>
      <c r="LR3" t="s">
        <v>716</v>
      </c>
      <c r="LS3" t="s">
        <v>717</v>
      </c>
      <c r="LT3" t="s">
        <v>718</v>
      </c>
      <c r="LU3" t="s">
        <v>719</v>
      </c>
      <c r="LV3" t="s">
        <v>720</v>
      </c>
      <c r="LW3" t="s">
        <v>721</v>
      </c>
      <c r="LX3" t="s">
        <v>722</v>
      </c>
      <c r="LY3" t="s">
        <v>723</v>
      </c>
      <c r="LZ3" t="s">
        <v>724</v>
      </c>
      <c r="MA3" t="s">
        <v>725</v>
      </c>
      <c r="MB3" t="s">
        <v>726</v>
      </c>
      <c r="MC3" t="s">
        <v>727</v>
      </c>
      <c r="MD3" t="s">
        <v>728</v>
      </c>
      <c r="ME3" t="s">
        <v>729</v>
      </c>
      <c r="MF3" t="s">
        <v>730</v>
      </c>
      <c r="MG3" t="s">
        <v>731</v>
      </c>
      <c r="MH3" t="s">
        <v>732</v>
      </c>
      <c r="MI3" t="s">
        <v>733</v>
      </c>
      <c r="MJ3" t="s">
        <v>734</v>
      </c>
      <c r="MK3" t="s">
        <v>735</v>
      </c>
      <c r="ML3" t="s">
        <v>736</v>
      </c>
      <c r="MM3" t="s">
        <v>737</v>
      </c>
      <c r="MN3" t="s">
        <v>738</v>
      </c>
      <c r="MO3" t="s">
        <v>739</v>
      </c>
      <c r="MP3" t="s">
        <v>740</v>
      </c>
      <c r="MQ3" t="s">
        <v>741</v>
      </c>
      <c r="MR3" t="s">
        <v>742</v>
      </c>
      <c r="MS3" t="s">
        <v>743</v>
      </c>
      <c r="MT3" t="s">
        <v>744</v>
      </c>
      <c r="MU3" t="s">
        <v>745</v>
      </c>
      <c r="MV3" t="s">
        <v>746</v>
      </c>
      <c r="MW3" t="s">
        <v>747</v>
      </c>
      <c r="MX3" t="s">
        <v>748</v>
      </c>
      <c r="MY3" t="s">
        <v>749</v>
      </c>
      <c r="MZ3" t="s">
        <v>750</v>
      </c>
      <c r="NA3" t="s">
        <v>751</v>
      </c>
      <c r="NB3" t="s">
        <v>752</v>
      </c>
      <c r="NC3" t="s">
        <v>753</v>
      </c>
      <c r="ND3" t="s">
        <v>754</v>
      </c>
      <c r="NE3" t="s">
        <v>755</v>
      </c>
      <c r="NF3" t="s">
        <v>756</v>
      </c>
      <c r="NG3" t="s">
        <v>757</v>
      </c>
      <c r="NH3" t="s">
        <v>758</v>
      </c>
      <c r="NI3" t="s">
        <v>759</v>
      </c>
      <c r="NJ3" t="s">
        <v>760</v>
      </c>
      <c r="NK3" t="s">
        <v>761</v>
      </c>
      <c r="NL3" t="s">
        <v>762</v>
      </c>
      <c r="NM3" t="s">
        <v>763</v>
      </c>
      <c r="NN3" t="s">
        <v>764</v>
      </c>
      <c r="NO3" t="s">
        <v>765</v>
      </c>
      <c r="NP3" t="s">
        <v>766</v>
      </c>
      <c r="NQ3" t="s">
        <v>767</v>
      </c>
      <c r="NR3" t="s">
        <v>768</v>
      </c>
      <c r="NS3" t="s">
        <v>769</v>
      </c>
      <c r="NT3" t="s">
        <v>770</v>
      </c>
      <c r="NU3" t="s">
        <v>771</v>
      </c>
      <c r="NV3" t="s">
        <v>772</v>
      </c>
      <c r="NW3" t="s">
        <v>773</v>
      </c>
      <c r="NX3" t="s">
        <v>774</v>
      </c>
      <c r="NY3" t="s">
        <v>775</v>
      </c>
      <c r="NZ3" t="s">
        <v>776</v>
      </c>
      <c r="OA3" t="s">
        <v>777</v>
      </c>
      <c r="OB3" t="s">
        <v>778</v>
      </c>
      <c r="OC3" t="s">
        <v>779</v>
      </c>
      <c r="OD3" t="s">
        <v>780</v>
      </c>
      <c r="OE3" t="s">
        <v>781</v>
      </c>
      <c r="OF3" t="s">
        <v>782</v>
      </c>
      <c r="OG3" t="s">
        <v>783</v>
      </c>
      <c r="OH3" t="s">
        <v>784</v>
      </c>
      <c r="OI3" t="s">
        <v>785</v>
      </c>
      <c r="OJ3" t="s">
        <v>786</v>
      </c>
      <c r="OK3" t="s">
        <v>787</v>
      </c>
      <c r="OL3" t="s">
        <v>788</v>
      </c>
      <c r="OM3" t="s">
        <v>789</v>
      </c>
      <c r="ON3" t="s">
        <v>790</v>
      </c>
      <c r="OO3" t="s">
        <v>791</v>
      </c>
      <c r="OP3" t="s">
        <v>792</v>
      </c>
      <c r="OQ3" t="s">
        <v>793</v>
      </c>
      <c r="OR3" t="s">
        <v>794</v>
      </c>
      <c r="OS3" t="s">
        <v>795</v>
      </c>
      <c r="OT3" t="s">
        <v>796</v>
      </c>
      <c r="OU3" t="s">
        <v>797</v>
      </c>
      <c r="OV3" t="s">
        <v>798</v>
      </c>
      <c r="OW3" t="s">
        <v>799</v>
      </c>
      <c r="OX3" t="s">
        <v>800</v>
      </c>
      <c r="OY3" t="s">
        <v>801</v>
      </c>
      <c r="OZ3" t="s">
        <v>802</v>
      </c>
      <c r="PA3" t="s">
        <v>803</v>
      </c>
      <c r="PB3" t="s">
        <v>804</v>
      </c>
      <c r="PC3" t="s">
        <v>805</v>
      </c>
      <c r="PD3" t="s">
        <v>806</v>
      </c>
      <c r="PE3" t="s">
        <v>807</v>
      </c>
      <c r="PF3" t="s">
        <v>808</v>
      </c>
      <c r="PG3" t="s">
        <v>809</v>
      </c>
      <c r="PH3" t="s">
        <v>810</v>
      </c>
      <c r="PI3" t="s">
        <v>811</v>
      </c>
      <c r="PJ3" t="s">
        <v>812</v>
      </c>
      <c r="PK3" t="s">
        <v>813</v>
      </c>
      <c r="PL3" t="s">
        <v>814</v>
      </c>
      <c r="PM3" t="s">
        <v>815</v>
      </c>
      <c r="PN3" t="s">
        <v>816</v>
      </c>
      <c r="PO3" t="s">
        <v>817</v>
      </c>
      <c r="PP3" t="s">
        <v>818</v>
      </c>
      <c r="PQ3" t="s">
        <v>819</v>
      </c>
      <c r="PR3" t="s">
        <v>820</v>
      </c>
      <c r="PS3" t="s">
        <v>821</v>
      </c>
      <c r="PT3" t="s">
        <v>822</v>
      </c>
      <c r="PU3" t="s">
        <v>823</v>
      </c>
      <c r="PV3" t="s">
        <v>824</v>
      </c>
      <c r="PW3" t="s">
        <v>825</v>
      </c>
      <c r="PX3" t="s">
        <v>826</v>
      </c>
      <c r="PY3" t="s">
        <v>827</v>
      </c>
      <c r="PZ3" t="s">
        <v>828</v>
      </c>
      <c r="QA3" t="s">
        <v>829</v>
      </c>
      <c r="QB3" t="s">
        <v>830</v>
      </c>
      <c r="QC3" t="s">
        <v>831</v>
      </c>
      <c r="QD3" t="s">
        <v>832</v>
      </c>
      <c r="QE3" t="s">
        <v>833</v>
      </c>
      <c r="QF3" t="s">
        <v>834</v>
      </c>
      <c r="QG3" t="s">
        <v>835</v>
      </c>
      <c r="QH3" t="s">
        <v>836</v>
      </c>
      <c r="QI3" t="s">
        <v>837</v>
      </c>
      <c r="QJ3" t="s">
        <v>838</v>
      </c>
      <c r="QK3" t="s">
        <v>839</v>
      </c>
      <c r="QL3" t="s">
        <v>840</v>
      </c>
      <c r="QM3" t="s">
        <v>841</v>
      </c>
      <c r="QN3" t="s">
        <v>842</v>
      </c>
      <c r="QO3" t="s">
        <v>843</v>
      </c>
      <c r="QP3" t="s">
        <v>844</v>
      </c>
      <c r="QQ3" t="s">
        <v>845</v>
      </c>
      <c r="QR3" t="s">
        <v>846</v>
      </c>
      <c r="QS3" t="s">
        <v>847</v>
      </c>
      <c r="QT3" t="s">
        <v>848</v>
      </c>
      <c r="QU3" t="s">
        <v>849</v>
      </c>
      <c r="QV3" t="s">
        <v>850</v>
      </c>
      <c r="QW3" t="s">
        <v>851</v>
      </c>
      <c r="QX3" t="s">
        <v>852</v>
      </c>
      <c r="QY3" t="s">
        <v>853</v>
      </c>
      <c r="QZ3" t="s">
        <v>854</v>
      </c>
      <c r="RA3" t="s">
        <v>855</v>
      </c>
      <c r="RB3" t="s">
        <v>856</v>
      </c>
      <c r="RC3" t="s">
        <v>857</v>
      </c>
      <c r="RD3" t="s">
        <v>858</v>
      </c>
      <c r="RE3" t="s">
        <v>859</v>
      </c>
      <c r="RF3" t="s">
        <v>860</v>
      </c>
      <c r="RG3" t="s">
        <v>861</v>
      </c>
      <c r="RH3" t="s">
        <v>862</v>
      </c>
      <c r="RI3" t="s">
        <v>863</v>
      </c>
      <c r="RJ3" t="s">
        <v>864</v>
      </c>
      <c r="RK3" t="s">
        <v>865</v>
      </c>
      <c r="RL3" t="s">
        <v>866</v>
      </c>
      <c r="RM3" t="s">
        <v>867</v>
      </c>
      <c r="RN3" t="s">
        <v>868</v>
      </c>
      <c r="RO3" t="s">
        <v>869</v>
      </c>
      <c r="RP3" t="s">
        <v>870</v>
      </c>
      <c r="RQ3" t="s">
        <v>871</v>
      </c>
      <c r="RR3" t="s">
        <v>872</v>
      </c>
      <c r="RS3" t="s">
        <v>873</v>
      </c>
      <c r="RT3" t="s">
        <v>874</v>
      </c>
      <c r="RU3" t="s">
        <v>875</v>
      </c>
      <c r="RV3" t="s">
        <v>876</v>
      </c>
      <c r="RW3" t="s">
        <v>877</v>
      </c>
      <c r="RX3" t="s">
        <v>878</v>
      </c>
      <c r="RY3" t="s">
        <v>879</v>
      </c>
      <c r="RZ3" t="s">
        <v>880</v>
      </c>
      <c r="SA3" t="s">
        <v>881</v>
      </c>
      <c r="SB3" t="s">
        <v>882</v>
      </c>
      <c r="SC3" t="s">
        <v>883</v>
      </c>
      <c r="SD3" t="s">
        <v>884</v>
      </c>
      <c r="SE3" t="s">
        <v>885</v>
      </c>
      <c r="SF3" t="s">
        <v>886</v>
      </c>
      <c r="SG3" t="s">
        <v>887</v>
      </c>
      <c r="SH3" t="s">
        <v>888</v>
      </c>
      <c r="SI3" t="s">
        <v>889</v>
      </c>
      <c r="SJ3" t="s">
        <v>890</v>
      </c>
      <c r="SK3" t="s">
        <v>891</v>
      </c>
      <c r="SL3" t="s">
        <v>892</v>
      </c>
      <c r="SM3" t="s">
        <v>893</v>
      </c>
      <c r="SN3" t="s">
        <v>894</v>
      </c>
      <c r="SO3" t="s">
        <v>895</v>
      </c>
      <c r="SP3" t="s">
        <v>896</v>
      </c>
      <c r="SQ3" t="s">
        <v>897</v>
      </c>
      <c r="SR3" t="s">
        <v>898</v>
      </c>
      <c r="SS3" t="s">
        <v>899</v>
      </c>
      <c r="ST3" t="s">
        <v>900</v>
      </c>
      <c r="SU3" t="s">
        <v>901</v>
      </c>
      <c r="SV3" t="s">
        <v>902</v>
      </c>
      <c r="SW3" t="s">
        <v>903</v>
      </c>
      <c r="SX3" t="s">
        <v>904</v>
      </c>
      <c r="SY3" t="s">
        <v>905</v>
      </c>
      <c r="SZ3" t="s">
        <v>906</v>
      </c>
      <c r="TA3" t="s">
        <v>907</v>
      </c>
      <c r="TB3" t="s">
        <v>908</v>
      </c>
      <c r="TC3" t="s">
        <v>909</v>
      </c>
      <c r="TD3" t="s">
        <v>910</v>
      </c>
      <c r="TE3" t="s">
        <v>911</v>
      </c>
      <c r="TF3" t="s">
        <v>912</v>
      </c>
      <c r="TG3" t="s">
        <v>913</v>
      </c>
      <c r="TH3" t="s">
        <v>914</v>
      </c>
      <c r="TI3" t="s">
        <v>915</v>
      </c>
      <c r="TJ3" t="s">
        <v>916</v>
      </c>
      <c r="TK3" t="s">
        <v>917</v>
      </c>
      <c r="TL3" t="s">
        <v>918</v>
      </c>
      <c r="TM3" t="s">
        <v>919</v>
      </c>
      <c r="TN3" t="s">
        <v>920</v>
      </c>
      <c r="TO3" t="s">
        <v>921</v>
      </c>
      <c r="TP3" t="s">
        <v>922</v>
      </c>
      <c r="TQ3" t="s">
        <v>923</v>
      </c>
      <c r="TR3" t="s">
        <v>924</v>
      </c>
      <c r="TS3" t="s">
        <v>925</v>
      </c>
      <c r="TT3" t="s">
        <v>926</v>
      </c>
      <c r="TU3" t="s">
        <v>927</v>
      </c>
      <c r="TV3" t="s">
        <v>928</v>
      </c>
      <c r="TW3" t="s">
        <v>929</v>
      </c>
      <c r="TX3" t="s">
        <v>930</v>
      </c>
      <c r="TY3" t="s">
        <v>931</v>
      </c>
      <c r="TZ3" t="s">
        <v>932</v>
      </c>
      <c r="UA3" t="s">
        <v>933</v>
      </c>
      <c r="UB3" t="s">
        <v>934</v>
      </c>
      <c r="UC3" t="s">
        <v>935</v>
      </c>
      <c r="UD3" t="s">
        <v>936</v>
      </c>
      <c r="UE3" t="s">
        <v>937</v>
      </c>
      <c r="UF3" t="s">
        <v>938</v>
      </c>
      <c r="UG3" t="s">
        <v>939</v>
      </c>
      <c r="UH3" t="s">
        <v>940</v>
      </c>
      <c r="UI3" t="s">
        <v>941</v>
      </c>
      <c r="UJ3" t="s">
        <v>942</v>
      </c>
      <c r="UK3" t="s">
        <v>943</v>
      </c>
      <c r="UL3" t="s">
        <v>944</v>
      </c>
      <c r="UM3" t="s">
        <v>945</v>
      </c>
      <c r="UN3" t="s">
        <v>946</v>
      </c>
      <c r="UO3" t="s">
        <v>947</v>
      </c>
      <c r="UP3" t="s">
        <v>948</v>
      </c>
      <c r="UQ3" t="s">
        <v>949</v>
      </c>
      <c r="UR3" t="s">
        <v>950</v>
      </c>
      <c r="US3" t="s">
        <v>951</v>
      </c>
      <c r="UT3" t="s">
        <v>952</v>
      </c>
      <c r="UU3" t="s">
        <v>953</v>
      </c>
      <c r="UV3" t="s">
        <v>954</v>
      </c>
      <c r="UW3" t="s">
        <v>955</v>
      </c>
      <c r="UX3" t="s">
        <v>956</v>
      </c>
      <c r="UY3" t="s">
        <v>957</v>
      </c>
      <c r="UZ3" t="s">
        <v>958</v>
      </c>
      <c r="VA3" t="s">
        <v>959</v>
      </c>
      <c r="VB3" t="s">
        <v>960</v>
      </c>
      <c r="VC3" t="s">
        <v>961</v>
      </c>
      <c r="VD3" t="s">
        <v>962</v>
      </c>
      <c r="VE3" t="s">
        <v>963</v>
      </c>
      <c r="VF3" t="s">
        <v>964</v>
      </c>
      <c r="VG3" t="s">
        <v>965</v>
      </c>
      <c r="VH3" t="s">
        <v>966</v>
      </c>
      <c r="VI3" t="s">
        <v>967</v>
      </c>
      <c r="VJ3" t="s">
        <v>968</v>
      </c>
      <c r="VK3" t="s">
        <v>969</v>
      </c>
      <c r="VL3" t="s">
        <v>970</v>
      </c>
      <c r="VM3" t="s">
        <v>971</v>
      </c>
      <c r="VN3" t="s">
        <v>972</v>
      </c>
      <c r="VO3" t="s">
        <v>973</v>
      </c>
      <c r="VP3" t="s">
        <v>974</v>
      </c>
      <c r="VQ3" t="s">
        <v>975</v>
      </c>
      <c r="VR3" t="s">
        <v>976</v>
      </c>
      <c r="VS3" t="s">
        <v>977</v>
      </c>
      <c r="VT3" t="s">
        <v>978</v>
      </c>
      <c r="VU3" t="s">
        <v>979</v>
      </c>
      <c r="VV3" t="s">
        <v>980</v>
      </c>
      <c r="VW3" t="s">
        <v>981</v>
      </c>
      <c r="VX3" t="s">
        <v>982</v>
      </c>
      <c r="VY3" t="s">
        <v>983</v>
      </c>
      <c r="VZ3" t="s">
        <v>984</v>
      </c>
      <c r="WA3" t="s">
        <v>985</v>
      </c>
      <c r="WB3" t="s">
        <v>986</v>
      </c>
      <c r="WC3" t="s">
        <v>987</v>
      </c>
      <c r="WD3" t="s">
        <v>988</v>
      </c>
      <c r="WE3" t="s">
        <v>989</v>
      </c>
      <c r="WF3" t="s">
        <v>990</v>
      </c>
      <c r="WG3" t="s">
        <v>991</v>
      </c>
      <c r="WH3" t="s">
        <v>992</v>
      </c>
      <c r="WI3" t="s">
        <v>993</v>
      </c>
      <c r="WJ3" t="s">
        <v>994</v>
      </c>
      <c r="WK3" t="s">
        <v>995</v>
      </c>
      <c r="WL3" t="s">
        <v>996</v>
      </c>
      <c r="WM3" t="s">
        <v>997</v>
      </c>
      <c r="WN3" t="s">
        <v>998</v>
      </c>
      <c r="WO3" t="s">
        <v>999</v>
      </c>
      <c r="WP3" t="s">
        <v>1000</v>
      </c>
      <c r="WQ3" t="s">
        <v>1001</v>
      </c>
      <c r="WR3" t="s">
        <v>1002</v>
      </c>
      <c r="WS3" t="s">
        <v>1003</v>
      </c>
      <c r="WT3" t="s">
        <v>1004</v>
      </c>
      <c r="WU3" t="s">
        <v>1005</v>
      </c>
      <c r="WV3" t="s">
        <v>1006</v>
      </c>
      <c r="WW3" t="s">
        <v>1007</v>
      </c>
      <c r="WX3" t="s">
        <v>1008</v>
      </c>
      <c r="WY3" t="s">
        <v>1009</v>
      </c>
      <c r="WZ3" t="s">
        <v>1010</v>
      </c>
      <c r="XA3" t="s">
        <v>1011</v>
      </c>
      <c r="XB3" t="s">
        <v>1012</v>
      </c>
      <c r="XC3" t="s">
        <v>1013</v>
      </c>
      <c r="XD3" t="s">
        <v>1014</v>
      </c>
      <c r="XE3" t="s">
        <v>1015</v>
      </c>
      <c r="XF3" t="s">
        <v>1016</v>
      </c>
      <c r="XG3" t="s">
        <v>1017</v>
      </c>
      <c r="XH3" t="s">
        <v>1018</v>
      </c>
      <c r="XI3" t="s">
        <v>1019</v>
      </c>
      <c r="XJ3" t="s">
        <v>1020</v>
      </c>
      <c r="XK3" t="s">
        <v>1021</v>
      </c>
      <c r="XL3" t="s">
        <v>1022</v>
      </c>
      <c r="XM3" t="s">
        <v>1023</v>
      </c>
      <c r="XN3" t="s">
        <v>1024</v>
      </c>
      <c r="XO3" t="s">
        <v>1025</v>
      </c>
      <c r="XP3" t="s">
        <v>1026</v>
      </c>
      <c r="XQ3" t="s">
        <v>1027</v>
      </c>
      <c r="XR3" t="s">
        <v>1028</v>
      </c>
      <c r="XS3" t="s">
        <v>1029</v>
      </c>
      <c r="XT3" t="s">
        <v>1030</v>
      </c>
      <c r="XU3" t="s">
        <v>1031</v>
      </c>
      <c r="XV3" t="s">
        <v>1032</v>
      </c>
      <c r="XW3" t="s">
        <v>1033</v>
      </c>
      <c r="XX3" t="s">
        <v>1034</v>
      </c>
      <c r="XY3" t="s">
        <v>1035</v>
      </c>
      <c r="XZ3" t="s">
        <v>1036</v>
      </c>
      <c r="YA3" t="s">
        <v>1037</v>
      </c>
      <c r="YB3" t="s">
        <v>1038</v>
      </c>
      <c r="YC3" t="s">
        <v>1039</v>
      </c>
      <c r="YD3" t="s">
        <v>1040</v>
      </c>
      <c r="YE3" t="s">
        <v>1041</v>
      </c>
      <c r="YF3" t="s">
        <v>1042</v>
      </c>
      <c r="YG3" t="s">
        <v>1043</v>
      </c>
      <c r="YH3" t="s">
        <v>1044</v>
      </c>
      <c r="YI3" t="s">
        <v>1045</v>
      </c>
      <c r="YJ3" t="s">
        <v>1046</v>
      </c>
      <c r="YK3" t="s">
        <v>1047</v>
      </c>
      <c r="YL3" t="s">
        <v>1048</v>
      </c>
      <c r="YM3" t="s">
        <v>1049</v>
      </c>
      <c r="YN3" t="s">
        <v>1050</v>
      </c>
      <c r="YO3" t="s">
        <v>1051</v>
      </c>
      <c r="YP3" t="s">
        <v>1052</v>
      </c>
      <c r="YQ3" t="s">
        <v>1053</v>
      </c>
      <c r="YR3" t="s">
        <v>1054</v>
      </c>
      <c r="YS3" t="s">
        <v>1055</v>
      </c>
      <c r="YT3" t="s">
        <v>1056</v>
      </c>
      <c r="YU3" t="s">
        <v>1057</v>
      </c>
      <c r="YV3" t="s">
        <v>1058</v>
      </c>
      <c r="YW3" t="s">
        <v>1059</v>
      </c>
      <c r="YX3" t="s">
        <v>1060</v>
      </c>
      <c r="YY3" t="s">
        <v>1061</v>
      </c>
      <c r="YZ3" t="s">
        <v>1062</v>
      </c>
      <c r="ZA3" t="s">
        <v>1063</v>
      </c>
      <c r="ZB3" t="s">
        <v>1064</v>
      </c>
      <c r="ZC3" t="s">
        <v>1065</v>
      </c>
      <c r="ZD3" t="s">
        <v>1066</v>
      </c>
      <c r="ZE3" t="s">
        <v>1067</v>
      </c>
      <c r="ZF3" t="s">
        <v>1068</v>
      </c>
      <c r="ZG3" t="s">
        <v>1069</v>
      </c>
      <c r="ZH3" t="s">
        <v>1070</v>
      </c>
      <c r="ZI3" t="s">
        <v>1071</v>
      </c>
      <c r="ZJ3" t="s">
        <v>1072</v>
      </c>
      <c r="ZK3" t="s">
        <v>1073</v>
      </c>
      <c r="ZL3" t="s">
        <v>1074</v>
      </c>
      <c r="ZM3" t="s">
        <v>1075</v>
      </c>
      <c r="ZN3" t="s">
        <v>1076</v>
      </c>
      <c r="ZO3" t="s">
        <v>1077</v>
      </c>
      <c r="ZP3" t="s">
        <v>1078</v>
      </c>
      <c r="ZQ3" t="s">
        <v>1079</v>
      </c>
      <c r="ZR3" t="s">
        <v>1080</v>
      </c>
      <c r="ZS3" t="s">
        <v>1081</v>
      </c>
      <c r="ZT3" t="s">
        <v>1082</v>
      </c>
      <c r="ZU3" t="s">
        <v>1083</v>
      </c>
      <c r="ZV3" t="s">
        <v>1084</v>
      </c>
      <c r="ZW3" t="s">
        <v>1085</v>
      </c>
      <c r="ZX3" t="s">
        <v>1086</v>
      </c>
      <c r="ZY3" t="s">
        <v>1087</v>
      </c>
      <c r="ZZ3" t="s">
        <v>1088</v>
      </c>
      <c r="AAA3" t="s">
        <v>1089</v>
      </c>
      <c r="AAB3" t="s">
        <v>1090</v>
      </c>
      <c r="AAC3" t="s">
        <v>1091</v>
      </c>
      <c r="AAD3" t="s">
        <v>1092</v>
      </c>
      <c r="AAE3" t="s">
        <v>1093</v>
      </c>
      <c r="AAF3" t="s">
        <v>1094</v>
      </c>
      <c r="AAG3" t="s">
        <v>1095</v>
      </c>
      <c r="AAH3" t="s">
        <v>1096</v>
      </c>
      <c r="AAI3" t="s">
        <v>1097</v>
      </c>
      <c r="AAJ3" t="s">
        <v>1098</v>
      </c>
      <c r="AAK3" t="s">
        <v>1099</v>
      </c>
      <c r="AAL3" t="s">
        <v>1100</v>
      </c>
      <c r="AAM3" t="s">
        <v>1101</v>
      </c>
      <c r="AAN3" t="s">
        <v>1102</v>
      </c>
      <c r="AAO3" t="s">
        <v>1103</v>
      </c>
      <c r="AAP3" t="s">
        <v>1104</v>
      </c>
      <c r="AAQ3" t="s">
        <v>1105</v>
      </c>
      <c r="AAR3" t="s">
        <v>1106</v>
      </c>
      <c r="AAS3" t="s">
        <v>1107</v>
      </c>
      <c r="AAT3" t="s">
        <v>1108</v>
      </c>
      <c r="AAU3" t="s">
        <v>1109</v>
      </c>
      <c r="AAV3" t="s">
        <v>1110</v>
      </c>
      <c r="AAW3" t="s">
        <v>1111</v>
      </c>
      <c r="AAX3" t="s">
        <v>1112</v>
      </c>
      <c r="AAY3" t="s">
        <v>1113</v>
      </c>
      <c r="AAZ3" t="s">
        <v>1114</v>
      </c>
      <c r="ABA3" t="s">
        <v>1115</v>
      </c>
      <c r="ABB3" t="s">
        <v>1116</v>
      </c>
      <c r="ABC3" t="s">
        <v>1117</v>
      </c>
      <c r="ABD3" t="s">
        <v>1118</v>
      </c>
      <c r="ABE3" t="s">
        <v>1119</v>
      </c>
      <c r="ABF3" t="s">
        <v>1120</v>
      </c>
      <c r="ABG3" t="s">
        <v>1121</v>
      </c>
      <c r="ABH3" t="s">
        <v>1122</v>
      </c>
      <c r="ABI3" t="s">
        <v>1123</v>
      </c>
      <c r="ABJ3" t="s">
        <v>1124</v>
      </c>
      <c r="ABK3" t="s">
        <v>1125</v>
      </c>
      <c r="ABL3" t="s">
        <v>1126</v>
      </c>
      <c r="ABM3" t="s">
        <v>1127</v>
      </c>
      <c r="ABN3" t="s">
        <v>1128</v>
      </c>
      <c r="ABO3" t="s">
        <v>1129</v>
      </c>
      <c r="ABP3" t="s">
        <v>1130</v>
      </c>
      <c r="ABQ3" t="s">
        <v>1131</v>
      </c>
      <c r="ABR3" t="s">
        <v>1132</v>
      </c>
      <c r="ABS3" t="s">
        <v>1133</v>
      </c>
      <c r="ABT3" t="s">
        <v>1134</v>
      </c>
      <c r="ABU3" t="s">
        <v>1135</v>
      </c>
      <c r="ABV3" t="s">
        <v>1136</v>
      </c>
      <c r="ABW3" t="s">
        <v>1137</v>
      </c>
      <c r="ABX3" t="s">
        <v>1138</v>
      </c>
      <c r="ABY3" t="s">
        <v>1139</v>
      </c>
      <c r="ABZ3" t="s">
        <v>1140</v>
      </c>
      <c r="ACA3" t="s">
        <v>1141</v>
      </c>
      <c r="ACB3" t="s">
        <v>1142</v>
      </c>
      <c r="ACC3" t="s">
        <v>1143</v>
      </c>
      <c r="ACD3" t="s">
        <v>1144</v>
      </c>
      <c r="ACE3" t="s">
        <v>1145</v>
      </c>
      <c r="ACF3" t="s">
        <v>1146</v>
      </c>
      <c r="ACG3" t="s">
        <v>1147</v>
      </c>
      <c r="ACH3" t="s">
        <v>1148</v>
      </c>
      <c r="ACI3" t="s">
        <v>1149</v>
      </c>
      <c r="ACJ3" t="s">
        <v>1150</v>
      </c>
      <c r="ACK3" t="s">
        <v>1151</v>
      </c>
      <c r="ACL3" t="s">
        <v>1152</v>
      </c>
      <c r="ACM3" t="s">
        <v>1153</v>
      </c>
      <c r="ACN3" t="s">
        <v>1154</v>
      </c>
      <c r="ACO3" t="s">
        <v>1155</v>
      </c>
      <c r="ACP3" t="s">
        <v>1156</v>
      </c>
      <c r="ACQ3" t="s">
        <v>1157</v>
      </c>
      <c r="ACR3" t="s">
        <v>1158</v>
      </c>
      <c r="ACS3" t="s">
        <v>1159</v>
      </c>
      <c r="ACT3" t="s">
        <v>1160</v>
      </c>
      <c r="ACU3" t="s">
        <v>1161</v>
      </c>
      <c r="ACV3" t="s">
        <v>1162</v>
      </c>
      <c r="ACW3" t="s">
        <v>1163</v>
      </c>
      <c r="ACX3" t="s">
        <v>1164</v>
      </c>
      <c r="ACY3" t="s">
        <v>1165</v>
      </c>
      <c r="ACZ3" t="s">
        <v>1166</v>
      </c>
      <c r="ADA3" t="s">
        <v>1167</v>
      </c>
      <c r="ADB3" t="s">
        <v>1168</v>
      </c>
      <c r="ADC3" t="s">
        <v>1169</v>
      </c>
      <c r="ADD3" t="s">
        <v>1170</v>
      </c>
      <c r="ADE3" t="s">
        <v>1171</v>
      </c>
      <c r="ADF3" t="s">
        <v>1172</v>
      </c>
      <c r="ADG3" t="s">
        <v>1173</v>
      </c>
      <c r="ADH3" t="s">
        <v>1174</v>
      </c>
      <c r="ADI3" t="s">
        <v>1175</v>
      </c>
      <c r="ADJ3" t="s">
        <v>1176</v>
      </c>
      <c r="ADK3" t="s">
        <v>1177</v>
      </c>
      <c r="ADL3" t="s">
        <v>1178</v>
      </c>
      <c r="ADM3" t="s">
        <v>1179</v>
      </c>
      <c r="ADN3" t="s">
        <v>1180</v>
      </c>
      <c r="ADO3" t="s">
        <v>1181</v>
      </c>
      <c r="ADP3" t="s">
        <v>1182</v>
      </c>
      <c r="ADQ3" t="s">
        <v>1183</v>
      </c>
      <c r="ADR3" t="s">
        <v>1184</v>
      </c>
      <c r="ADS3" t="s">
        <v>1185</v>
      </c>
      <c r="ADT3" t="s">
        <v>1186</v>
      </c>
      <c r="ADU3" t="s">
        <v>1187</v>
      </c>
      <c r="ADV3" t="s">
        <v>1188</v>
      </c>
      <c r="ADW3" t="s">
        <v>1189</v>
      </c>
      <c r="ADX3" t="s">
        <v>1190</v>
      </c>
      <c r="ADY3" t="s">
        <v>1191</v>
      </c>
      <c r="ADZ3" t="s">
        <v>1192</v>
      </c>
      <c r="AEA3" t="s">
        <v>1193</v>
      </c>
      <c r="AEB3" t="s">
        <v>1194</v>
      </c>
      <c r="AEC3" t="s">
        <v>1195</v>
      </c>
      <c r="AED3" t="s">
        <v>1196</v>
      </c>
      <c r="AEE3" t="s">
        <v>1197</v>
      </c>
      <c r="AEF3" t="s">
        <v>1198</v>
      </c>
      <c r="AEG3" t="s">
        <v>1199</v>
      </c>
      <c r="AEH3" t="s">
        <v>1200</v>
      </c>
      <c r="AEI3" t="s">
        <v>1201</v>
      </c>
      <c r="AEJ3" t="s">
        <v>1202</v>
      </c>
      <c r="AEK3" t="s">
        <v>1203</v>
      </c>
      <c r="AEL3" t="s">
        <v>1204</v>
      </c>
      <c r="AEM3" t="s">
        <v>1205</v>
      </c>
      <c r="AEN3" t="s">
        <v>1206</v>
      </c>
      <c r="AEO3" t="s">
        <v>1207</v>
      </c>
      <c r="AEP3" t="s">
        <v>1208</v>
      </c>
      <c r="AEQ3" t="s">
        <v>1209</v>
      </c>
      <c r="AER3" t="s">
        <v>1210</v>
      </c>
      <c r="AES3" t="s">
        <v>1211</v>
      </c>
      <c r="AET3" t="s">
        <v>1212</v>
      </c>
      <c r="AEU3" t="s">
        <v>1213</v>
      </c>
      <c r="AEV3" t="s">
        <v>1214</v>
      </c>
      <c r="AEW3" t="s">
        <v>1215</v>
      </c>
      <c r="AEX3" t="s">
        <v>1216</v>
      </c>
      <c r="AEY3" t="s">
        <v>1217</v>
      </c>
      <c r="AEZ3" t="s">
        <v>1218</v>
      </c>
      <c r="AFA3" t="s">
        <v>1219</v>
      </c>
      <c r="AFB3" t="s">
        <v>1220</v>
      </c>
      <c r="AFC3" t="s">
        <v>1221</v>
      </c>
      <c r="AFD3" t="s">
        <v>1222</v>
      </c>
      <c r="AFE3" t="s">
        <v>1223</v>
      </c>
      <c r="AFF3" t="s">
        <v>1224</v>
      </c>
      <c r="AFG3" t="s">
        <v>1225</v>
      </c>
      <c r="AFH3" t="s">
        <v>1226</v>
      </c>
      <c r="AFI3" t="s">
        <v>1227</v>
      </c>
      <c r="AFJ3" t="s">
        <v>1228</v>
      </c>
      <c r="AFK3" t="s">
        <v>1229</v>
      </c>
      <c r="AFL3" t="s">
        <v>1230</v>
      </c>
      <c r="AFM3" t="s">
        <v>1231</v>
      </c>
      <c r="AFN3" t="s">
        <v>1232</v>
      </c>
      <c r="AFO3" t="s">
        <v>1233</v>
      </c>
      <c r="AFP3" t="s">
        <v>1234</v>
      </c>
      <c r="AFQ3" t="s">
        <v>1235</v>
      </c>
      <c r="AFR3" t="s">
        <v>1236</v>
      </c>
      <c r="AFS3" t="s">
        <v>1237</v>
      </c>
      <c r="AFT3" t="s">
        <v>1238</v>
      </c>
      <c r="AFU3" t="s">
        <v>1239</v>
      </c>
      <c r="AFV3" t="s">
        <v>1240</v>
      </c>
      <c r="AFW3" t="s">
        <v>1241</v>
      </c>
      <c r="AFX3" t="s">
        <v>1242</v>
      </c>
      <c r="AFY3" t="s">
        <v>1243</v>
      </c>
      <c r="AFZ3" t="s">
        <v>1244</v>
      </c>
      <c r="AGA3" t="s">
        <v>1245</v>
      </c>
      <c r="AGB3" t="s">
        <v>1246</v>
      </c>
      <c r="AGC3" t="s">
        <v>1247</v>
      </c>
      <c r="AGD3" t="s">
        <v>1248</v>
      </c>
      <c r="AGE3" t="s">
        <v>1249</v>
      </c>
      <c r="AGF3" t="s">
        <v>1250</v>
      </c>
      <c r="AGG3" t="s">
        <v>1251</v>
      </c>
      <c r="AGH3" t="s">
        <v>1252</v>
      </c>
      <c r="AGI3" t="s">
        <v>1253</v>
      </c>
      <c r="AGJ3" t="s">
        <v>1254</v>
      </c>
      <c r="AGK3" t="s">
        <v>1255</v>
      </c>
      <c r="AGL3" t="s">
        <v>1256</v>
      </c>
      <c r="AGM3" t="s">
        <v>1257</v>
      </c>
      <c r="AGN3" t="s">
        <v>1258</v>
      </c>
      <c r="AGO3" t="s">
        <v>1259</v>
      </c>
      <c r="AGP3" t="s">
        <v>1260</v>
      </c>
      <c r="AGQ3" t="s">
        <v>1261</v>
      </c>
      <c r="AGR3" t="s">
        <v>1262</v>
      </c>
      <c r="AGS3" t="s">
        <v>1263</v>
      </c>
      <c r="AGT3" t="s">
        <v>1264</v>
      </c>
      <c r="AGU3" t="s">
        <v>1265</v>
      </c>
      <c r="AGV3" t="s">
        <v>1266</v>
      </c>
      <c r="AGW3" t="s">
        <v>1267</v>
      </c>
      <c r="AGX3" t="s">
        <v>1268</v>
      </c>
      <c r="AGY3" t="s">
        <v>1269</v>
      </c>
      <c r="AGZ3" t="s">
        <v>1270</v>
      </c>
      <c r="AHA3" t="s">
        <v>1271</v>
      </c>
      <c r="AHB3" t="s">
        <v>1272</v>
      </c>
      <c r="AHC3" t="s">
        <v>1273</v>
      </c>
      <c r="AHD3" t="s">
        <v>1274</v>
      </c>
      <c r="AHE3" t="s">
        <v>1275</v>
      </c>
      <c r="AHF3" t="s">
        <v>1276</v>
      </c>
      <c r="AHG3" t="s">
        <v>1277</v>
      </c>
      <c r="AHH3" t="s">
        <v>1278</v>
      </c>
      <c r="AHI3" t="s">
        <v>1279</v>
      </c>
      <c r="AHJ3" t="s">
        <v>1280</v>
      </c>
      <c r="AHK3" t="s">
        <v>1281</v>
      </c>
      <c r="AHL3" t="s">
        <v>1282</v>
      </c>
      <c r="AHM3" t="s">
        <v>1283</v>
      </c>
      <c r="AHN3" t="s">
        <v>1284</v>
      </c>
      <c r="AHO3" t="s">
        <v>1285</v>
      </c>
      <c r="AHP3" t="s">
        <v>1286</v>
      </c>
      <c r="AHQ3" t="s">
        <v>1287</v>
      </c>
      <c r="AHR3" t="s">
        <v>1288</v>
      </c>
      <c r="AHS3" t="s">
        <v>1289</v>
      </c>
      <c r="AHT3" t="s">
        <v>1290</v>
      </c>
      <c r="AHU3" t="s">
        <v>1291</v>
      </c>
      <c r="AHV3" t="s">
        <v>1292</v>
      </c>
      <c r="AHW3" t="s">
        <v>1293</v>
      </c>
      <c r="AHX3" t="s">
        <v>1294</v>
      </c>
      <c r="AHY3" t="s">
        <v>1295</v>
      </c>
      <c r="AHZ3" t="s">
        <v>1296</v>
      </c>
      <c r="AIA3" t="s">
        <v>1297</v>
      </c>
      <c r="AIB3" t="s">
        <v>1298</v>
      </c>
      <c r="AIC3" t="s">
        <v>1299</v>
      </c>
      <c r="AID3" t="s">
        <v>1300</v>
      </c>
      <c r="AIE3" t="s">
        <v>1301</v>
      </c>
      <c r="AIF3" t="s">
        <v>1302</v>
      </c>
      <c r="AIG3" t="s">
        <v>1303</v>
      </c>
      <c r="AIH3" t="s">
        <v>1304</v>
      </c>
      <c r="AII3" t="s">
        <v>1305</v>
      </c>
      <c r="AIJ3" t="s">
        <v>1306</v>
      </c>
      <c r="AIK3" t="s">
        <v>1307</v>
      </c>
      <c r="AIL3" t="s">
        <v>1308</v>
      </c>
      <c r="AIM3" t="s">
        <v>1309</v>
      </c>
      <c r="AIN3" t="s">
        <v>1310</v>
      </c>
      <c r="AIO3" t="s">
        <v>1311</v>
      </c>
      <c r="AIP3" t="s">
        <v>1312</v>
      </c>
      <c r="AIQ3" t="s">
        <v>1313</v>
      </c>
      <c r="AIR3" t="s">
        <v>1314</v>
      </c>
      <c r="AIS3" t="s">
        <v>1315</v>
      </c>
      <c r="AIT3" t="s">
        <v>1316</v>
      </c>
      <c r="AIU3" t="s">
        <v>1317</v>
      </c>
      <c r="AIV3" t="s">
        <v>1318</v>
      </c>
      <c r="AIW3" t="s">
        <v>1319</v>
      </c>
      <c r="AIX3" t="s">
        <v>1320</v>
      </c>
      <c r="AIY3" t="s">
        <v>1321</v>
      </c>
      <c r="AIZ3" t="s">
        <v>1322</v>
      </c>
      <c r="AJA3" t="s">
        <v>1323</v>
      </c>
      <c r="AJB3" t="s">
        <v>1324</v>
      </c>
      <c r="AJC3" t="s">
        <v>1325</v>
      </c>
      <c r="AJD3" t="s">
        <v>1326</v>
      </c>
      <c r="AJE3" t="s">
        <v>1327</v>
      </c>
      <c r="AJF3" t="s">
        <v>1328</v>
      </c>
      <c r="AJG3" t="s">
        <v>1329</v>
      </c>
      <c r="AJH3" t="s">
        <v>1330</v>
      </c>
      <c r="AJI3" t="s">
        <v>1331</v>
      </c>
      <c r="AJJ3" t="s">
        <v>1332</v>
      </c>
      <c r="AJK3" t="s">
        <v>1333</v>
      </c>
      <c r="AJL3" t="s">
        <v>1334</v>
      </c>
      <c r="AJM3" t="s">
        <v>1335</v>
      </c>
      <c r="AJN3" t="s">
        <v>1336</v>
      </c>
      <c r="AJO3" t="s">
        <v>1337</v>
      </c>
      <c r="AJP3" t="s">
        <v>1338</v>
      </c>
      <c r="AJQ3" t="s">
        <v>1339</v>
      </c>
      <c r="AJR3" t="s">
        <v>1340</v>
      </c>
      <c r="AJS3" t="s">
        <v>1341</v>
      </c>
      <c r="AJT3" t="s">
        <v>1342</v>
      </c>
      <c r="AJU3" t="s">
        <v>1343</v>
      </c>
      <c r="AJV3" t="s">
        <v>1344</v>
      </c>
      <c r="AJW3" t="s">
        <v>1345</v>
      </c>
      <c r="AJX3" t="s">
        <v>1346</v>
      </c>
      <c r="AJY3" t="s">
        <v>1347</v>
      </c>
      <c r="AJZ3" t="s">
        <v>1348</v>
      </c>
      <c r="AKA3" t="s">
        <v>1349</v>
      </c>
      <c r="AKB3" t="s">
        <v>1350</v>
      </c>
      <c r="AKC3" t="s">
        <v>1351</v>
      </c>
      <c r="AKD3" t="s">
        <v>1352</v>
      </c>
      <c r="AKE3" t="s">
        <v>1353</v>
      </c>
      <c r="AKF3" t="s">
        <v>1354</v>
      </c>
      <c r="AKG3" t="s">
        <v>1355</v>
      </c>
      <c r="AKH3" t="s">
        <v>1356</v>
      </c>
      <c r="AKI3" t="s">
        <v>1357</v>
      </c>
      <c r="AKJ3" t="s">
        <v>1358</v>
      </c>
      <c r="AKK3" t="s">
        <v>1359</v>
      </c>
      <c r="AKL3" t="s">
        <v>1360</v>
      </c>
      <c r="AKM3" t="s">
        <v>1361</v>
      </c>
      <c r="AKN3" t="s">
        <v>1362</v>
      </c>
      <c r="AKO3" t="s">
        <v>1363</v>
      </c>
      <c r="AKP3" t="s">
        <v>1364</v>
      </c>
      <c r="AKQ3" t="s">
        <v>1365</v>
      </c>
      <c r="AKR3" t="s">
        <v>1366</v>
      </c>
      <c r="AKS3" t="s">
        <v>1367</v>
      </c>
      <c r="AKT3" t="s">
        <v>1368</v>
      </c>
      <c r="AKU3" t="s">
        <v>1369</v>
      </c>
      <c r="AKV3" t="s">
        <v>1370</v>
      </c>
      <c r="AKW3" t="s">
        <v>1371</v>
      </c>
      <c r="AKX3" t="s">
        <v>1372</v>
      </c>
      <c r="AKY3" t="s">
        <v>1373</v>
      </c>
      <c r="AKZ3" t="s">
        <v>1374</v>
      </c>
      <c r="ALA3" t="s">
        <v>1375</v>
      </c>
      <c r="ALB3" t="s">
        <v>1376</v>
      </c>
      <c r="ALC3" t="s">
        <v>1377</v>
      </c>
      <c r="ALD3" t="s">
        <v>1378</v>
      </c>
      <c r="ALE3" t="s">
        <v>1379</v>
      </c>
      <c r="ALF3" t="s">
        <v>1380</v>
      </c>
      <c r="ALG3" t="s">
        <v>1381</v>
      </c>
      <c r="ALH3" t="s">
        <v>1382</v>
      </c>
      <c r="ALI3" t="s">
        <v>1383</v>
      </c>
      <c r="ALJ3" t="s">
        <v>1384</v>
      </c>
      <c r="ALK3" t="s">
        <v>1385</v>
      </c>
      <c r="ALL3" t="s">
        <v>1386</v>
      </c>
      <c r="ALM3" t="s">
        <v>1387</v>
      </c>
      <c r="ALN3" t="s">
        <v>1388</v>
      </c>
      <c r="ALO3" t="s">
        <v>1389</v>
      </c>
      <c r="ALP3" t="s">
        <v>1390</v>
      </c>
      <c r="ALQ3" t="s">
        <v>1391</v>
      </c>
      <c r="ALR3" t="s">
        <v>1392</v>
      </c>
      <c r="ALS3" t="s">
        <v>1393</v>
      </c>
      <c r="ALT3" t="s">
        <v>1394</v>
      </c>
      <c r="ALU3" t="s">
        <v>1395</v>
      </c>
      <c r="ALV3" t="s">
        <v>1396</v>
      </c>
      <c r="ALW3" t="s">
        <v>1397</v>
      </c>
      <c r="ALX3" t="s">
        <v>1398</v>
      </c>
      <c r="ALY3" t="s">
        <v>1399</v>
      </c>
      <c r="ALZ3" t="s">
        <v>1400</v>
      </c>
      <c r="AMA3" t="s">
        <v>1401</v>
      </c>
      <c r="AMB3" t="s">
        <v>1402</v>
      </c>
      <c r="AMC3" t="s">
        <v>1403</v>
      </c>
      <c r="AMD3" t="s">
        <v>1404</v>
      </c>
      <c r="AME3" t="s">
        <v>1405</v>
      </c>
      <c r="AMF3" t="s">
        <v>1406</v>
      </c>
      <c r="AMG3" t="s">
        <v>1407</v>
      </c>
      <c r="AMH3" t="s">
        <v>1408</v>
      </c>
      <c r="AMI3" t="s">
        <v>1409</v>
      </c>
      <c r="AMJ3" t="s">
        <v>1410</v>
      </c>
      <c r="AMK3" t="s">
        <v>1411</v>
      </c>
      <c r="AML3" t="s">
        <v>1412</v>
      </c>
      <c r="AMM3" t="s">
        <v>1413</v>
      </c>
      <c r="AMN3" t="s">
        <v>1414</v>
      </c>
      <c r="AMO3" t="s">
        <v>1415</v>
      </c>
      <c r="AMP3" t="s">
        <v>1416</v>
      </c>
      <c r="AMQ3" t="s">
        <v>1417</v>
      </c>
      <c r="AMR3" t="s">
        <v>1418</v>
      </c>
      <c r="AMS3" t="s">
        <v>1419</v>
      </c>
      <c r="AMT3" t="s">
        <v>1420</v>
      </c>
      <c r="AMU3" t="s">
        <v>1421</v>
      </c>
      <c r="AMV3" t="s">
        <v>1422</v>
      </c>
      <c r="AMW3" t="s">
        <v>1423</v>
      </c>
      <c r="AMX3" t="s">
        <v>1424</v>
      </c>
      <c r="AMY3" t="s">
        <v>1425</v>
      </c>
      <c r="AMZ3" t="s">
        <v>1426</v>
      </c>
      <c r="ANA3" t="s">
        <v>1427</v>
      </c>
      <c r="ANB3" t="s">
        <v>1428</v>
      </c>
      <c r="ANC3" t="s">
        <v>1429</v>
      </c>
      <c r="AND3" t="s">
        <v>1430</v>
      </c>
      <c r="ANE3" t="s">
        <v>1431</v>
      </c>
      <c r="ANF3" t="s">
        <v>1432</v>
      </c>
      <c r="ANG3" t="s">
        <v>1433</v>
      </c>
      <c r="ANH3" t="s">
        <v>1434</v>
      </c>
      <c r="ANI3" t="s">
        <v>1435</v>
      </c>
      <c r="ANJ3" t="s">
        <v>1436</v>
      </c>
      <c r="ANK3" t="s">
        <v>1437</v>
      </c>
      <c r="ANL3" t="s">
        <v>1438</v>
      </c>
      <c r="ANM3" t="s">
        <v>1439</v>
      </c>
      <c r="ANN3" t="s">
        <v>1440</v>
      </c>
      <c r="ANO3" t="s">
        <v>1441</v>
      </c>
      <c r="ANP3" t="s">
        <v>1442</v>
      </c>
      <c r="ANQ3" t="s">
        <v>1443</v>
      </c>
      <c r="ANR3" t="s">
        <v>1444</v>
      </c>
      <c r="ANS3" t="s">
        <v>1445</v>
      </c>
      <c r="ANT3" t="s">
        <v>1446</v>
      </c>
      <c r="ANU3" t="s">
        <v>1447</v>
      </c>
      <c r="ANV3" t="s">
        <v>1448</v>
      </c>
      <c r="ANW3" t="s">
        <v>1449</v>
      </c>
      <c r="ANX3" t="s">
        <v>1450</v>
      </c>
      <c r="ANY3" t="s">
        <v>1451</v>
      </c>
      <c r="ANZ3" t="s">
        <v>1452</v>
      </c>
      <c r="AOA3" t="s">
        <v>1453</v>
      </c>
      <c r="AOB3" t="s">
        <v>1454</v>
      </c>
      <c r="AOC3" t="s">
        <v>1455</v>
      </c>
      <c r="AOD3" t="s">
        <v>1456</v>
      </c>
      <c r="AOE3" t="s">
        <v>1457</v>
      </c>
      <c r="AOF3" t="s">
        <v>1458</v>
      </c>
      <c r="AOG3" t="s">
        <v>1459</v>
      </c>
      <c r="AOH3" t="s">
        <v>1460</v>
      </c>
      <c r="AOI3" t="s">
        <v>1461</v>
      </c>
      <c r="AOJ3" t="s">
        <v>1462</v>
      </c>
      <c r="AOK3" t="s">
        <v>1463</v>
      </c>
      <c r="AOL3" t="s">
        <v>1464</v>
      </c>
      <c r="AOM3" t="s">
        <v>1465</v>
      </c>
      <c r="AON3" t="s">
        <v>1466</v>
      </c>
      <c r="AOO3" t="s">
        <v>1467</v>
      </c>
      <c r="AOP3" t="s">
        <v>1468</v>
      </c>
      <c r="AOQ3" t="s">
        <v>1469</v>
      </c>
      <c r="AOR3" t="s">
        <v>1470</v>
      </c>
      <c r="AOS3" t="s">
        <v>1471</v>
      </c>
      <c r="AOT3" t="s">
        <v>1472</v>
      </c>
      <c r="AOU3" t="s">
        <v>1473</v>
      </c>
      <c r="AOV3" t="s">
        <v>1474</v>
      </c>
      <c r="AOW3" t="s">
        <v>1475</v>
      </c>
      <c r="AOX3" t="s">
        <v>1476</v>
      </c>
      <c r="AOY3" t="s">
        <v>1477</v>
      </c>
      <c r="AOZ3" t="s">
        <v>1478</v>
      </c>
      <c r="APA3" t="s">
        <v>1479</v>
      </c>
      <c r="APB3" t="s">
        <v>1480</v>
      </c>
      <c r="APC3" t="s">
        <v>1481</v>
      </c>
      <c r="APD3" t="s">
        <v>1482</v>
      </c>
      <c r="APE3" t="s">
        <v>1483</v>
      </c>
      <c r="APF3" t="s">
        <v>1484</v>
      </c>
      <c r="APG3" t="s">
        <v>1485</v>
      </c>
      <c r="APH3" t="s">
        <v>1486</v>
      </c>
      <c r="API3" t="s">
        <v>1487</v>
      </c>
      <c r="APJ3" t="s">
        <v>1488</v>
      </c>
      <c r="APK3" t="s">
        <v>1489</v>
      </c>
      <c r="APL3" t="s">
        <v>1490</v>
      </c>
      <c r="APM3" t="s">
        <v>1491</v>
      </c>
      <c r="APN3" t="s">
        <v>1492</v>
      </c>
      <c r="APO3" t="s">
        <v>1493</v>
      </c>
      <c r="APP3" t="s">
        <v>1494</v>
      </c>
      <c r="APQ3" t="s">
        <v>1495</v>
      </c>
      <c r="APR3" t="s">
        <v>1496</v>
      </c>
      <c r="APS3" t="s">
        <v>1497</v>
      </c>
      <c r="APT3" t="s">
        <v>1498</v>
      </c>
      <c r="APU3" t="s">
        <v>1499</v>
      </c>
      <c r="APV3" t="s">
        <v>1500</v>
      </c>
      <c r="APW3" t="s">
        <v>1501</v>
      </c>
      <c r="APX3" t="s">
        <v>1502</v>
      </c>
      <c r="APY3" t="s">
        <v>1503</v>
      </c>
      <c r="APZ3" t="s">
        <v>1504</v>
      </c>
      <c r="AQA3" t="s">
        <v>1505</v>
      </c>
      <c r="AQB3" t="s">
        <v>1506</v>
      </c>
      <c r="AQC3" t="s">
        <v>1507</v>
      </c>
      <c r="AQD3" t="s">
        <v>1508</v>
      </c>
      <c r="AQE3" t="s">
        <v>1509</v>
      </c>
      <c r="AQF3" t="s">
        <v>1510</v>
      </c>
      <c r="AQG3" t="s">
        <v>1511</v>
      </c>
      <c r="AQH3" t="s">
        <v>1512</v>
      </c>
      <c r="AQI3" t="s">
        <v>1513</v>
      </c>
      <c r="AQJ3" t="s">
        <v>1514</v>
      </c>
      <c r="AQK3" t="s">
        <v>1515</v>
      </c>
      <c r="AQL3" t="s">
        <v>1516</v>
      </c>
      <c r="AQM3" t="s">
        <v>1517</v>
      </c>
      <c r="AQN3" t="s">
        <v>1518</v>
      </c>
      <c r="AQO3" t="s">
        <v>1519</v>
      </c>
      <c r="AQP3" t="s">
        <v>1520</v>
      </c>
      <c r="AQQ3" t="s">
        <v>1521</v>
      </c>
      <c r="AQR3" t="s">
        <v>1522</v>
      </c>
      <c r="AQS3" t="s">
        <v>1523</v>
      </c>
      <c r="AQT3" t="s">
        <v>1524</v>
      </c>
      <c r="AQU3" t="s">
        <v>1525</v>
      </c>
      <c r="AQV3" t="s">
        <v>1526</v>
      </c>
      <c r="AQW3" t="s">
        <v>1527</v>
      </c>
      <c r="AQX3" t="s">
        <v>1528</v>
      </c>
      <c r="AQY3" t="s">
        <v>1529</v>
      </c>
      <c r="AQZ3" t="s">
        <v>1530</v>
      </c>
      <c r="ARA3" t="s">
        <v>1531</v>
      </c>
      <c r="ARB3" t="s">
        <v>1532</v>
      </c>
      <c r="ARC3" t="s">
        <v>1533</v>
      </c>
      <c r="ARD3" t="s">
        <v>1534</v>
      </c>
      <c r="ARE3" t="s">
        <v>1535</v>
      </c>
      <c r="ARF3" t="s">
        <v>1536</v>
      </c>
      <c r="ARG3" t="s">
        <v>1537</v>
      </c>
      <c r="ARH3" t="s">
        <v>1538</v>
      </c>
      <c r="ARI3" t="s">
        <v>1539</v>
      </c>
      <c r="ARJ3" t="s">
        <v>1540</v>
      </c>
      <c r="ARK3" t="s">
        <v>1541</v>
      </c>
      <c r="ARL3" t="s">
        <v>1542</v>
      </c>
      <c r="ARM3" t="s">
        <v>1543</v>
      </c>
      <c r="ARN3" t="s">
        <v>1544</v>
      </c>
      <c r="ARO3" t="s">
        <v>1545</v>
      </c>
      <c r="ARP3" t="s">
        <v>1546</v>
      </c>
      <c r="ARQ3" t="s">
        <v>1547</v>
      </c>
      <c r="ARR3" t="s">
        <v>1548</v>
      </c>
      <c r="ARS3" t="s">
        <v>1549</v>
      </c>
      <c r="ART3" t="s">
        <v>1550</v>
      </c>
      <c r="ARU3" t="s">
        <v>1551</v>
      </c>
      <c r="ARV3" t="s">
        <v>1552</v>
      </c>
      <c r="ARW3" t="s">
        <v>1553</v>
      </c>
      <c r="ARX3" t="s">
        <v>1554</v>
      </c>
      <c r="ARY3" t="s">
        <v>1555</v>
      </c>
      <c r="ARZ3" t="s">
        <v>1556</v>
      </c>
      <c r="ASA3" t="s">
        <v>1557</v>
      </c>
      <c r="ASB3" t="s">
        <v>1558</v>
      </c>
      <c r="ASC3" t="s">
        <v>1559</v>
      </c>
      <c r="ASD3" t="s">
        <v>1560</v>
      </c>
      <c r="ASE3" t="s">
        <v>1561</v>
      </c>
      <c r="ASF3" t="s">
        <v>1562</v>
      </c>
      <c r="ASG3" t="s">
        <v>1563</v>
      </c>
      <c r="ASH3" t="s">
        <v>1564</v>
      </c>
      <c r="ASI3" t="s">
        <v>1565</v>
      </c>
      <c r="ASJ3" t="s">
        <v>1566</v>
      </c>
      <c r="ASK3" t="s">
        <v>1567</v>
      </c>
      <c r="ASL3" t="s">
        <v>1568</v>
      </c>
      <c r="ASM3" t="s">
        <v>1569</v>
      </c>
      <c r="ASN3" t="s">
        <v>1570</v>
      </c>
      <c r="ASO3" t="s">
        <v>1571</v>
      </c>
      <c r="ASP3" t="s">
        <v>1572</v>
      </c>
      <c r="ASQ3" t="s">
        <v>1573</v>
      </c>
      <c r="ASR3" t="s">
        <v>1574</v>
      </c>
      <c r="ASS3" t="s">
        <v>1575</v>
      </c>
      <c r="AST3" t="s">
        <v>1576</v>
      </c>
      <c r="ASU3" t="s">
        <v>1577</v>
      </c>
      <c r="ASV3" t="s">
        <v>1578</v>
      </c>
      <c r="ASW3" t="s">
        <v>1579</v>
      </c>
      <c r="ASX3" t="s">
        <v>1580</v>
      </c>
      <c r="ASY3" t="s">
        <v>1581</v>
      </c>
      <c r="ASZ3" t="s">
        <v>1582</v>
      </c>
      <c r="ATA3" t="s">
        <v>1583</v>
      </c>
      <c r="ATB3" t="s">
        <v>1584</v>
      </c>
      <c r="ATC3" t="s">
        <v>1585</v>
      </c>
      <c r="ATD3" t="s">
        <v>1586</v>
      </c>
      <c r="ATE3" t="s">
        <v>1587</v>
      </c>
      <c r="ATF3" t="s">
        <v>1588</v>
      </c>
      <c r="ATG3" t="s">
        <v>1589</v>
      </c>
      <c r="ATH3" t="s">
        <v>1590</v>
      </c>
      <c r="ATI3" t="s">
        <v>1591</v>
      </c>
      <c r="ATJ3" t="s">
        <v>1592</v>
      </c>
      <c r="ATK3" t="s">
        <v>1593</v>
      </c>
      <c r="ATL3" t="s">
        <v>1594</v>
      </c>
      <c r="ATM3" t="s">
        <v>1595</v>
      </c>
      <c r="ATN3" t="s">
        <v>1596</v>
      </c>
      <c r="ATO3" t="s">
        <v>1597</v>
      </c>
      <c r="ATP3" t="s">
        <v>1598</v>
      </c>
      <c r="ATQ3" t="s">
        <v>1599</v>
      </c>
      <c r="ATR3" t="s">
        <v>1600</v>
      </c>
      <c r="ATS3" t="s">
        <v>1601</v>
      </c>
      <c r="ATT3" t="s">
        <v>1602</v>
      </c>
      <c r="ATU3" t="s">
        <v>1603</v>
      </c>
      <c r="ATV3" t="s">
        <v>1604</v>
      </c>
      <c r="ATW3" t="s">
        <v>1605</v>
      </c>
      <c r="ATX3" t="s">
        <v>1606</v>
      </c>
      <c r="ATY3" t="s">
        <v>1607</v>
      </c>
      <c r="ATZ3" t="s">
        <v>1608</v>
      </c>
      <c r="AUA3" t="s">
        <v>1609</v>
      </c>
      <c r="AUB3" t="s">
        <v>1610</v>
      </c>
      <c r="AUC3" t="s">
        <v>1611</v>
      </c>
      <c r="AUD3" t="s">
        <v>1612</v>
      </c>
      <c r="AUE3" t="s">
        <v>1613</v>
      </c>
      <c r="AUF3" t="s">
        <v>1614</v>
      </c>
      <c r="AUG3" t="s">
        <v>1615</v>
      </c>
      <c r="AUH3" t="s">
        <v>1616</v>
      </c>
      <c r="AUI3" t="s">
        <v>1617</v>
      </c>
      <c r="AUJ3" t="s">
        <v>1618</v>
      </c>
      <c r="AUK3" t="s">
        <v>1619</v>
      </c>
      <c r="AUL3" t="s">
        <v>1620</v>
      </c>
      <c r="AUM3" t="s">
        <v>1621</v>
      </c>
      <c r="AUN3" t="s">
        <v>1622</v>
      </c>
      <c r="AUO3" t="s">
        <v>1623</v>
      </c>
      <c r="AUP3" t="s">
        <v>1624</v>
      </c>
      <c r="AUQ3" t="s">
        <v>1625</v>
      </c>
      <c r="AUR3" t="s">
        <v>1626</v>
      </c>
      <c r="AUS3" t="s">
        <v>1627</v>
      </c>
      <c r="AUT3" t="s">
        <v>1628</v>
      </c>
      <c r="AUU3" t="s">
        <v>1629</v>
      </c>
      <c r="AUV3" t="s">
        <v>1630</v>
      </c>
      <c r="AUW3" t="s">
        <v>1631</v>
      </c>
      <c r="AUX3" t="s">
        <v>1632</v>
      </c>
      <c r="AUY3" t="s">
        <v>1633</v>
      </c>
      <c r="AUZ3" t="s">
        <v>1634</v>
      </c>
      <c r="AVA3" t="s">
        <v>1635</v>
      </c>
      <c r="AVB3" t="s">
        <v>1636</v>
      </c>
      <c r="AVC3" t="s">
        <v>1637</v>
      </c>
      <c r="AVD3" t="s">
        <v>1638</v>
      </c>
      <c r="AVE3" t="s">
        <v>1639</v>
      </c>
      <c r="AVF3" t="s">
        <v>1640</v>
      </c>
      <c r="AVG3" t="s">
        <v>1641</v>
      </c>
      <c r="AVH3" t="s">
        <v>1642</v>
      </c>
      <c r="AVI3" t="s">
        <v>1643</v>
      </c>
      <c r="AVJ3" t="s">
        <v>1644</v>
      </c>
      <c r="AVK3" t="s">
        <v>1645</v>
      </c>
      <c r="AVL3" t="s">
        <v>1646</v>
      </c>
      <c r="AVM3" t="s">
        <v>1647</v>
      </c>
      <c r="AVN3" t="s">
        <v>1648</v>
      </c>
      <c r="AVO3" t="s">
        <v>1649</v>
      </c>
      <c r="AVP3" t="s">
        <v>1650</v>
      </c>
      <c r="AVQ3" t="s">
        <v>1651</v>
      </c>
      <c r="AVR3" t="s">
        <v>1652</v>
      </c>
      <c r="AVS3" t="s">
        <v>1653</v>
      </c>
      <c r="AVT3" t="s">
        <v>1654</v>
      </c>
      <c r="AVU3" t="s">
        <v>1655</v>
      </c>
      <c r="AVV3" t="s">
        <v>1656</v>
      </c>
      <c r="AVW3" t="s">
        <v>1657</v>
      </c>
      <c r="AVX3" t="s">
        <v>1658</v>
      </c>
      <c r="AVY3" t="s">
        <v>1659</v>
      </c>
      <c r="AVZ3" t="s">
        <v>1660</v>
      </c>
      <c r="AWA3" t="s">
        <v>1661</v>
      </c>
      <c r="AWB3" t="s">
        <v>1662</v>
      </c>
      <c r="AWC3" t="s">
        <v>1663</v>
      </c>
      <c r="AWD3" t="s">
        <v>1664</v>
      </c>
      <c r="AWE3" t="s">
        <v>1665</v>
      </c>
      <c r="AWF3" t="s">
        <v>1666</v>
      </c>
      <c r="AWG3" t="s">
        <v>1667</v>
      </c>
      <c r="AWH3" t="s">
        <v>1668</v>
      </c>
      <c r="AWI3" t="s">
        <v>1669</v>
      </c>
      <c r="AWJ3" t="s">
        <v>1670</v>
      </c>
      <c r="AWK3" t="s">
        <v>1671</v>
      </c>
      <c r="AWL3" t="s">
        <v>1672</v>
      </c>
      <c r="AWM3" t="s">
        <v>1673</v>
      </c>
      <c r="AWN3" t="s">
        <v>1674</v>
      </c>
      <c r="AWO3" t="s">
        <v>1675</v>
      </c>
      <c r="AWP3" t="s">
        <v>1676</v>
      </c>
      <c r="AWQ3" t="s">
        <v>1677</v>
      </c>
      <c r="AWR3" t="s">
        <v>1678</v>
      </c>
      <c r="AWS3" t="s">
        <v>1679</v>
      </c>
      <c r="AWT3" t="s">
        <v>1680</v>
      </c>
      <c r="AWU3" t="s">
        <v>1681</v>
      </c>
      <c r="AWV3" t="s">
        <v>1682</v>
      </c>
      <c r="AWW3" t="s">
        <v>1683</v>
      </c>
      <c r="AWX3" t="s">
        <v>1684</v>
      </c>
      <c r="AWY3" t="s">
        <v>1685</v>
      </c>
      <c r="AWZ3" t="s">
        <v>1686</v>
      </c>
      <c r="AXA3" t="s">
        <v>1687</v>
      </c>
      <c r="AXB3" t="s">
        <v>1688</v>
      </c>
      <c r="AXC3" t="s">
        <v>1689</v>
      </c>
      <c r="AXD3" t="s">
        <v>1690</v>
      </c>
      <c r="AXE3" t="s">
        <v>1691</v>
      </c>
      <c r="AXF3" t="s">
        <v>1692</v>
      </c>
      <c r="AXG3" t="s">
        <v>1693</v>
      </c>
      <c r="AXH3" t="s">
        <v>1694</v>
      </c>
      <c r="AXI3" t="s">
        <v>1695</v>
      </c>
      <c r="AXJ3" t="s">
        <v>1696</v>
      </c>
      <c r="AXK3" t="s">
        <v>1697</v>
      </c>
      <c r="AXL3" t="s">
        <v>1698</v>
      </c>
      <c r="AXM3" t="s">
        <v>1699</v>
      </c>
      <c r="AXN3" t="s">
        <v>1700</v>
      </c>
      <c r="AXO3" t="s">
        <v>1701</v>
      </c>
      <c r="AXP3" t="s">
        <v>1702</v>
      </c>
      <c r="AXQ3" t="s">
        <v>1703</v>
      </c>
      <c r="AXR3" t="s">
        <v>1704</v>
      </c>
      <c r="AXS3" t="s">
        <v>1705</v>
      </c>
      <c r="AXT3" t="s">
        <v>1706</v>
      </c>
      <c r="AXU3" t="s">
        <v>1707</v>
      </c>
      <c r="AXV3" t="s">
        <v>1708</v>
      </c>
      <c r="AXW3" t="s">
        <v>1709</v>
      </c>
      <c r="AXX3" t="s">
        <v>1710</v>
      </c>
      <c r="AXY3" t="s">
        <v>1711</v>
      </c>
      <c r="AXZ3" t="s">
        <v>1712</v>
      </c>
      <c r="AYA3" t="s">
        <v>1713</v>
      </c>
      <c r="AYB3" t="s">
        <v>1714</v>
      </c>
      <c r="AYC3" t="s">
        <v>1715</v>
      </c>
      <c r="AYD3" t="s">
        <v>1716</v>
      </c>
      <c r="AYE3" t="s">
        <v>1717</v>
      </c>
      <c r="AYF3" t="s">
        <v>1718</v>
      </c>
      <c r="AYG3" t="s">
        <v>1719</v>
      </c>
      <c r="AYH3" t="s">
        <v>1720</v>
      </c>
      <c r="AYI3" t="s">
        <v>1721</v>
      </c>
      <c r="AYJ3" t="s">
        <v>1722</v>
      </c>
      <c r="AYK3" t="s">
        <v>1723</v>
      </c>
      <c r="AYL3" t="s">
        <v>1724</v>
      </c>
      <c r="AYM3" t="s">
        <v>1725</v>
      </c>
      <c r="AYN3" t="s">
        <v>1726</v>
      </c>
      <c r="AYO3" t="s">
        <v>1727</v>
      </c>
      <c r="AYP3" t="s">
        <v>1728</v>
      </c>
      <c r="AYQ3" t="s">
        <v>1729</v>
      </c>
      <c r="AYR3" t="s">
        <v>1730</v>
      </c>
      <c r="AYS3" t="s">
        <v>1731</v>
      </c>
      <c r="AYT3" t="s">
        <v>1732</v>
      </c>
      <c r="AYU3" t="s">
        <v>1733</v>
      </c>
      <c r="AYV3" t="s">
        <v>1734</v>
      </c>
      <c r="AYW3" t="s">
        <v>1735</v>
      </c>
      <c r="AYX3" t="s">
        <v>1736</v>
      </c>
      <c r="AYY3" t="s">
        <v>1737</v>
      </c>
      <c r="AYZ3" t="s">
        <v>1738</v>
      </c>
      <c r="AZA3" t="s">
        <v>1739</v>
      </c>
      <c r="AZB3" t="s">
        <v>1740</v>
      </c>
      <c r="AZC3" t="s">
        <v>1741</v>
      </c>
      <c r="AZD3" t="s">
        <v>1742</v>
      </c>
      <c r="AZE3" t="s">
        <v>1743</v>
      </c>
      <c r="AZF3" t="s">
        <v>1744</v>
      </c>
      <c r="AZG3" t="s">
        <v>1745</v>
      </c>
      <c r="AZH3" t="s">
        <v>1746</v>
      </c>
      <c r="AZI3" t="s">
        <v>1747</v>
      </c>
      <c r="AZJ3" t="s">
        <v>1748</v>
      </c>
      <c r="AZK3" t="s">
        <v>1749</v>
      </c>
      <c r="AZL3" t="s">
        <v>1750</v>
      </c>
      <c r="AZM3" t="s">
        <v>1751</v>
      </c>
      <c r="AZN3" t="s">
        <v>1752</v>
      </c>
      <c r="AZO3" t="s">
        <v>1753</v>
      </c>
      <c r="AZP3" t="s">
        <v>1754</v>
      </c>
      <c r="AZQ3" t="s">
        <v>1755</v>
      </c>
      <c r="AZR3" t="s">
        <v>1756</v>
      </c>
      <c r="AZS3" t="s">
        <v>1757</v>
      </c>
      <c r="AZT3" t="s">
        <v>1758</v>
      </c>
      <c r="AZU3" t="s">
        <v>1759</v>
      </c>
      <c r="AZV3" t="s">
        <v>1760</v>
      </c>
      <c r="AZW3" t="s">
        <v>1761</v>
      </c>
      <c r="AZX3" t="s">
        <v>1762</v>
      </c>
      <c r="AZY3" t="s">
        <v>1763</v>
      </c>
      <c r="AZZ3" t="s">
        <v>1764</v>
      </c>
      <c r="BAA3" t="s">
        <v>1765</v>
      </c>
      <c r="BAB3" t="s">
        <v>1766</v>
      </c>
      <c r="BAC3" t="s">
        <v>1767</v>
      </c>
      <c r="BAD3" t="s">
        <v>1768</v>
      </c>
      <c r="BAE3" t="s">
        <v>1769</v>
      </c>
      <c r="BAF3" t="s">
        <v>1770</v>
      </c>
      <c r="BAG3" t="s">
        <v>1771</v>
      </c>
      <c r="BAH3" t="s">
        <v>1772</v>
      </c>
      <c r="BAI3" t="s">
        <v>1773</v>
      </c>
      <c r="BAJ3" t="s">
        <v>1774</v>
      </c>
      <c r="BAK3" t="s">
        <v>1775</v>
      </c>
      <c r="BAL3" t="s">
        <v>1776</v>
      </c>
      <c r="BAM3" t="s">
        <v>1777</v>
      </c>
      <c r="BAN3" t="s">
        <v>1778</v>
      </c>
      <c r="BAO3" t="s">
        <v>1779</v>
      </c>
      <c r="BAP3" t="s">
        <v>1780</v>
      </c>
      <c r="BAQ3" t="s">
        <v>1781</v>
      </c>
      <c r="BAR3" t="s">
        <v>1782</v>
      </c>
      <c r="BAS3" t="s">
        <v>1783</v>
      </c>
      <c r="BAT3" t="s">
        <v>1784</v>
      </c>
      <c r="BAU3" t="s">
        <v>1785</v>
      </c>
      <c r="BAV3" t="s">
        <v>1786</v>
      </c>
      <c r="BAW3" t="s">
        <v>1787</v>
      </c>
      <c r="BAX3" t="s">
        <v>1788</v>
      </c>
      <c r="BAY3" t="s">
        <v>1789</v>
      </c>
      <c r="BAZ3" t="s">
        <v>1790</v>
      </c>
      <c r="BBA3" t="s">
        <v>1791</v>
      </c>
      <c r="BBB3" t="s">
        <v>1792</v>
      </c>
      <c r="BBC3" t="s">
        <v>1793</v>
      </c>
      <c r="BBD3" t="s">
        <v>1794</v>
      </c>
      <c r="BBE3" t="s">
        <v>1795</v>
      </c>
      <c r="BBF3" t="s">
        <v>1796</v>
      </c>
      <c r="BBG3" t="s">
        <v>1797</v>
      </c>
      <c r="BBH3" t="s">
        <v>1798</v>
      </c>
      <c r="BBI3" t="s">
        <v>1799</v>
      </c>
      <c r="BBJ3" t="s">
        <v>1800</v>
      </c>
      <c r="BBK3" t="s">
        <v>1801</v>
      </c>
      <c r="BBL3" t="s">
        <v>1802</v>
      </c>
      <c r="BBM3" t="s">
        <v>1803</v>
      </c>
      <c r="BBN3" t="s">
        <v>1804</v>
      </c>
      <c r="BBO3" t="s">
        <v>1805</v>
      </c>
      <c r="BBP3" t="s">
        <v>1806</v>
      </c>
      <c r="BBQ3" t="s">
        <v>1807</v>
      </c>
      <c r="BBR3" t="s">
        <v>1808</v>
      </c>
      <c r="BBS3" t="s">
        <v>1809</v>
      </c>
      <c r="BBT3" t="s">
        <v>1810</v>
      </c>
      <c r="BBU3" t="s">
        <v>1811</v>
      </c>
      <c r="BBV3" t="s">
        <v>1812</v>
      </c>
      <c r="BBW3" t="s">
        <v>1813</v>
      </c>
      <c r="BBX3" t="s">
        <v>1814</v>
      </c>
      <c r="BBY3" t="s">
        <v>1815</v>
      </c>
      <c r="BBZ3" t="s">
        <v>1816</v>
      </c>
      <c r="BCA3" t="s">
        <v>1817</v>
      </c>
      <c r="BCB3" t="s">
        <v>1818</v>
      </c>
      <c r="BCC3" t="s">
        <v>1819</v>
      </c>
      <c r="BCD3" t="s">
        <v>1820</v>
      </c>
      <c r="BCE3" t="s">
        <v>1821</v>
      </c>
      <c r="BCF3" t="s">
        <v>1822</v>
      </c>
      <c r="BCG3" t="s">
        <v>1823</v>
      </c>
      <c r="BCH3" t="s">
        <v>1824</v>
      </c>
      <c r="BCI3" t="s">
        <v>1825</v>
      </c>
      <c r="BCJ3" t="s">
        <v>1826</v>
      </c>
      <c r="BCK3" t="s">
        <v>1827</v>
      </c>
      <c r="BCL3" t="s">
        <v>1828</v>
      </c>
      <c r="BCM3" t="s">
        <v>1829</v>
      </c>
      <c r="BCN3" t="s">
        <v>1830</v>
      </c>
      <c r="BCO3" t="s">
        <v>1831</v>
      </c>
      <c r="BCP3" t="s">
        <v>1832</v>
      </c>
      <c r="BCQ3" t="s">
        <v>1833</v>
      </c>
      <c r="BCR3" t="s">
        <v>1834</v>
      </c>
      <c r="BCS3" t="s">
        <v>1835</v>
      </c>
      <c r="BCT3" t="s">
        <v>1836</v>
      </c>
      <c r="BCU3" t="s">
        <v>1837</v>
      </c>
      <c r="BCV3" t="s">
        <v>1838</v>
      </c>
      <c r="BCW3" t="s">
        <v>1839</v>
      </c>
      <c r="BCX3" t="s">
        <v>1840</v>
      </c>
      <c r="BCY3" t="s">
        <v>1841</v>
      </c>
      <c r="BCZ3" t="s">
        <v>1842</v>
      </c>
      <c r="BDA3" t="s">
        <v>1843</v>
      </c>
      <c r="BDB3" t="s">
        <v>1844</v>
      </c>
      <c r="BDC3" t="s">
        <v>1845</v>
      </c>
      <c r="BDD3" t="s">
        <v>1846</v>
      </c>
      <c r="BDE3" t="s">
        <v>1847</v>
      </c>
      <c r="BDF3" t="s">
        <v>1848</v>
      </c>
      <c r="BDG3" t="s">
        <v>1849</v>
      </c>
      <c r="BDH3" t="s">
        <v>1850</v>
      </c>
      <c r="BDI3" t="s">
        <v>1851</v>
      </c>
      <c r="BDJ3" t="s">
        <v>1852</v>
      </c>
      <c r="BDK3" t="s">
        <v>1853</v>
      </c>
      <c r="BDL3" t="s">
        <v>1854</v>
      </c>
      <c r="BDM3" t="s">
        <v>1855</v>
      </c>
      <c r="BDN3" t="s">
        <v>1856</v>
      </c>
      <c r="BDO3" t="s">
        <v>1857</v>
      </c>
      <c r="BDP3" t="s">
        <v>1858</v>
      </c>
      <c r="BDQ3" t="s">
        <v>1859</v>
      </c>
      <c r="BDR3" t="s">
        <v>1860</v>
      </c>
      <c r="BDS3" t="s">
        <v>1861</v>
      </c>
      <c r="BDT3" t="s">
        <v>1862</v>
      </c>
      <c r="BDU3" t="s">
        <v>1863</v>
      </c>
      <c r="BDV3" t="s">
        <v>1864</v>
      </c>
      <c r="BDW3" t="s">
        <v>1865</v>
      </c>
      <c r="BDX3" t="s">
        <v>1866</v>
      </c>
      <c r="BDY3" t="s">
        <v>1867</v>
      </c>
      <c r="BDZ3" t="s">
        <v>1868</v>
      </c>
      <c r="BEA3" t="s">
        <v>1869</v>
      </c>
      <c r="BEB3" t="s">
        <v>1870</v>
      </c>
      <c r="BEC3" t="s">
        <v>1871</v>
      </c>
      <c r="BED3" t="s">
        <v>1872</v>
      </c>
      <c r="BEE3" t="s">
        <v>1873</v>
      </c>
      <c r="BEF3" t="s">
        <v>1874</v>
      </c>
      <c r="BEG3" t="s">
        <v>1875</v>
      </c>
      <c r="BEH3" t="s">
        <v>1876</v>
      </c>
      <c r="BEI3" t="s">
        <v>1877</v>
      </c>
      <c r="BEJ3" t="s">
        <v>1878</v>
      </c>
      <c r="BEK3" t="s">
        <v>1879</v>
      </c>
      <c r="BEL3" t="s">
        <v>1880</v>
      </c>
      <c r="BEM3" t="s">
        <v>1881</v>
      </c>
      <c r="BEN3" t="s">
        <v>1882</v>
      </c>
      <c r="BEO3" t="s">
        <v>1883</v>
      </c>
      <c r="BEP3" t="s">
        <v>1884</v>
      </c>
      <c r="BEQ3" t="s">
        <v>1885</v>
      </c>
      <c r="BER3" t="s">
        <v>1886</v>
      </c>
      <c r="BES3" t="s">
        <v>1887</v>
      </c>
      <c r="BET3" t="s">
        <v>1888</v>
      </c>
      <c r="BEU3" t="s">
        <v>1889</v>
      </c>
      <c r="BEV3" t="s">
        <v>1890</v>
      </c>
      <c r="BEW3" t="s">
        <v>1891</v>
      </c>
      <c r="BEX3" t="s">
        <v>1892</v>
      </c>
      <c r="BEY3" t="s">
        <v>1893</v>
      </c>
      <c r="BEZ3" t="s">
        <v>1894</v>
      </c>
      <c r="BFA3" t="s">
        <v>1895</v>
      </c>
      <c r="BFB3" t="s">
        <v>1896</v>
      </c>
      <c r="BFC3" t="s">
        <v>1897</v>
      </c>
      <c r="BFD3" t="s">
        <v>1898</v>
      </c>
      <c r="BFE3" t="s">
        <v>1899</v>
      </c>
      <c r="BFF3" t="s">
        <v>1900</v>
      </c>
      <c r="BFG3" t="s">
        <v>1901</v>
      </c>
      <c r="BFH3" t="s">
        <v>1902</v>
      </c>
      <c r="BFI3" t="s">
        <v>1903</v>
      </c>
      <c r="BFJ3" t="s">
        <v>1904</v>
      </c>
      <c r="BFK3" t="s">
        <v>1905</v>
      </c>
      <c r="BFL3" t="s">
        <v>1906</v>
      </c>
      <c r="BFM3" t="s">
        <v>1907</v>
      </c>
      <c r="BFN3" t="s">
        <v>1908</v>
      </c>
      <c r="BFO3" t="s">
        <v>1909</v>
      </c>
      <c r="BFP3" t="s">
        <v>1910</v>
      </c>
      <c r="BFQ3" t="s">
        <v>1911</v>
      </c>
      <c r="BFR3" t="s">
        <v>1912</v>
      </c>
      <c r="BFS3" t="s">
        <v>1913</v>
      </c>
      <c r="BFT3" t="s">
        <v>1914</v>
      </c>
      <c r="BFU3" t="s">
        <v>1915</v>
      </c>
      <c r="BFV3" t="s">
        <v>1916</v>
      </c>
      <c r="BFW3" t="s">
        <v>1917</v>
      </c>
      <c r="BFX3" t="s">
        <v>1918</v>
      </c>
      <c r="BFY3" t="s">
        <v>1919</v>
      </c>
      <c r="BFZ3" t="s">
        <v>1920</v>
      </c>
      <c r="BGA3" t="s">
        <v>1921</v>
      </c>
      <c r="BGB3" t="s">
        <v>1922</v>
      </c>
      <c r="BGC3" t="s">
        <v>1923</v>
      </c>
      <c r="BGD3" t="s">
        <v>1924</v>
      </c>
      <c r="BGE3" t="s">
        <v>1925</v>
      </c>
      <c r="BGF3" t="s">
        <v>1926</v>
      </c>
      <c r="BGG3" t="s">
        <v>1927</v>
      </c>
      <c r="BGH3" t="s">
        <v>1928</v>
      </c>
      <c r="BGI3" t="s">
        <v>1929</v>
      </c>
      <c r="BGJ3" t="s">
        <v>1930</v>
      </c>
      <c r="BGK3" t="s">
        <v>1931</v>
      </c>
      <c r="BGL3" t="s">
        <v>1932</v>
      </c>
      <c r="BGM3" t="s">
        <v>1933</v>
      </c>
      <c r="BGN3" t="s">
        <v>1934</v>
      </c>
      <c r="BGO3" t="s">
        <v>1935</v>
      </c>
      <c r="BGP3" t="s">
        <v>1936</v>
      </c>
      <c r="BGQ3" t="s">
        <v>1937</v>
      </c>
      <c r="BGR3" t="s">
        <v>1938</v>
      </c>
      <c r="BGS3" t="s">
        <v>1939</v>
      </c>
      <c r="BGT3" t="s">
        <v>1940</v>
      </c>
      <c r="BGU3" t="s">
        <v>1941</v>
      </c>
      <c r="BGV3" t="s">
        <v>1942</v>
      </c>
      <c r="BGW3" t="s">
        <v>1943</v>
      </c>
      <c r="BGX3" t="s">
        <v>1944</v>
      </c>
      <c r="BGY3" t="s">
        <v>1945</v>
      </c>
      <c r="BGZ3" t="s">
        <v>1946</v>
      </c>
      <c r="BHA3" t="s">
        <v>1947</v>
      </c>
      <c r="BHB3" t="s">
        <v>1948</v>
      </c>
      <c r="BHC3" t="s">
        <v>1949</v>
      </c>
      <c r="BHD3" t="s">
        <v>1950</v>
      </c>
      <c r="BHE3" t="s">
        <v>1951</v>
      </c>
      <c r="BHF3" t="s">
        <v>1952</v>
      </c>
      <c r="BHG3" t="s">
        <v>1953</v>
      </c>
      <c r="BHH3" t="s">
        <v>1954</v>
      </c>
      <c r="BHI3" t="s">
        <v>1955</v>
      </c>
      <c r="BHJ3" t="s">
        <v>1956</v>
      </c>
      <c r="BHK3" t="s">
        <v>1957</v>
      </c>
      <c r="BHL3" t="s">
        <v>1958</v>
      </c>
      <c r="BHM3" t="s">
        <v>1959</v>
      </c>
      <c r="BHN3" t="s">
        <v>1960</v>
      </c>
      <c r="BHO3" t="s">
        <v>1961</v>
      </c>
      <c r="BHP3" t="s">
        <v>1962</v>
      </c>
      <c r="BHQ3" t="s">
        <v>1963</v>
      </c>
      <c r="BHR3" t="s">
        <v>1964</v>
      </c>
      <c r="BHS3" t="s">
        <v>1965</v>
      </c>
      <c r="BHT3" t="s">
        <v>1966</v>
      </c>
      <c r="BHU3" t="s">
        <v>1967</v>
      </c>
      <c r="BHV3" t="s">
        <v>1968</v>
      </c>
      <c r="BHW3" t="s">
        <v>1969</v>
      </c>
      <c r="BHX3" t="s">
        <v>1970</v>
      </c>
      <c r="BHY3" t="s">
        <v>1971</v>
      </c>
      <c r="BHZ3" t="s">
        <v>1972</v>
      </c>
      <c r="BIA3" t="s">
        <v>1973</v>
      </c>
      <c r="BIB3" t="s">
        <v>1974</v>
      </c>
      <c r="BIC3" t="s">
        <v>1975</v>
      </c>
      <c r="BID3" t="s">
        <v>1976</v>
      </c>
      <c r="BIE3" t="s">
        <v>1977</v>
      </c>
      <c r="BIF3" t="s">
        <v>1978</v>
      </c>
      <c r="BIG3" t="s">
        <v>1979</v>
      </c>
      <c r="BIH3" t="s">
        <v>1980</v>
      </c>
      <c r="BII3" t="s">
        <v>1981</v>
      </c>
      <c r="BIJ3" t="s">
        <v>1982</v>
      </c>
      <c r="BIK3" t="s">
        <v>1983</v>
      </c>
      <c r="BIL3" t="s">
        <v>1984</v>
      </c>
      <c r="BIM3" t="s">
        <v>1985</v>
      </c>
      <c r="BIN3" t="s">
        <v>1986</v>
      </c>
      <c r="BIO3" t="s">
        <v>1987</v>
      </c>
      <c r="BIP3" t="s">
        <v>1988</v>
      </c>
      <c r="BIQ3" t="s">
        <v>1989</v>
      </c>
      <c r="BIR3" t="s">
        <v>1990</v>
      </c>
      <c r="BIS3" t="s">
        <v>1991</v>
      </c>
      <c r="BIT3" t="s">
        <v>1992</v>
      </c>
      <c r="BIU3" t="s">
        <v>1993</v>
      </c>
      <c r="BIV3" t="s">
        <v>1994</v>
      </c>
      <c r="BIW3" t="s">
        <v>1995</v>
      </c>
      <c r="BIX3" t="s">
        <v>1996</v>
      </c>
      <c r="BIY3" t="s">
        <v>1997</v>
      </c>
      <c r="BIZ3" t="s">
        <v>1998</v>
      </c>
      <c r="BJA3" t="s">
        <v>1999</v>
      </c>
      <c r="BJB3" t="s">
        <v>2000</v>
      </c>
      <c r="BJC3" t="s">
        <v>2001</v>
      </c>
      <c r="BJD3" t="s">
        <v>2002</v>
      </c>
      <c r="BJE3" t="s">
        <v>2003</v>
      </c>
      <c r="BJF3" t="s">
        <v>2004</v>
      </c>
      <c r="BJG3" t="s">
        <v>2005</v>
      </c>
      <c r="BJH3" t="s">
        <v>2006</v>
      </c>
      <c r="BJI3" t="s">
        <v>2007</v>
      </c>
      <c r="BJJ3" t="s">
        <v>2008</v>
      </c>
      <c r="BJK3" t="s">
        <v>2009</v>
      </c>
      <c r="BJL3" t="s">
        <v>2010</v>
      </c>
      <c r="BJM3" t="s">
        <v>2011</v>
      </c>
      <c r="BJN3" t="s">
        <v>2012</v>
      </c>
      <c r="BJO3" t="s">
        <v>2013</v>
      </c>
      <c r="BJP3" t="s">
        <v>2014</v>
      </c>
      <c r="BJQ3" t="s">
        <v>2015</v>
      </c>
      <c r="BJR3" t="s">
        <v>2016</v>
      </c>
      <c r="BJS3" t="s">
        <v>2017</v>
      </c>
      <c r="BJT3" t="s">
        <v>2018</v>
      </c>
      <c r="BJU3" t="s">
        <v>2019</v>
      </c>
      <c r="BJV3" t="s">
        <v>2020</v>
      </c>
      <c r="BJW3" t="s">
        <v>2021</v>
      </c>
      <c r="BJX3" t="s">
        <v>2022</v>
      </c>
      <c r="BJY3" t="s">
        <v>2023</v>
      </c>
      <c r="BJZ3" t="s">
        <v>2024</v>
      </c>
      <c r="BKA3" t="s">
        <v>2025</v>
      </c>
      <c r="BKB3" t="s">
        <v>2026</v>
      </c>
      <c r="BKC3" t="s">
        <v>2027</v>
      </c>
      <c r="BKD3" t="s">
        <v>2028</v>
      </c>
      <c r="BKE3" t="s">
        <v>2029</v>
      </c>
      <c r="BKF3" t="s">
        <v>2030</v>
      </c>
      <c r="BKG3" t="s">
        <v>2031</v>
      </c>
      <c r="BKH3" t="s">
        <v>2032</v>
      </c>
      <c r="BKI3" t="s">
        <v>2033</v>
      </c>
      <c r="BKJ3" t="s">
        <v>2034</v>
      </c>
      <c r="BKK3" t="s">
        <v>2035</v>
      </c>
      <c r="BKL3" t="s">
        <v>2036</v>
      </c>
      <c r="BKM3" t="s">
        <v>2037</v>
      </c>
      <c r="BKN3" t="s">
        <v>2038</v>
      </c>
      <c r="BKO3" t="s">
        <v>2039</v>
      </c>
      <c r="BKP3" t="s">
        <v>2040</v>
      </c>
      <c r="BKQ3" t="s">
        <v>2041</v>
      </c>
      <c r="BKR3" t="s">
        <v>2042</v>
      </c>
      <c r="BKS3" t="s">
        <v>2043</v>
      </c>
      <c r="BKT3" t="s">
        <v>2044</v>
      </c>
      <c r="BKU3" t="s">
        <v>2045</v>
      </c>
      <c r="BKV3" t="s">
        <v>2046</v>
      </c>
      <c r="BKW3" t="s">
        <v>2047</v>
      </c>
      <c r="BKX3" t="s">
        <v>2048</v>
      </c>
      <c r="BKY3" t="s">
        <v>2049</v>
      </c>
      <c r="BKZ3" t="s">
        <v>2050</v>
      </c>
      <c r="BLA3" t="s">
        <v>2051</v>
      </c>
      <c r="BLB3" t="s">
        <v>2052</v>
      </c>
      <c r="BLC3" t="s">
        <v>2053</v>
      </c>
      <c r="BLD3" t="s">
        <v>2054</v>
      </c>
      <c r="BLE3" t="s">
        <v>2055</v>
      </c>
      <c r="BLF3" t="s">
        <v>2056</v>
      </c>
      <c r="BLG3" t="s">
        <v>2057</v>
      </c>
      <c r="BLH3" t="s">
        <v>2058</v>
      </c>
      <c r="BLI3" t="s">
        <v>2059</v>
      </c>
      <c r="BLJ3" t="s">
        <v>2060</v>
      </c>
      <c r="BLK3" t="s">
        <v>2061</v>
      </c>
      <c r="BLL3" t="s">
        <v>2062</v>
      </c>
      <c r="BLM3" t="s">
        <v>2063</v>
      </c>
      <c r="BLN3" t="s">
        <v>2064</v>
      </c>
      <c r="BLO3" t="s">
        <v>2065</v>
      </c>
      <c r="BLP3" t="s">
        <v>2066</v>
      </c>
      <c r="BLQ3" t="s">
        <v>2067</v>
      </c>
      <c r="BLR3" t="s">
        <v>2068</v>
      </c>
      <c r="BLS3" t="s">
        <v>2069</v>
      </c>
      <c r="BLT3" t="s">
        <v>2070</v>
      </c>
      <c r="BLU3" t="s">
        <v>2071</v>
      </c>
      <c r="BLV3" t="s">
        <v>2072</v>
      </c>
      <c r="BLW3" t="s">
        <v>2073</v>
      </c>
      <c r="BLX3" t="s">
        <v>2074</v>
      </c>
      <c r="BLY3" t="s">
        <v>2075</v>
      </c>
      <c r="BLZ3" t="s">
        <v>2076</v>
      </c>
      <c r="BMA3" t="s">
        <v>2077</v>
      </c>
      <c r="BMB3" t="s">
        <v>2078</v>
      </c>
      <c r="BMC3" t="s">
        <v>2079</v>
      </c>
      <c r="BMD3" t="s">
        <v>2080</v>
      </c>
      <c r="BME3" t="s">
        <v>2081</v>
      </c>
      <c r="BMF3" t="s">
        <v>2082</v>
      </c>
      <c r="BMG3" t="s">
        <v>2083</v>
      </c>
      <c r="BMH3" t="s">
        <v>2084</v>
      </c>
      <c r="BMI3" t="s">
        <v>2085</v>
      </c>
      <c r="BMJ3" t="s">
        <v>2086</v>
      </c>
      <c r="BMK3" t="s">
        <v>2087</v>
      </c>
      <c r="BML3" t="s">
        <v>2088</v>
      </c>
      <c r="BMM3" t="s">
        <v>2089</v>
      </c>
      <c r="BMN3" t="s">
        <v>2090</v>
      </c>
      <c r="BMO3" t="s">
        <v>2091</v>
      </c>
      <c r="BMP3" t="s">
        <v>2092</v>
      </c>
      <c r="BMQ3" t="s">
        <v>2093</v>
      </c>
      <c r="BMR3" t="s">
        <v>2094</v>
      </c>
      <c r="BMS3" t="s">
        <v>2095</v>
      </c>
      <c r="BMT3" t="s">
        <v>2096</v>
      </c>
      <c r="BMU3" t="s">
        <v>2097</v>
      </c>
      <c r="BMV3" t="s">
        <v>2098</v>
      </c>
      <c r="BMW3" t="s">
        <v>2099</v>
      </c>
      <c r="BMX3" t="s">
        <v>2100</v>
      </c>
      <c r="BMY3" t="s">
        <v>2101</v>
      </c>
      <c r="BMZ3" t="s">
        <v>2102</v>
      </c>
      <c r="BNA3" t="s">
        <v>2103</v>
      </c>
      <c r="BNB3" t="s">
        <v>2104</v>
      </c>
      <c r="BNC3" t="s">
        <v>2105</v>
      </c>
      <c r="BND3" t="s">
        <v>2106</v>
      </c>
      <c r="BNE3" t="s">
        <v>2107</v>
      </c>
      <c r="BNF3" t="s">
        <v>2108</v>
      </c>
      <c r="BNG3" t="s">
        <v>2109</v>
      </c>
      <c r="BNH3" t="s">
        <v>2110</v>
      </c>
      <c r="BNI3" t="s">
        <v>2111</v>
      </c>
      <c r="BNJ3" t="s">
        <v>2112</v>
      </c>
      <c r="BNK3" t="s">
        <v>2113</v>
      </c>
      <c r="BNL3" t="s">
        <v>2114</v>
      </c>
      <c r="BNM3" t="s">
        <v>2115</v>
      </c>
      <c r="BNN3" t="s">
        <v>2116</v>
      </c>
      <c r="BNO3" t="s">
        <v>2117</v>
      </c>
      <c r="BNP3" t="s">
        <v>2118</v>
      </c>
      <c r="BNQ3" t="s">
        <v>2119</v>
      </c>
      <c r="BNR3" t="s">
        <v>2120</v>
      </c>
      <c r="BNS3" t="s">
        <v>2121</v>
      </c>
      <c r="BNT3" t="s">
        <v>2122</v>
      </c>
      <c r="BNU3" t="s">
        <v>2123</v>
      </c>
      <c r="BNV3" t="s">
        <v>2124</v>
      </c>
      <c r="BNW3" t="s">
        <v>2125</v>
      </c>
      <c r="BNX3" t="s">
        <v>2126</v>
      </c>
      <c r="BNY3" t="s">
        <v>2127</v>
      </c>
      <c r="BNZ3" t="s">
        <v>2128</v>
      </c>
      <c r="BOA3" t="s">
        <v>2129</v>
      </c>
      <c r="BOB3" t="s">
        <v>2130</v>
      </c>
      <c r="BOC3" t="s">
        <v>2131</v>
      </c>
      <c r="BOD3" t="s">
        <v>2132</v>
      </c>
      <c r="BOE3" t="s">
        <v>2133</v>
      </c>
      <c r="BOF3" t="s">
        <v>2134</v>
      </c>
      <c r="BOG3" t="s">
        <v>2135</v>
      </c>
      <c r="BOH3" t="s">
        <v>2136</v>
      </c>
      <c r="BOI3" t="s">
        <v>2137</v>
      </c>
      <c r="BOJ3" t="s">
        <v>2138</v>
      </c>
      <c r="BOK3" t="s">
        <v>2139</v>
      </c>
      <c r="BOL3" t="s">
        <v>2140</v>
      </c>
      <c r="BOM3" t="s">
        <v>2141</v>
      </c>
      <c r="BON3" t="s">
        <v>2142</v>
      </c>
      <c r="BOO3" t="s">
        <v>2143</v>
      </c>
      <c r="BOP3" t="s">
        <v>2144</v>
      </c>
      <c r="BOQ3" t="s">
        <v>2145</v>
      </c>
      <c r="BOR3" t="s">
        <v>2146</v>
      </c>
      <c r="BOS3" t="s">
        <v>2147</v>
      </c>
      <c r="BOT3" t="s">
        <v>2148</v>
      </c>
      <c r="BOU3" t="s">
        <v>2149</v>
      </c>
      <c r="BOV3" t="s">
        <v>2150</v>
      </c>
      <c r="BOW3" t="s">
        <v>2151</v>
      </c>
      <c r="BOX3" t="s">
        <v>2152</v>
      </c>
      <c r="BOY3" t="s">
        <v>2153</v>
      </c>
      <c r="BOZ3" t="s">
        <v>2154</v>
      </c>
      <c r="BPA3" t="s">
        <v>2155</v>
      </c>
      <c r="BPB3" t="s">
        <v>2156</v>
      </c>
      <c r="BPC3" t="s">
        <v>2157</v>
      </c>
      <c r="BPD3" t="s">
        <v>2158</v>
      </c>
      <c r="BPE3" t="s">
        <v>2159</v>
      </c>
      <c r="BPF3" t="s">
        <v>2160</v>
      </c>
      <c r="BPG3" t="s">
        <v>2161</v>
      </c>
      <c r="BPH3" t="s">
        <v>2162</v>
      </c>
      <c r="BPI3" t="s">
        <v>2163</v>
      </c>
      <c r="BPJ3" t="s">
        <v>2164</v>
      </c>
      <c r="BPK3" t="s">
        <v>2165</v>
      </c>
      <c r="BPL3" t="s">
        <v>2166</v>
      </c>
      <c r="BPM3" t="s">
        <v>2167</v>
      </c>
      <c r="BPN3" t="s">
        <v>2168</v>
      </c>
      <c r="BPO3" t="s">
        <v>2169</v>
      </c>
      <c r="BPP3" t="s">
        <v>2170</v>
      </c>
      <c r="BPQ3" t="s">
        <v>2171</v>
      </c>
      <c r="BPR3" t="s">
        <v>2172</v>
      </c>
      <c r="BPS3" t="s">
        <v>2173</v>
      </c>
      <c r="BPT3" t="s">
        <v>2174</v>
      </c>
      <c r="BPU3" t="s">
        <v>2175</v>
      </c>
      <c r="BPV3" t="s">
        <v>2176</v>
      </c>
      <c r="BPW3" t="s">
        <v>2177</v>
      </c>
      <c r="BPX3" t="s">
        <v>2178</v>
      </c>
      <c r="BPY3" t="s">
        <v>2179</v>
      </c>
      <c r="BPZ3" t="s">
        <v>2180</v>
      </c>
      <c r="BQA3" t="s">
        <v>2181</v>
      </c>
      <c r="BQB3" t="s">
        <v>2182</v>
      </c>
      <c r="BQC3" t="s">
        <v>2183</v>
      </c>
      <c r="BQD3" t="s">
        <v>2184</v>
      </c>
      <c r="BQE3" t="s">
        <v>2185</v>
      </c>
      <c r="BQF3" t="s">
        <v>2186</v>
      </c>
      <c r="BQG3" t="s">
        <v>2187</v>
      </c>
      <c r="BQH3" t="s">
        <v>2188</v>
      </c>
      <c r="BQI3" t="s">
        <v>2189</v>
      </c>
      <c r="BQJ3" t="s">
        <v>2190</v>
      </c>
      <c r="BQK3" t="s">
        <v>2191</v>
      </c>
      <c r="BQL3" t="s">
        <v>2192</v>
      </c>
      <c r="BQM3" t="s">
        <v>2193</v>
      </c>
      <c r="BQN3" t="s">
        <v>2194</v>
      </c>
      <c r="BQO3" t="s">
        <v>2195</v>
      </c>
      <c r="BQP3" t="s">
        <v>2196</v>
      </c>
      <c r="BQQ3" t="s">
        <v>2197</v>
      </c>
      <c r="BQR3" t="s">
        <v>2198</v>
      </c>
      <c r="BQS3" t="s">
        <v>2199</v>
      </c>
      <c r="BQT3" t="s">
        <v>2200</v>
      </c>
      <c r="BQU3" t="s">
        <v>2201</v>
      </c>
      <c r="BQV3" t="s">
        <v>2202</v>
      </c>
      <c r="BQW3" t="s">
        <v>2203</v>
      </c>
      <c r="BQX3" t="s">
        <v>2204</v>
      </c>
      <c r="BQY3" t="s">
        <v>2205</v>
      </c>
      <c r="BQZ3" t="s">
        <v>2206</v>
      </c>
      <c r="BRA3" t="s">
        <v>2207</v>
      </c>
      <c r="BRB3" t="s">
        <v>2208</v>
      </c>
      <c r="BRC3" t="s">
        <v>2209</v>
      </c>
      <c r="BRD3" t="s">
        <v>2210</v>
      </c>
      <c r="BRE3" t="s">
        <v>2211</v>
      </c>
      <c r="BRF3" t="s">
        <v>2212</v>
      </c>
      <c r="BRG3" t="s">
        <v>2213</v>
      </c>
      <c r="BRH3" t="s">
        <v>2214</v>
      </c>
      <c r="BRI3" t="s">
        <v>2215</v>
      </c>
      <c r="BRJ3" t="s">
        <v>2216</v>
      </c>
      <c r="BRK3" t="s">
        <v>2217</v>
      </c>
      <c r="BRL3" t="s">
        <v>2218</v>
      </c>
      <c r="BRM3" t="s">
        <v>2219</v>
      </c>
      <c r="BRN3" t="s">
        <v>2220</v>
      </c>
      <c r="BRO3" t="s">
        <v>2221</v>
      </c>
      <c r="BRP3" t="s">
        <v>2222</v>
      </c>
      <c r="BRQ3" t="s">
        <v>2223</v>
      </c>
      <c r="BRR3" t="s">
        <v>2224</v>
      </c>
      <c r="BRS3" t="s">
        <v>2225</v>
      </c>
      <c r="BRT3" t="s">
        <v>2226</v>
      </c>
      <c r="BRU3" t="s">
        <v>2227</v>
      </c>
      <c r="BRV3" t="s">
        <v>2228</v>
      </c>
      <c r="BRW3" t="s">
        <v>2229</v>
      </c>
      <c r="BRX3" t="s">
        <v>2230</v>
      </c>
      <c r="BRY3" t="s">
        <v>2231</v>
      </c>
      <c r="BRZ3" t="s">
        <v>2232</v>
      </c>
      <c r="BSA3" t="s">
        <v>2233</v>
      </c>
      <c r="BSB3" t="s">
        <v>2234</v>
      </c>
      <c r="BSC3" t="s">
        <v>2235</v>
      </c>
      <c r="BSD3" t="s">
        <v>2236</v>
      </c>
      <c r="BSE3" t="s">
        <v>2237</v>
      </c>
      <c r="BSF3" t="s">
        <v>2238</v>
      </c>
      <c r="BSG3" t="s">
        <v>2239</v>
      </c>
      <c r="BSH3" t="s">
        <v>2240</v>
      </c>
      <c r="BSI3" t="s">
        <v>2241</v>
      </c>
      <c r="BSJ3" t="s">
        <v>2242</v>
      </c>
      <c r="BSK3" t="s">
        <v>2243</v>
      </c>
      <c r="BSL3" t="s">
        <v>2244</v>
      </c>
      <c r="BSM3" t="s">
        <v>2245</v>
      </c>
      <c r="BSN3" t="s">
        <v>2246</v>
      </c>
      <c r="BSO3" t="s">
        <v>2247</v>
      </c>
      <c r="BSP3" t="s">
        <v>2248</v>
      </c>
      <c r="BSQ3" t="s">
        <v>2249</v>
      </c>
      <c r="BSR3" t="s">
        <v>2250</v>
      </c>
      <c r="BSS3" t="s">
        <v>2251</v>
      </c>
      <c r="BST3" t="s">
        <v>2252</v>
      </c>
      <c r="BSU3" t="s">
        <v>2253</v>
      </c>
      <c r="BSV3" t="s">
        <v>2254</v>
      </c>
      <c r="BSW3" t="s">
        <v>2255</v>
      </c>
      <c r="BSX3" t="s">
        <v>2256</v>
      </c>
      <c r="BSY3" t="s">
        <v>2257</v>
      </c>
      <c r="BSZ3" t="s">
        <v>2258</v>
      </c>
      <c r="BTA3" t="s">
        <v>2259</v>
      </c>
      <c r="BTB3" t="s">
        <v>2260</v>
      </c>
      <c r="BTC3" t="s">
        <v>2261</v>
      </c>
      <c r="BTD3" t="s">
        <v>2262</v>
      </c>
      <c r="BTE3" t="s">
        <v>2263</v>
      </c>
      <c r="BTF3" t="s">
        <v>2264</v>
      </c>
      <c r="BTG3" t="s">
        <v>2265</v>
      </c>
      <c r="BTH3" t="s">
        <v>2266</v>
      </c>
      <c r="BTI3" t="s">
        <v>2267</v>
      </c>
      <c r="BTJ3" t="s">
        <v>2268</v>
      </c>
      <c r="BTK3" t="s">
        <v>2269</v>
      </c>
      <c r="BTL3" t="s">
        <v>2270</v>
      </c>
      <c r="BTM3" t="s">
        <v>2271</v>
      </c>
      <c r="BTN3" t="s">
        <v>2272</v>
      </c>
      <c r="BTO3" t="s">
        <v>2273</v>
      </c>
      <c r="BTP3" t="s">
        <v>2274</v>
      </c>
      <c r="BTQ3" t="s">
        <v>2275</v>
      </c>
      <c r="BTR3" t="s">
        <v>2276</v>
      </c>
      <c r="BTS3" t="s">
        <v>2277</v>
      </c>
      <c r="BTT3" t="s">
        <v>2278</v>
      </c>
      <c r="BTU3" t="s">
        <v>2279</v>
      </c>
      <c r="BTV3" t="s">
        <v>2280</v>
      </c>
      <c r="BTW3" t="s">
        <v>2281</v>
      </c>
      <c r="BTX3" t="s">
        <v>2282</v>
      </c>
      <c r="BTY3" t="s">
        <v>2283</v>
      </c>
      <c r="BTZ3" t="s">
        <v>2284</v>
      </c>
      <c r="BUA3" t="s">
        <v>2285</v>
      </c>
      <c r="BUB3" t="s">
        <v>2286</v>
      </c>
      <c r="BUC3" t="s">
        <v>2287</v>
      </c>
      <c r="BUD3" t="s">
        <v>2288</v>
      </c>
      <c r="BUE3" t="s">
        <v>2289</v>
      </c>
      <c r="BUF3" t="s">
        <v>2290</v>
      </c>
      <c r="BUG3" t="s">
        <v>2291</v>
      </c>
      <c r="BUH3" t="s">
        <v>2292</v>
      </c>
      <c r="BUI3" t="s">
        <v>2293</v>
      </c>
      <c r="BUJ3" t="s">
        <v>2294</v>
      </c>
      <c r="BUK3" t="s">
        <v>2295</v>
      </c>
      <c r="BUL3" t="s">
        <v>2296</v>
      </c>
      <c r="BUM3" t="s">
        <v>2297</v>
      </c>
      <c r="BUN3" t="s">
        <v>2298</v>
      </c>
      <c r="BUO3" t="s">
        <v>2299</v>
      </c>
      <c r="BUP3" t="s">
        <v>2300</v>
      </c>
      <c r="BUQ3" t="s">
        <v>2301</v>
      </c>
      <c r="BUR3" t="s">
        <v>2302</v>
      </c>
      <c r="BUS3" t="s">
        <v>2303</v>
      </c>
      <c r="BUT3" t="s">
        <v>2304</v>
      </c>
      <c r="BUU3" t="s">
        <v>2305</v>
      </c>
      <c r="BUV3" t="s">
        <v>2306</v>
      </c>
      <c r="BUW3" t="s">
        <v>2307</v>
      </c>
      <c r="BUX3" t="s">
        <v>2308</v>
      </c>
      <c r="BUY3" t="s">
        <v>2309</v>
      </c>
      <c r="BUZ3" t="s">
        <v>2310</v>
      </c>
      <c r="BVA3" t="s">
        <v>2311</v>
      </c>
      <c r="BVB3" t="s">
        <v>2312</v>
      </c>
      <c r="BVC3" t="s">
        <v>2313</v>
      </c>
      <c r="BVD3" t="s">
        <v>2314</v>
      </c>
      <c r="BVE3" t="s">
        <v>2315</v>
      </c>
      <c r="BVF3" t="s">
        <v>2316</v>
      </c>
      <c r="BVG3" t="s">
        <v>2317</v>
      </c>
      <c r="BVH3" t="s">
        <v>2318</v>
      </c>
      <c r="BVI3" t="s">
        <v>2319</v>
      </c>
      <c r="BVJ3" t="s">
        <v>2320</v>
      </c>
      <c r="BVK3" t="s">
        <v>2321</v>
      </c>
      <c r="BVL3" t="s">
        <v>2322</v>
      </c>
      <c r="BVM3" t="s">
        <v>2323</v>
      </c>
      <c r="BVN3" t="s">
        <v>2324</v>
      </c>
      <c r="BVO3" t="s">
        <v>2325</v>
      </c>
      <c r="BVP3" t="s">
        <v>2326</v>
      </c>
      <c r="BVQ3" t="s">
        <v>2327</v>
      </c>
      <c r="BVR3" t="s">
        <v>2328</v>
      </c>
      <c r="BVS3" t="s">
        <v>2329</v>
      </c>
      <c r="BVT3" t="s">
        <v>2330</v>
      </c>
      <c r="BVU3" t="s">
        <v>2331</v>
      </c>
      <c r="BVV3" t="s">
        <v>2332</v>
      </c>
      <c r="BVW3" t="s">
        <v>2333</v>
      </c>
      <c r="BVX3" t="s">
        <v>2334</v>
      </c>
      <c r="BVY3" t="s">
        <v>2335</v>
      </c>
      <c r="BVZ3" t="s">
        <v>2336</v>
      </c>
      <c r="BWA3" t="s">
        <v>2337</v>
      </c>
      <c r="BWB3" t="s">
        <v>2338</v>
      </c>
      <c r="BWC3" t="s">
        <v>2339</v>
      </c>
      <c r="BWD3" t="s">
        <v>2340</v>
      </c>
      <c r="BWE3" t="s">
        <v>2341</v>
      </c>
      <c r="BWF3" t="s">
        <v>2342</v>
      </c>
      <c r="BWG3" t="s">
        <v>2343</v>
      </c>
      <c r="BWH3" t="s">
        <v>2344</v>
      </c>
      <c r="BWI3" t="s">
        <v>2345</v>
      </c>
      <c r="BWJ3" t="s">
        <v>2346</v>
      </c>
      <c r="BWK3" t="s">
        <v>2347</v>
      </c>
      <c r="BWL3" t="s">
        <v>2348</v>
      </c>
      <c r="BWM3" t="s">
        <v>2349</v>
      </c>
      <c r="BWN3" t="s">
        <v>2350</v>
      </c>
      <c r="BWO3" t="s">
        <v>2351</v>
      </c>
      <c r="BWP3" t="s">
        <v>2352</v>
      </c>
      <c r="BWQ3" t="s">
        <v>2353</v>
      </c>
      <c r="BWR3" t="s">
        <v>2354</v>
      </c>
      <c r="BWS3" t="s">
        <v>2355</v>
      </c>
      <c r="BWT3" t="s">
        <v>2356</v>
      </c>
      <c r="BWU3" t="s">
        <v>2357</v>
      </c>
      <c r="BWV3" t="s">
        <v>2358</v>
      </c>
      <c r="BWW3" t="s">
        <v>2359</v>
      </c>
      <c r="BWX3" t="s">
        <v>2360</v>
      </c>
      <c r="BWY3" t="s">
        <v>2361</v>
      </c>
      <c r="BWZ3" t="s">
        <v>2362</v>
      </c>
      <c r="BXA3" t="s">
        <v>2363</v>
      </c>
      <c r="BXB3" t="s">
        <v>2364</v>
      </c>
      <c r="BXC3" t="s">
        <v>2365</v>
      </c>
      <c r="BXD3" t="s">
        <v>2366</v>
      </c>
      <c r="BXE3" t="s">
        <v>2367</v>
      </c>
      <c r="BXF3" t="s">
        <v>2368</v>
      </c>
      <c r="BXG3" t="s">
        <v>2369</v>
      </c>
      <c r="BXH3" t="s">
        <v>2370</v>
      </c>
      <c r="BXI3" t="s">
        <v>2371</v>
      </c>
      <c r="BXJ3" t="s">
        <v>2372</v>
      </c>
      <c r="BXK3" t="s">
        <v>2373</v>
      </c>
      <c r="BXL3" t="s">
        <v>2374</v>
      </c>
      <c r="BXM3" t="s">
        <v>2375</v>
      </c>
      <c r="BXN3" t="s">
        <v>2376</v>
      </c>
      <c r="BXO3" t="s">
        <v>2377</v>
      </c>
      <c r="BXP3" t="s">
        <v>2378</v>
      </c>
      <c r="BXQ3" t="s">
        <v>2379</v>
      </c>
      <c r="BXR3" t="s">
        <v>2380</v>
      </c>
      <c r="BXS3" t="s">
        <v>2381</v>
      </c>
      <c r="BXT3" t="s">
        <v>2382</v>
      </c>
      <c r="BXU3" t="s">
        <v>2383</v>
      </c>
      <c r="BXV3" t="s">
        <v>2384</v>
      </c>
      <c r="BXW3" t="s">
        <v>2385</v>
      </c>
      <c r="BXX3" t="s">
        <v>2386</v>
      </c>
      <c r="BXY3" t="s">
        <v>2387</v>
      </c>
      <c r="BXZ3" t="s">
        <v>2388</v>
      </c>
      <c r="BYA3" t="s">
        <v>2389</v>
      </c>
      <c r="BYB3" t="s">
        <v>2390</v>
      </c>
      <c r="BYC3" t="s">
        <v>2391</v>
      </c>
      <c r="BYD3" t="s">
        <v>2392</v>
      </c>
      <c r="BYE3" t="s">
        <v>2393</v>
      </c>
      <c r="BYF3" t="s">
        <v>2394</v>
      </c>
      <c r="BYG3" t="s">
        <v>2395</v>
      </c>
      <c r="BYH3" t="s">
        <v>2396</v>
      </c>
      <c r="BYI3" t="s">
        <v>2397</v>
      </c>
      <c r="BYJ3" t="s">
        <v>2398</v>
      </c>
      <c r="BYK3" t="s">
        <v>2399</v>
      </c>
      <c r="BYL3" t="s">
        <v>2400</v>
      </c>
      <c r="BYM3" t="s">
        <v>2401</v>
      </c>
      <c r="BYN3" t="s">
        <v>2402</v>
      </c>
      <c r="BYO3" t="s">
        <v>2403</v>
      </c>
      <c r="BYP3" t="s">
        <v>2404</v>
      </c>
      <c r="BYQ3" t="s">
        <v>2405</v>
      </c>
      <c r="BYR3" t="s">
        <v>2406</v>
      </c>
      <c r="BYS3" t="s">
        <v>2407</v>
      </c>
      <c r="BYT3" t="s">
        <v>2408</v>
      </c>
      <c r="BYU3" t="s">
        <v>2409</v>
      </c>
      <c r="BYV3" t="s">
        <v>2410</v>
      </c>
      <c r="BYW3" t="s">
        <v>2411</v>
      </c>
      <c r="BYX3" t="s">
        <v>2412</v>
      </c>
      <c r="BYY3" t="s">
        <v>2413</v>
      </c>
      <c r="BYZ3" t="s">
        <v>2414</v>
      </c>
      <c r="BZA3" t="s">
        <v>2415</v>
      </c>
      <c r="BZB3" t="s">
        <v>2416</v>
      </c>
      <c r="BZC3" t="s">
        <v>2417</v>
      </c>
      <c r="BZD3" t="s">
        <v>2418</v>
      </c>
      <c r="BZE3" t="s">
        <v>2419</v>
      </c>
      <c r="BZF3" t="s">
        <v>2420</v>
      </c>
      <c r="BZG3" t="s">
        <v>2421</v>
      </c>
      <c r="BZH3" t="s">
        <v>2422</v>
      </c>
      <c r="BZI3" t="s">
        <v>2423</v>
      </c>
      <c r="BZJ3" t="s">
        <v>2424</v>
      </c>
      <c r="BZK3" t="s">
        <v>2425</v>
      </c>
      <c r="BZL3" t="s">
        <v>2426</v>
      </c>
      <c r="BZM3" t="s">
        <v>2427</v>
      </c>
      <c r="BZN3" t="s">
        <v>2428</v>
      </c>
      <c r="BZO3" t="s">
        <v>2429</v>
      </c>
      <c r="BZP3" t="s">
        <v>2430</v>
      </c>
      <c r="BZQ3" t="s">
        <v>2431</v>
      </c>
      <c r="BZR3" t="s">
        <v>2432</v>
      </c>
      <c r="BZS3" t="s">
        <v>2433</v>
      </c>
      <c r="BZT3" t="s">
        <v>2434</v>
      </c>
      <c r="BZU3" t="s">
        <v>2435</v>
      </c>
      <c r="BZV3" t="s">
        <v>2436</v>
      </c>
      <c r="BZW3" t="s">
        <v>2437</v>
      </c>
      <c r="BZX3" t="s">
        <v>2438</v>
      </c>
      <c r="BZY3" t="s">
        <v>2439</v>
      </c>
      <c r="BZZ3" t="s">
        <v>2440</v>
      </c>
      <c r="CAA3" t="s">
        <v>2441</v>
      </c>
      <c r="CAB3" t="s">
        <v>2442</v>
      </c>
      <c r="CAC3" t="s">
        <v>2443</v>
      </c>
      <c r="CAD3" t="s">
        <v>2444</v>
      </c>
      <c r="CAE3" t="s">
        <v>2445</v>
      </c>
      <c r="CAF3" t="s">
        <v>2446</v>
      </c>
      <c r="CAG3" t="s">
        <v>2447</v>
      </c>
      <c r="CAH3" t="s">
        <v>2448</v>
      </c>
      <c r="CAI3" t="s">
        <v>2449</v>
      </c>
      <c r="CAJ3" t="s">
        <v>2450</v>
      </c>
      <c r="CAK3" t="s">
        <v>2451</v>
      </c>
      <c r="CAL3" t="s">
        <v>2452</v>
      </c>
      <c r="CAM3" t="s">
        <v>2453</v>
      </c>
      <c r="CAN3" t="s">
        <v>2454</v>
      </c>
      <c r="CAO3" t="s">
        <v>2455</v>
      </c>
      <c r="CAP3" t="s">
        <v>2456</v>
      </c>
      <c r="CAQ3" t="s">
        <v>2457</v>
      </c>
      <c r="CAR3" t="s">
        <v>2458</v>
      </c>
      <c r="CAS3" t="s">
        <v>2459</v>
      </c>
      <c r="CAT3" t="s">
        <v>2460</v>
      </c>
      <c r="CAU3" t="s">
        <v>2461</v>
      </c>
      <c r="CAV3" t="s">
        <v>2462</v>
      </c>
      <c r="CAW3" t="s">
        <v>2463</v>
      </c>
      <c r="CAX3" t="s">
        <v>2464</v>
      </c>
      <c r="CAY3" t="s">
        <v>2465</v>
      </c>
      <c r="CAZ3" t="s">
        <v>2466</v>
      </c>
      <c r="CBA3" t="s">
        <v>2467</v>
      </c>
      <c r="CBB3" t="s">
        <v>2468</v>
      </c>
      <c r="CBC3" t="s">
        <v>2469</v>
      </c>
      <c r="CBD3" t="s">
        <v>2470</v>
      </c>
      <c r="CBE3" t="s">
        <v>2471</v>
      </c>
      <c r="CBF3" t="s">
        <v>2472</v>
      </c>
      <c r="CBG3" t="s">
        <v>2473</v>
      </c>
      <c r="CBH3" t="s">
        <v>2474</v>
      </c>
      <c r="CBI3" t="s">
        <v>2475</v>
      </c>
      <c r="CBJ3" t="s">
        <v>2476</v>
      </c>
      <c r="CBK3" t="s">
        <v>2477</v>
      </c>
      <c r="CBL3" t="s">
        <v>2478</v>
      </c>
      <c r="CBM3" t="s">
        <v>2479</v>
      </c>
      <c r="CBN3" t="s">
        <v>2480</v>
      </c>
      <c r="CBO3" t="s">
        <v>2481</v>
      </c>
      <c r="CBP3" t="s">
        <v>2482</v>
      </c>
      <c r="CBQ3" t="s">
        <v>2483</v>
      </c>
      <c r="CBR3" t="s">
        <v>2484</v>
      </c>
      <c r="CBS3" t="s">
        <v>2485</v>
      </c>
      <c r="CBT3" t="s">
        <v>2486</v>
      </c>
      <c r="CBU3" t="s">
        <v>2487</v>
      </c>
      <c r="CBV3" t="s">
        <v>2488</v>
      </c>
      <c r="CBW3" t="s">
        <v>2489</v>
      </c>
      <c r="CBX3" t="s">
        <v>2490</v>
      </c>
      <c r="CBY3" t="s">
        <v>2491</v>
      </c>
      <c r="CBZ3" t="s">
        <v>2492</v>
      </c>
      <c r="CCA3" t="s">
        <v>2493</v>
      </c>
      <c r="CCB3" t="s">
        <v>2494</v>
      </c>
      <c r="CCC3" t="s">
        <v>2495</v>
      </c>
      <c r="CCD3" t="s">
        <v>2496</v>
      </c>
      <c r="CCE3" t="s">
        <v>2497</v>
      </c>
      <c r="CCF3" t="s">
        <v>2498</v>
      </c>
      <c r="CCG3" t="s">
        <v>2499</v>
      </c>
      <c r="CCH3" t="s">
        <v>2500</v>
      </c>
      <c r="CCI3" t="s">
        <v>2501</v>
      </c>
      <c r="CCJ3" t="s">
        <v>2502</v>
      </c>
      <c r="CCK3" t="s">
        <v>2503</v>
      </c>
      <c r="CCL3" t="s">
        <v>2504</v>
      </c>
      <c r="CCM3" t="s">
        <v>2505</v>
      </c>
      <c r="CCN3" t="s">
        <v>2506</v>
      </c>
      <c r="CCO3" t="s">
        <v>2507</v>
      </c>
      <c r="CCP3" t="s">
        <v>2508</v>
      </c>
      <c r="CCQ3" t="s">
        <v>2509</v>
      </c>
      <c r="CCR3" t="s">
        <v>2510</v>
      </c>
      <c r="CCS3" t="s">
        <v>2511</v>
      </c>
      <c r="CCT3" t="s">
        <v>2512</v>
      </c>
      <c r="CCU3" t="s">
        <v>2513</v>
      </c>
      <c r="CCV3" t="s">
        <v>2514</v>
      </c>
      <c r="CCW3" t="s">
        <v>2515</v>
      </c>
      <c r="CCX3" t="s">
        <v>2516</v>
      </c>
      <c r="CCY3" t="s">
        <v>2517</v>
      </c>
      <c r="CCZ3" t="s">
        <v>2518</v>
      </c>
      <c r="CDA3" t="s">
        <v>2519</v>
      </c>
      <c r="CDB3" t="s">
        <v>2520</v>
      </c>
      <c r="CDC3" t="s">
        <v>2521</v>
      </c>
      <c r="CDD3" t="s">
        <v>2522</v>
      </c>
      <c r="CDE3" t="s">
        <v>2523</v>
      </c>
      <c r="CDF3" t="s">
        <v>2524</v>
      </c>
      <c r="CDG3" t="s">
        <v>2525</v>
      </c>
      <c r="CDH3" t="s">
        <v>2526</v>
      </c>
      <c r="CDI3" t="s">
        <v>2527</v>
      </c>
      <c r="CDJ3" t="s">
        <v>2528</v>
      </c>
      <c r="CDK3" t="s">
        <v>2529</v>
      </c>
      <c r="CDL3" t="s">
        <v>2530</v>
      </c>
      <c r="CDM3" t="s">
        <v>2531</v>
      </c>
      <c r="CDN3" t="s">
        <v>2532</v>
      </c>
      <c r="CDO3" t="s">
        <v>2533</v>
      </c>
      <c r="CDP3" t="s">
        <v>2534</v>
      </c>
      <c r="CDQ3" t="s">
        <v>2535</v>
      </c>
      <c r="CDR3" t="s">
        <v>2536</v>
      </c>
      <c r="CDS3" t="s">
        <v>2537</v>
      </c>
      <c r="CDT3" t="s">
        <v>2538</v>
      </c>
      <c r="CDU3" t="s">
        <v>2539</v>
      </c>
      <c r="CDV3" t="s">
        <v>2540</v>
      </c>
      <c r="CDW3" t="s">
        <v>2541</v>
      </c>
      <c r="CDX3" t="s">
        <v>2542</v>
      </c>
      <c r="CDY3" t="s">
        <v>2543</v>
      </c>
      <c r="CDZ3" t="s">
        <v>2544</v>
      </c>
      <c r="CEA3" t="s">
        <v>2545</v>
      </c>
      <c r="CEB3" t="s">
        <v>2546</v>
      </c>
      <c r="CEC3" t="s">
        <v>2547</v>
      </c>
      <c r="CED3" t="s">
        <v>2548</v>
      </c>
      <c r="CEE3" t="s">
        <v>2549</v>
      </c>
      <c r="CEF3" t="s">
        <v>2550</v>
      </c>
      <c r="CEG3" t="s">
        <v>2551</v>
      </c>
      <c r="CEH3" t="s">
        <v>2552</v>
      </c>
      <c r="CEI3" t="s">
        <v>2553</v>
      </c>
      <c r="CEJ3" t="s">
        <v>2554</v>
      </c>
      <c r="CEK3" t="s">
        <v>2555</v>
      </c>
      <c r="CEL3" t="s">
        <v>2556</v>
      </c>
      <c r="CEM3" t="s">
        <v>2557</v>
      </c>
      <c r="CEN3" t="s">
        <v>2558</v>
      </c>
      <c r="CEO3" t="s">
        <v>2559</v>
      </c>
      <c r="CEP3" t="s">
        <v>2560</v>
      </c>
      <c r="CEQ3" t="s">
        <v>2561</v>
      </c>
      <c r="CER3" t="s">
        <v>2562</v>
      </c>
      <c r="CES3" t="s">
        <v>2563</v>
      </c>
      <c r="CET3" t="s">
        <v>2564</v>
      </c>
      <c r="CEU3" t="s">
        <v>2565</v>
      </c>
      <c r="CEV3" t="s">
        <v>2566</v>
      </c>
      <c r="CEW3" t="s">
        <v>2567</v>
      </c>
      <c r="CEX3" t="s">
        <v>2568</v>
      </c>
      <c r="CEY3" t="s">
        <v>2569</v>
      </c>
      <c r="CEZ3" t="s">
        <v>2570</v>
      </c>
      <c r="CFA3" t="s">
        <v>2571</v>
      </c>
      <c r="CFB3" t="s">
        <v>2572</v>
      </c>
      <c r="CFC3" t="s">
        <v>2573</v>
      </c>
      <c r="CFD3" t="s">
        <v>2574</v>
      </c>
      <c r="CFE3" t="s">
        <v>2575</v>
      </c>
      <c r="CFF3" t="s">
        <v>2576</v>
      </c>
      <c r="CFG3" t="s">
        <v>2577</v>
      </c>
      <c r="CFH3" t="s">
        <v>2578</v>
      </c>
      <c r="CFI3" t="s">
        <v>2579</v>
      </c>
      <c r="CFJ3" t="s">
        <v>2580</v>
      </c>
      <c r="CFK3" t="s">
        <v>2581</v>
      </c>
      <c r="CFL3" t="s">
        <v>2582</v>
      </c>
      <c r="CFM3" t="s">
        <v>2583</v>
      </c>
      <c r="CFN3" t="s">
        <v>2584</v>
      </c>
      <c r="CFO3" t="s">
        <v>2585</v>
      </c>
      <c r="CFP3" t="s">
        <v>2586</v>
      </c>
      <c r="CFQ3" t="s">
        <v>2587</v>
      </c>
      <c r="CFR3" t="s">
        <v>2588</v>
      </c>
      <c r="CFS3" t="s">
        <v>2589</v>
      </c>
      <c r="CFT3" t="s">
        <v>2590</v>
      </c>
      <c r="CFU3" t="s">
        <v>2591</v>
      </c>
      <c r="CFV3" t="s">
        <v>2592</v>
      </c>
      <c r="CFW3" t="s">
        <v>2593</v>
      </c>
      <c r="CFX3" t="s">
        <v>2594</v>
      </c>
      <c r="CFY3" t="s">
        <v>2595</v>
      </c>
      <c r="CFZ3" t="s">
        <v>2596</v>
      </c>
      <c r="CGA3" t="s">
        <v>2597</v>
      </c>
      <c r="CGB3" t="s">
        <v>2598</v>
      </c>
      <c r="CGC3" t="s">
        <v>2599</v>
      </c>
      <c r="CGD3" t="s">
        <v>2600</v>
      </c>
      <c r="CGE3" t="s">
        <v>2601</v>
      </c>
      <c r="CGF3" t="s">
        <v>2602</v>
      </c>
      <c r="CGG3" t="s">
        <v>2603</v>
      </c>
      <c r="CGH3" t="s">
        <v>2604</v>
      </c>
      <c r="CGI3" t="s">
        <v>2605</v>
      </c>
      <c r="CGJ3" t="s">
        <v>2606</v>
      </c>
      <c r="CGK3" t="s">
        <v>2607</v>
      </c>
      <c r="CGL3" t="s">
        <v>2608</v>
      </c>
      <c r="CGM3" t="s">
        <v>2609</v>
      </c>
      <c r="CGN3" t="s">
        <v>2610</v>
      </c>
      <c r="CGO3" t="s">
        <v>2611</v>
      </c>
      <c r="CGP3" t="s">
        <v>2612</v>
      </c>
      <c r="CGQ3" t="s">
        <v>2613</v>
      </c>
      <c r="CGR3" t="s">
        <v>2614</v>
      </c>
      <c r="CGS3" t="s">
        <v>2615</v>
      </c>
      <c r="CGT3" t="s">
        <v>2616</v>
      </c>
      <c r="CGU3" t="s">
        <v>2617</v>
      </c>
      <c r="CGV3" t="s">
        <v>2618</v>
      </c>
      <c r="CGW3" t="s">
        <v>2619</v>
      </c>
      <c r="CGX3" t="s">
        <v>2620</v>
      </c>
      <c r="CGY3" t="s">
        <v>2621</v>
      </c>
      <c r="CGZ3" t="s">
        <v>2622</v>
      </c>
      <c r="CHA3" t="s">
        <v>2623</v>
      </c>
      <c r="CHB3" t="s">
        <v>2624</v>
      </c>
      <c r="CHC3" t="s">
        <v>2625</v>
      </c>
      <c r="CHD3" t="s">
        <v>2626</v>
      </c>
      <c r="CHE3" t="s">
        <v>2627</v>
      </c>
      <c r="CHF3" t="s">
        <v>2628</v>
      </c>
      <c r="CHG3" t="s">
        <v>2629</v>
      </c>
      <c r="CHH3" t="s">
        <v>2630</v>
      </c>
      <c r="CHI3" t="s">
        <v>2631</v>
      </c>
      <c r="CHJ3" t="s">
        <v>2632</v>
      </c>
      <c r="CHK3" t="s">
        <v>2633</v>
      </c>
      <c r="CHL3" t="s">
        <v>2634</v>
      </c>
      <c r="CHM3" t="s">
        <v>2635</v>
      </c>
      <c r="CHN3" t="s">
        <v>2636</v>
      </c>
      <c r="CHO3" t="s">
        <v>2637</v>
      </c>
      <c r="CHP3" t="s">
        <v>2638</v>
      </c>
      <c r="CHQ3" t="s">
        <v>2639</v>
      </c>
      <c r="CHR3" t="s">
        <v>2640</v>
      </c>
      <c r="CHS3" t="s">
        <v>2641</v>
      </c>
      <c r="CHT3" t="s">
        <v>2642</v>
      </c>
      <c r="CHU3" t="s">
        <v>2643</v>
      </c>
      <c r="CHV3" t="s">
        <v>2644</v>
      </c>
      <c r="CHW3" t="s">
        <v>2645</v>
      </c>
      <c r="CHX3" t="s">
        <v>2646</v>
      </c>
      <c r="CHY3" t="s">
        <v>2647</v>
      </c>
      <c r="CHZ3" t="s">
        <v>2648</v>
      </c>
      <c r="CIA3" t="s">
        <v>2649</v>
      </c>
      <c r="CIB3" t="s">
        <v>2650</v>
      </c>
      <c r="CIC3" t="s">
        <v>2651</v>
      </c>
      <c r="CID3" t="s">
        <v>2652</v>
      </c>
      <c r="CIE3" t="s">
        <v>2653</v>
      </c>
      <c r="CIF3" t="s">
        <v>2654</v>
      </c>
      <c r="CIG3" t="s">
        <v>2655</v>
      </c>
      <c r="CIH3" t="s">
        <v>2656</v>
      </c>
      <c r="CII3" t="s">
        <v>2657</v>
      </c>
      <c r="CIJ3" t="s">
        <v>2658</v>
      </c>
      <c r="CIK3" t="s">
        <v>2659</v>
      </c>
      <c r="CIL3" t="s">
        <v>2660</v>
      </c>
      <c r="CIM3" t="s">
        <v>2661</v>
      </c>
      <c r="CIN3" t="s">
        <v>2662</v>
      </c>
      <c r="CIO3" t="s">
        <v>2663</v>
      </c>
      <c r="CIP3" t="s">
        <v>2664</v>
      </c>
      <c r="CIQ3" t="s">
        <v>2665</v>
      </c>
      <c r="CIR3" t="s">
        <v>2666</v>
      </c>
      <c r="CIS3" t="s">
        <v>2667</v>
      </c>
      <c r="CIT3" t="s">
        <v>2668</v>
      </c>
      <c r="CIU3" t="s">
        <v>2669</v>
      </c>
      <c r="CIV3" t="s">
        <v>2670</v>
      </c>
      <c r="CIW3" t="s">
        <v>2671</v>
      </c>
      <c r="CIX3" t="s">
        <v>2672</v>
      </c>
      <c r="CIY3" t="s">
        <v>2673</v>
      </c>
      <c r="CIZ3" t="s">
        <v>2674</v>
      </c>
      <c r="CJA3" t="s">
        <v>2675</v>
      </c>
      <c r="CJB3" t="s">
        <v>2676</v>
      </c>
      <c r="CJC3" t="s">
        <v>2677</v>
      </c>
      <c r="CJD3" t="s">
        <v>2678</v>
      </c>
      <c r="CJE3" t="s">
        <v>2679</v>
      </c>
      <c r="CJF3" t="s">
        <v>2680</v>
      </c>
      <c r="CJG3" t="s">
        <v>2681</v>
      </c>
      <c r="CJH3" t="s">
        <v>2682</v>
      </c>
      <c r="CJI3" t="s">
        <v>2683</v>
      </c>
      <c r="CJJ3" t="s">
        <v>2684</v>
      </c>
      <c r="CJK3" t="s">
        <v>2685</v>
      </c>
      <c r="CJL3" t="s">
        <v>2686</v>
      </c>
      <c r="CJM3" t="s">
        <v>2687</v>
      </c>
      <c r="CJN3" t="s">
        <v>2688</v>
      </c>
      <c r="CJO3" t="s">
        <v>2689</v>
      </c>
      <c r="CJP3" t="s">
        <v>2690</v>
      </c>
      <c r="CJQ3" t="s">
        <v>2691</v>
      </c>
      <c r="CJR3" t="s">
        <v>2692</v>
      </c>
      <c r="CJS3" t="s">
        <v>2693</v>
      </c>
      <c r="CJT3" t="s">
        <v>2694</v>
      </c>
      <c r="CJU3" t="s">
        <v>2695</v>
      </c>
      <c r="CJV3" t="s">
        <v>2696</v>
      </c>
      <c r="CJW3" t="s">
        <v>2697</v>
      </c>
      <c r="CJX3" t="s">
        <v>2698</v>
      </c>
      <c r="CJY3" t="s">
        <v>2699</v>
      </c>
      <c r="CJZ3" t="s">
        <v>2700</v>
      </c>
      <c r="CKA3" t="s">
        <v>2701</v>
      </c>
      <c r="CKB3" t="s">
        <v>2702</v>
      </c>
      <c r="CKC3" t="s">
        <v>2703</v>
      </c>
      <c r="CKD3" t="s">
        <v>2704</v>
      </c>
      <c r="CKE3" t="s">
        <v>2705</v>
      </c>
      <c r="CKF3" t="s">
        <v>2706</v>
      </c>
      <c r="CKG3" t="s">
        <v>2707</v>
      </c>
      <c r="CKH3" t="s">
        <v>2708</v>
      </c>
      <c r="CKI3" t="s">
        <v>2709</v>
      </c>
      <c r="CKJ3" t="s">
        <v>2710</v>
      </c>
      <c r="CKK3" t="s">
        <v>2711</v>
      </c>
      <c r="CKL3" t="s">
        <v>2712</v>
      </c>
      <c r="CKM3" t="s">
        <v>2713</v>
      </c>
      <c r="CKN3" t="s">
        <v>2714</v>
      </c>
      <c r="CKO3" t="s">
        <v>2715</v>
      </c>
      <c r="CKP3" t="s">
        <v>2716</v>
      </c>
      <c r="CKQ3" t="s">
        <v>2717</v>
      </c>
      <c r="CKR3" t="s">
        <v>2718</v>
      </c>
      <c r="CKS3" t="s">
        <v>2719</v>
      </c>
      <c r="CKT3" t="s">
        <v>2720</v>
      </c>
      <c r="CKU3" t="s">
        <v>2721</v>
      </c>
      <c r="CKV3" t="s">
        <v>2722</v>
      </c>
      <c r="CKW3" t="s">
        <v>2723</v>
      </c>
      <c r="CKX3" t="s">
        <v>2724</v>
      </c>
      <c r="CKY3" t="s">
        <v>2725</v>
      </c>
      <c r="CKZ3" t="s">
        <v>2726</v>
      </c>
      <c r="CLA3" t="s">
        <v>2727</v>
      </c>
      <c r="CLB3" t="s">
        <v>2728</v>
      </c>
      <c r="CLC3" t="s">
        <v>2729</v>
      </c>
      <c r="CLD3" t="s">
        <v>2730</v>
      </c>
      <c r="CLE3" t="s">
        <v>2731</v>
      </c>
      <c r="CLF3" t="s">
        <v>2732</v>
      </c>
      <c r="CLG3" t="s">
        <v>2733</v>
      </c>
      <c r="CLH3" t="s">
        <v>2734</v>
      </c>
      <c r="CLI3" t="s">
        <v>2735</v>
      </c>
      <c r="CLJ3" t="s">
        <v>2736</v>
      </c>
      <c r="CLK3" t="s">
        <v>2737</v>
      </c>
      <c r="CLL3" t="s">
        <v>2738</v>
      </c>
      <c r="CLM3" t="s">
        <v>2739</v>
      </c>
      <c r="CLN3" t="s">
        <v>2740</v>
      </c>
      <c r="CLO3" t="s">
        <v>2741</v>
      </c>
      <c r="CLP3" t="s">
        <v>2742</v>
      </c>
      <c r="CLQ3" t="s">
        <v>2743</v>
      </c>
      <c r="CLR3" t="s">
        <v>2744</v>
      </c>
      <c r="CLS3" t="s">
        <v>2745</v>
      </c>
      <c r="CLT3" t="s">
        <v>2746</v>
      </c>
      <c r="CLU3" t="s">
        <v>2747</v>
      </c>
      <c r="CLV3" t="s">
        <v>2748</v>
      </c>
      <c r="CLW3" t="s">
        <v>2749</v>
      </c>
      <c r="CLX3" t="s">
        <v>2750</v>
      </c>
      <c r="CLY3" t="s">
        <v>2751</v>
      </c>
      <c r="CLZ3" t="s">
        <v>2752</v>
      </c>
      <c r="CMA3" t="s">
        <v>2753</v>
      </c>
      <c r="CMB3" t="s">
        <v>2754</v>
      </c>
      <c r="CMC3" t="s">
        <v>2755</v>
      </c>
      <c r="CMD3" t="s">
        <v>2756</v>
      </c>
      <c r="CME3" t="s">
        <v>2757</v>
      </c>
      <c r="CMF3" t="s">
        <v>2758</v>
      </c>
      <c r="CMG3" t="s">
        <v>2759</v>
      </c>
      <c r="CMH3" t="s">
        <v>2760</v>
      </c>
      <c r="CMI3" t="s">
        <v>2761</v>
      </c>
      <c r="CMJ3" t="s">
        <v>2762</v>
      </c>
      <c r="CMK3" t="s">
        <v>2763</v>
      </c>
      <c r="CML3" t="s">
        <v>2764</v>
      </c>
      <c r="CMM3" t="s">
        <v>2765</v>
      </c>
      <c r="CMN3" t="s">
        <v>2766</v>
      </c>
      <c r="CMO3" t="s">
        <v>2767</v>
      </c>
      <c r="CMP3" t="s">
        <v>2768</v>
      </c>
      <c r="CMQ3" t="s">
        <v>2769</v>
      </c>
      <c r="CMR3" t="s">
        <v>2770</v>
      </c>
      <c r="CMS3" t="s">
        <v>2771</v>
      </c>
      <c r="CMT3" t="s">
        <v>2772</v>
      </c>
      <c r="CMU3" t="s">
        <v>2773</v>
      </c>
      <c r="CMV3" t="s">
        <v>2774</v>
      </c>
      <c r="CMW3" t="s">
        <v>2775</v>
      </c>
      <c r="CMX3" t="s">
        <v>2776</v>
      </c>
      <c r="CMY3" t="s">
        <v>2777</v>
      </c>
      <c r="CMZ3" t="s">
        <v>2778</v>
      </c>
      <c r="CNA3" t="s">
        <v>2779</v>
      </c>
      <c r="CNB3" t="s">
        <v>2780</v>
      </c>
      <c r="CNC3" t="s">
        <v>2781</v>
      </c>
      <c r="CND3" t="s">
        <v>2782</v>
      </c>
      <c r="CNE3" t="s">
        <v>2783</v>
      </c>
      <c r="CNF3" t="s">
        <v>2784</v>
      </c>
      <c r="CNG3" t="s">
        <v>2785</v>
      </c>
      <c r="CNH3" t="s">
        <v>2786</v>
      </c>
      <c r="CNI3" t="s">
        <v>2787</v>
      </c>
      <c r="CNJ3" t="s">
        <v>2788</v>
      </c>
      <c r="CNK3" t="s">
        <v>2789</v>
      </c>
      <c r="CNL3" t="s">
        <v>2790</v>
      </c>
      <c r="CNM3" t="s">
        <v>2791</v>
      </c>
      <c r="CNN3" t="s">
        <v>2792</v>
      </c>
      <c r="CNO3" t="s">
        <v>2793</v>
      </c>
      <c r="CNP3" t="s">
        <v>2794</v>
      </c>
      <c r="CNQ3" t="s">
        <v>2795</v>
      </c>
      <c r="CNR3" t="s">
        <v>2796</v>
      </c>
      <c r="CNS3" t="s">
        <v>2797</v>
      </c>
      <c r="CNT3" t="s">
        <v>2798</v>
      </c>
      <c r="CNU3" t="s">
        <v>2799</v>
      </c>
      <c r="CNV3" t="s">
        <v>2800</v>
      </c>
      <c r="CNW3" t="s">
        <v>2801</v>
      </c>
      <c r="CNX3" t="s">
        <v>2802</v>
      </c>
      <c r="CNY3" t="s">
        <v>2803</v>
      </c>
      <c r="CNZ3" t="s">
        <v>2804</v>
      </c>
      <c r="COA3" t="s">
        <v>2805</v>
      </c>
      <c r="COB3" t="s">
        <v>2806</v>
      </c>
      <c r="COC3" t="s">
        <v>2807</v>
      </c>
      <c r="COD3" t="s">
        <v>2808</v>
      </c>
      <c r="COE3" t="s">
        <v>2809</v>
      </c>
      <c r="COF3" t="s">
        <v>2810</v>
      </c>
      <c r="COG3" t="s">
        <v>2811</v>
      </c>
      <c r="COH3" t="s">
        <v>2812</v>
      </c>
      <c r="COI3" t="s">
        <v>2813</v>
      </c>
      <c r="COJ3" t="s">
        <v>2814</v>
      </c>
      <c r="COK3" t="s">
        <v>2815</v>
      </c>
      <c r="COL3" t="s">
        <v>2816</v>
      </c>
      <c r="COM3" t="s">
        <v>2817</v>
      </c>
      <c r="CON3" t="s">
        <v>2818</v>
      </c>
      <c r="COO3" t="s">
        <v>2819</v>
      </c>
      <c r="COP3" t="s">
        <v>2820</v>
      </c>
      <c r="COQ3" t="s">
        <v>2821</v>
      </c>
      <c r="COR3" t="s">
        <v>2822</v>
      </c>
      <c r="COS3" t="s">
        <v>2823</v>
      </c>
      <c r="COT3" t="s">
        <v>2824</v>
      </c>
      <c r="COU3" t="s">
        <v>2825</v>
      </c>
      <c r="COV3" t="s">
        <v>2826</v>
      </c>
      <c r="COW3" t="s">
        <v>2827</v>
      </c>
      <c r="COX3" t="s">
        <v>2828</v>
      </c>
      <c r="COY3" t="s">
        <v>2829</v>
      </c>
      <c r="COZ3" t="s">
        <v>2830</v>
      </c>
      <c r="CPA3" t="s">
        <v>2831</v>
      </c>
      <c r="CPB3" t="s">
        <v>2832</v>
      </c>
      <c r="CPC3" t="s">
        <v>2833</v>
      </c>
      <c r="CPD3" t="s">
        <v>2834</v>
      </c>
      <c r="CPE3" t="s">
        <v>2835</v>
      </c>
      <c r="CPF3" t="s">
        <v>2836</v>
      </c>
      <c r="CPG3" t="s">
        <v>2837</v>
      </c>
      <c r="CPH3" t="s">
        <v>2838</v>
      </c>
      <c r="CPI3" t="s">
        <v>2839</v>
      </c>
      <c r="CPJ3" t="s">
        <v>2840</v>
      </c>
      <c r="CPK3" t="s">
        <v>2841</v>
      </c>
      <c r="CPL3" t="s">
        <v>2842</v>
      </c>
      <c r="CPM3" t="s">
        <v>2843</v>
      </c>
      <c r="CPN3" t="s">
        <v>2844</v>
      </c>
      <c r="CPO3" t="s">
        <v>2845</v>
      </c>
      <c r="CPP3" t="s">
        <v>2846</v>
      </c>
      <c r="CPQ3" t="s">
        <v>2847</v>
      </c>
      <c r="CPR3" t="s">
        <v>2848</v>
      </c>
      <c r="CPS3" t="s">
        <v>2849</v>
      </c>
      <c r="CPT3" t="s">
        <v>2850</v>
      </c>
      <c r="CPU3" t="s">
        <v>2851</v>
      </c>
      <c r="CPV3" t="s">
        <v>2852</v>
      </c>
      <c r="CPW3" t="s">
        <v>2853</v>
      </c>
      <c r="CPX3" t="s">
        <v>2854</v>
      </c>
      <c r="CPY3" t="s">
        <v>2855</v>
      </c>
      <c r="CPZ3" t="s">
        <v>2856</v>
      </c>
      <c r="CQA3" t="s">
        <v>2857</v>
      </c>
      <c r="CQB3" t="s">
        <v>2858</v>
      </c>
      <c r="CQC3" t="s">
        <v>2859</v>
      </c>
      <c r="CQD3" t="s">
        <v>2860</v>
      </c>
      <c r="CQE3" t="s">
        <v>2861</v>
      </c>
      <c r="CQF3" t="s">
        <v>2862</v>
      </c>
      <c r="CQG3" t="s">
        <v>2863</v>
      </c>
      <c r="CQH3" t="s">
        <v>2864</v>
      </c>
      <c r="CQI3" t="s">
        <v>2865</v>
      </c>
      <c r="CQJ3" t="s">
        <v>2866</v>
      </c>
      <c r="CQK3" t="s">
        <v>2867</v>
      </c>
      <c r="CQL3" t="s">
        <v>2868</v>
      </c>
      <c r="CQM3" t="s">
        <v>2869</v>
      </c>
      <c r="CQN3" t="s">
        <v>2870</v>
      </c>
      <c r="CQO3" t="s">
        <v>2871</v>
      </c>
      <c r="CQP3" t="s">
        <v>2872</v>
      </c>
      <c r="CQQ3" t="s">
        <v>2873</v>
      </c>
      <c r="CQR3" t="s">
        <v>2874</v>
      </c>
      <c r="CQS3" t="s">
        <v>2875</v>
      </c>
      <c r="CQT3" t="s">
        <v>2876</v>
      </c>
      <c r="CQU3" t="s">
        <v>2877</v>
      </c>
      <c r="CQV3" t="s">
        <v>2878</v>
      </c>
      <c r="CQW3" t="s">
        <v>2879</v>
      </c>
      <c r="CQX3" t="s">
        <v>2880</v>
      </c>
      <c r="CQY3" t="s">
        <v>2881</v>
      </c>
      <c r="CQZ3" t="s">
        <v>2882</v>
      </c>
      <c r="CRA3" t="s">
        <v>2883</v>
      </c>
      <c r="CRB3" t="s">
        <v>2884</v>
      </c>
      <c r="CRC3" t="s">
        <v>2885</v>
      </c>
      <c r="CRD3" t="s">
        <v>2886</v>
      </c>
      <c r="CRE3" t="s">
        <v>2887</v>
      </c>
      <c r="CRF3" t="s">
        <v>2888</v>
      </c>
      <c r="CRG3" t="s">
        <v>2889</v>
      </c>
      <c r="CRH3" t="s">
        <v>2890</v>
      </c>
      <c r="CRI3" t="s">
        <v>2891</v>
      </c>
      <c r="CRJ3" t="s">
        <v>2892</v>
      </c>
      <c r="CRK3" t="s">
        <v>2893</v>
      </c>
      <c r="CRL3" t="s">
        <v>2894</v>
      </c>
      <c r="CRM3" t="s">
        <v>2895</v>
      </c>
      <c r="CRN3" t="s">
        <v>2896</v>
      </c>
      <c r="CRO3" t="s">
        <v>2897</v>
      </c>
      <c r="CRP3" t="s">
        <v>2898</v>
      </c>
      <c r="CRQ3" t="s">
        <v>2899</v>
      </c>
      <c r="CRR3" t="s">
        <v>2900</v>
      </c>
      <c r="CRS3" t="s">
        <v>2901</v>
      </c>
      <c r="CRT3" t="s">
        <v>2902</v>
      </c>
      <c r="CRU3" t="s">
        <v>2903</v>
      </c>
      <c r="CRV3" t="s">
        <v>2904</v>
      </c>
      <c r="CRW3" t="s">
        <v>2905</v>
      </c>
      <c r="CRX3" t="s">
        <v>2906</v>
      </c>
      <c r="CRY3" t="s">
        <v>2907</v>
      </c>
      <c r="CRZ3" t="s">
        <v>2908</v>
      </c>
      <c r="CSA3" t="s">
        <v>2909</v>
      </c>
      <c r="CSB3" t="s">
        <v>2910</v>
      </c>
      <c r="CSC3" t="s">
        <v>2911</v>
      </c>
      <c r="CSD3" t="s">
        <v>2912</v>
      </c>
      <c r="CSE3" t="s">
        <v>2913</v>
      </c>
      <c r="CSF3" t="s">
        <v>2914</v>
      </c>
      <c r="CSG3" t="s">
        <v>2915</v>
      </c>
      <c r="CSH3" t="s">
        <v>2916</v>
      </c>
      <c r="CSI3" t="s">
        <v>2917</v>
      </c>
      <c r="CSJ3" t="s">
        <v>2918</v>
      </c>
      <c r="CSK3" t="s">
        <v>2919</v>
      </c>
      <c r="CSL3" t="s">
        <v>2920</v>
      </c>
      <c r="CSM3" t="s">
        <v>2921</v>
      </c>
      <c r="CSN3" t="s">
        <v>2922</v>
      </c>
      <c r="CSO3" t="s">
        <v>2923</v>
      </c>
      <c r="CSP3" t="s">
        <v>2924</v>
      </c>
      <c r="CSQ3" t="s">
        <v>2925</v>
      </c>
      <c r="CSR3" t="s">
        <v>2926</v>
      </c>
      <c r="CSS3" t="s">
        <v>2927</v>
      </c>
      <c r="CST3" t="s">
        <v>2928</v>
      </c>
      <c r="CSU3" t="s">
        <v>2929</v>
      </c>
      <c r="CSV3" t="s">
        <v>2930</v>
      </c>
      <c r="CSW3" t="s">
        <v>2931</v>
      </c>
      <c r="CSX3" t="s">
        <v>2932</v>
      </c>
      <c r="CSY3" t="s">
        <v>2933</v>
      </c>
      <c r="CSZ3" t="s">
        <v>2934</v>
      </c>
      <c r="CTA3" t="s">
        <v>2935</v>
      </c>
      <c r="CTB3" t="s">
        <v>2936</v>
      </c>
      <c r="CTC3" t="s">
        <v>2937</v>
      </c>
      <c r="CTD3" t="s">
        <v>2938</v>
      </c>
      <c r="CTE3" t="s">
        <v>2939</v>
      </c>
      <c r="CTF3" t="s">
        <v>2940</v>
      </c>
      <c r="CTG3" t="s">
        <v>2941</v>
      </c>
      <c r="CTH3" t="s">
        <v>2942</v>
      </c>
      <c r="CTI3" t="s">
        <v>2943</v>
      </c>
      <c r="CTJ3" t="s">
        <v>2944</v>
      </c>
      <c r="CTK3" t="s">
        <v>2945</v>
      </c>
      <c r="CTL3" t="s">
        <v>2946</v>
      </c>
      <c r="CTM3" t="s">
        <v>2947</v>
      </c>
      <c r="CTN3" t="s">
        <v>2948</v>
      </c>
      <c r="CTO3" t="s">
        <v>2949</v>
      </c>
      <c r="CTP3" t="s">
        <v>2950</v>
      </c>
      <c r="CTQ3" t="s">
        <v>2951</v>
      </c>
      <c r="CTR3" t="s">
        <v>2952</v>
      </c>
      <c r="CTS3" t="s">
        <v>2953</v>
      </c>
      <c r="CTT3" t="s">
        <v>2954</v>
      </c>
      <c r="CTU3" t="s">
        <v>2955</v>
      </c>
      <c r="CTV3" t="s">
        <v>2956</v>
      </c>
      <c r="CTW3" t="s">
        <v>2957</v>
      </c>
      <c r="CTX3" t="s">
        <v>2958</v>
      </c>
      <c r="CTY3" t="s">
        <v>2959</v>
      </c>
      <c r="CTZ3" t="s">
        <v>2960</v>
      </c>
      <c r="CUA3" t="s">
        <v>2961</v>
      </c>
      <c r="CUB3" t="s">
        <v>2962</v>
      </c>
      <c r="CUC3" t="s">
        <v>2963</v>
      </c>
      <c r="CUD3" t="s">
        <v>2964</v>
      </c>
      <c r="CUE3" t="s">
        <v>2965</v>
      </c>
      <c r="CUF3" t="s">
        <v>2966</v>
      </c>
      <c r="CUG3" t="s">
        <v>2967</v>
      </c>
      <c r="CUH3" t="s">
        <v>2968</v>
      </c>
      <c r="CUI3" t="s">
        <v>2969</v>
      </c>
      <c r="CUJ3" t="s">
        <v>2970</v>
      </c>
      <c r="CUK3" t="s">
        <v>2971</v>
      </c>
      <c r="CUL3" t="s">
        <v>2972</v>
      </c>
      <c r="CUM3" t="s">
        <v>2973</v>
      </c>
      <c r="CUN3" t="s">
        <v>2974</v>
      </c>
      <c r="CUO3" t="s">
        <v>2975</v>
      </c>
      <c r="CUP3" t="s">
        <v>2976</v>
      </c>
      <c r="CUQ3" t="s">
        <v>2977</v>
      </c>
      <c r="CUR3" t="s">
        <v>2978</v>
      </c>
      <c r="CUS3" t="s">
        <v>2979</v>
      </c>
      <c r="CUT3" t="s">
        <v>2980</v>
      </c>
      <c r="CUU3" t="s">
        <v>2981</v>
      </c>
      <c r="CUV3" t="s">
        <v>2982</v>
      </c>
      <c r="CUW3" t="s">
        <v>2983</v>
      </c>
      <c r="CUX3" t="s">
        <v>2984</v>
      </c>
      <c r="CUY3" t="s">
        <v>2985</v>
      </c>
      <c r="CUZ3" t="s">
        <v>2986</v>
      </c>
      <c r="CVA3" t="s">
        <v>2987</v>
      </c>
      <c r="CVB3" t="s">
        <v>2988</v>
      </c>
      <c r="CVC3" t="s">
        <v>2989</v>
      </c>
      <c r="CVD3" t="s">
        <v>2990</v>
      </c>
      <c r="CVE3" t="s">
        <v>2991</v>
      </c>
      <c r="CVF3" t="s">
        <v>2992</v>
      </c>
      <c r="CVG3" t="s">
        <v>2993</v>
      </c>
      <c r="CVH3" t="s">
        <v>2994</v>
      </c>
      <c r="CVI3" t="s">
        <v>2995</v>
      </c>
      <c r="CVJ3" t="s">
        <v>2996</v>
      </c>
      <c r="CVK3" t="s">
        <v>2997</v>
      </c>
      <c r="CVL3" t="s">
        <v>2998</v>
      </c>
      <c r="CVM3" t="s">
        <v>2999</v>
      </c>
      <c r="CVN3" t="s">
        <v>3000</v>
      </c>
      <c r="CVO3" t="s">
        <v>3001</v>
      </c>
      <c r="CVP3" t="s">
        <v>3002</v>
      </c>
      <c r="CVQ3" t="s">
        <v>3003</v>
      </c>
      <c r="CVR3" t="s">
        <v>3004</v>
      </c>
      <c r="CVS3" t="s">
        <v>3005</v>
      </c>
      <c r="CVT3" t="s">
        <v>3006</v>
      </c>
      <c r="CVU3" t="s">
        <v>3007</v>
      </c>
      <c r="CVV3" t="s">
        <v>3008</v>
      </c>
      <c r="CVW3" t="s">
        <v>3009</v>
      </c>
      <c r="CVX3" t="s">
        <v>3010</v>
      </c>
      <c r="CVY3" t="s">
        <v>3011</v>
      </c>
      <c r="CVZ3" t="s">
        <v>3012</v>
      </c>
      <c r="CWA3" t="s">
        <v>3013</v>
      </c>
      <c r="CWB3" t="s">
        <v>3014</v>
      </c>
      <c r="CWC3" t="s">
        <v>3015</v>
      </c>
      <c r="CWD3" t="s">
        <v>3016</v>
      </c>
      <c r="CWE3" t="s">
        <v>3017</v>
      </c>
      <c r="CWF3" t="s">
        <v>3018</v>
      </c>
      <c r="CWG3" t="s">
        <v>3019</v>
      </c>
      <c r="CWH3" t="s">
        <v>3020</v>
      </c>
      <c r="CWI3" t="s">
        <v>3021</v>
      </c>
      <c r="CWJ3" t="s">
        <v>3022</v>
      </c>
      <c r="CWK3" t="s">
        <v>3023</v>
      </c>
      <c r="CWL3" t="s">
        <v>3024</v>
      </c>
      <c r="CWM3" t="s">
        <v>3025</v>
      </c>
      <c r="CWN3" t="s">
        <v>3026</v>
      </c>
      <c r="CWO3" t="s">
        <v>3027</v>
      </c>
      <c r="CWP3" t="s">
        <v>3028</v>
      </c>
      <c r="CWQ3" t="s">
        <v>3029</v>
      </c>
      <c r="CWR3" t="s">
        <v>3030</v>
      </c>
      <c r="CWS3" t="s">
        <v>3031</v>
      </c>
      <c r="CWT3" t="s">
        <v>3032</v>
      </c>
      <c r="CWU3" t="s">
        <v>3033</v>
      </c>
      <c r="CWV3" t="s">
        <v>3034</v>
      </c>
      <c r="CWW3" t="s">
        <v>3035</v>
      </c>
      <c r="CWX3" t="s">
        <v>3036</v>
      </c>
      <c r="CWY3" t="s">
        <v>3037</v>
      </c>
      <c r="CWZ3" t="s">
        <v>3038</v>
      </c>
      <c r="CXA3" t="s">
        <v>3039</v>
      </c>
      <c r="CXB3" t="s">
        <v>3040</v>
      </c>
      <c r="CXC3" t="s">
        <v>3041</v>
      </c>
      <c r="CXD3" t="s">
        <v>3042</v>
      </c>
      <c r="CXE3" t="s">
        <v>3043</v>
      </c>
      <c r="CXF3" t="s">
        <v>3044</v>
      </c>
      <c r="CXG3" t="s">
        <v>3045</v>
      </c>
      <c r="CXH3" t="s">
        <v>3046</v>
      </c>
      <c r="CXI3" t="s">
        <v>3047</v>
      </c>
      <c r="CXJ3" t="s">
        <v>3048</v>
      </c>
      <c r="CXK3" t="s">
        <v>3049</v>
      </c>
      <c r="CXL3" t="s">
        <v>3050</v>
      </c>
      <c r="CXM3" t="s">
        <v>3051</v>
      </c>
      <c r="CXN3" t="s">
        <v>3052</v>
      </c>
      <c r="CXO3" t="s">
        <v>3053</v>
      </c>
      <c r="CXP3" t="s">
        <v>3054</v>
      </c>
      <c r="CXQ3" t="s">
        <v>3055</v>
      </c>
      <c r="CXR3" t="s">
        <v>3056</v>
      </c>
      <c r="CXS3" t="s">
        <v>3057</v>
      </c>
      <c r="CXT3" t="s">
        <v>3058</v>
      </c>
      <c r="CXU3" t="s">
        <v>3059</v>
      </c>
      <c r="CXV3" t="s">
        <v>3060</v>
      </c>
      <c r="CXW3" t="s">
        <v>3061</v>
      </c>
      <c r="CXX3" t="s">
        <v>3062</v>
      </c>
      <c r="CXY3" t="s">
        <v>3063</v>
      </c>
      <c r="CXZ3" t="s">
        <v>3064</v>
      </c>
      <c r="CYA3" t="s">
        <v>3065</v>
      </c>
      <c r="CYB3" t="s">
        <v>3066</v>
      </c>
      <c r="CYC3" t="s">
        <v>3067</v>
      </c>
      <c r="CYD3" t="s">
        <v>3068</v>
      </c>
      <c r="CYE3" t="s">
        <v>3069</v>
      </c>
      <c r="CYF3" t="s">
        <v>3070</v>
      </c>
      <c r="CYG3" t="s">
        <v>3071</v>
      </c>
      <c r="CYH3" t="s">
        <v>3072</v>
      </c>
      <c r="CYI3" t="s">
        <v>3073</v>
      </c>
      <c r="CYJ3" t="s">
        <v>3074</v>
      </c>
      <c r="CYK3" t="s">
        <v>3075</v>
      </c>
      <c r="CYL3" t="s">
        <v>3076</v>
      </c>
      <c r="CYM3" t="s">
        <v>3077</v>
      </c>
      <c r="CYN3" t="s">
        <v>3078</v>
      </c>
      <c r="CYO3" t="s">
        <v>3079</v>
      </c>
      <c r="CYP3" t="s">
        <v>3080</v>
      </c>
      <c r="CYQ3" t="s">
        <v>3081</v>
      </c>
      <c r="CYR3" t="s">
        <v>3082</v>
      </c>
      <c r="CYS3" t="s">
        <v>3083</v>
      </c>
      <c r="CYT3" t="s">
        <v>3084</v>
      </c>
      <c r="CYU3" t="s">
        <v>3085</v>
      </c>
      <c r="CYV3" t="s">
        <v>3086</v>
      </c>
      <c r="CYW3" t="s">
        <v>3087</v>
      </c>
      <c r="CYX3" t="s">
        <v>3088</v>
      </c>
      <c r="CYY3" t="s">
        <v>3089</v>
      </c>
      <c r="CYZ3" t="s">
        <v>3090</v>
      </c>
      <c r="CZA3" t="s">
        <v>3091</v>
      </c>
      <c r="CZB3" t="s">
        <v>3092</v>
      </c>
      <c r="CZC3" t="s">
        <v>3093</v>
      </c>
      <c r="CZD3" t="s">
        <v>3094</v>
      </c>
      <c r="CZE3" t="s">
        <v>3095</v>
      </c>
      <c r="CZF3" t="s">
        <v>3096</v>
      </c>
      <c r="CZG3" t="s">
        <v>3097</v>
      </c>
      <c r="CZH3" t="s">
        <v>3098</v>
      </c>
      <c r="CZI3" t="s">
        <v>3099</v>
      </c>
      <c r="CZJ3" t="s">
        <v>3100</v>
      </c>
      <c r="CZK3" t="s">
        <v>3101</v>
      </c>
      <c r="CZL3" t="s">
        <v>3102</v>
      </c>
      <c r="CZM3" t="s">
        <v>3103</v>
      </c>
      <c r="CZN3" t="s">
        <v>3104</v>
      </c>
      <c r="CZO3" t="s">
        <v>3105</v>
      </c>
      <c r="CZP3" t="s">
        <v>3106</v>
      </c>
      <c r="CZQ3" t="s">
        <v>3107</v>
      </c>
      <c r="CZR3" t="s">
        <v>3108</v>
      </c>
      <c r="CZS3" t="s">
        <v>3109</v>
      </c>
      <c r="CZT3" t="s">
        <v>3110</v>
      </c>
      <c r="CZU3" t="s">
        <v>3111</v>
      </c>
      <c r="CZV3" t="s">
        <v>3112</v>
      </c>
      <c r="CZW3" t="s">
        <v>3113</v>
      </c>
      <c r="CZX3" t="s">
        <v>3114</v>
      </c>
      <c r="CZY3" t="s">
        <v>3115</v>
      </c>
      <c r="CZZ3" t="s">
        <v>3116</v>
      </c>
      <c r="DAA3" t="s">
        <v>3117</v>
      </c>
      <c r="DAB3" t="s">
        <v>3118</v>
      </c>
      <c r="DAC3" t="s">
        <v>3119</v>
      </c>
      <c r="DAD3" t="s">
        <v>3120</v>
      </c>
      <c r="DAE3" t="s">
        <v>3121</v>
      </c>
      <c r="DAF3" t="s">
        <v>3122</v>
      </c>
      <c r="DAG3" t="s">
        <v>3123</v>
      </c>
      <c r="DAH3" t="s">
        <v>3124</v>
      </c>
      <c r="DAI3" t="s">
        <v>3125</v>
      </c>
      <c r="DAJ3" t="s">
        <v>3126</v>
      </c>
      <c r="DAK3" t="s">
        <v>3127</v>
      </c>
      <c r="DAL3" t="s">
        <v>3128</v>
      </c>
      <c r="DAM3" t="s">
        <v>3129</v>
      </c>
      <c r="DAN3" t="s">
        <v>3130</v>
      </c>
      <c r="DAO3" t="s">
        <v>3131</v>
      </c>
      <c r="DAP3" t="s">
        <v>3132</v>
      </c>
      <c r="DAQ3" t="s">
        <v>3133</v>
      </c>
      <c r="DAR3" t="s">
        <v>3134</v>
      </c>
      <c r="DAS3" t="s">
        <v>3135</v>
      </c>
      <c r="DAT3" t="s">
        <v>3136</v>
      </c>
      <c r="DAU3" t="s">
        <v>3137</v>
      </c>
      <c r="DAV3" t="s">
        <v>3138</v>
      </c>
      <c r="DAW3" t="s">
        <v>3139</v>
      </c>
      <c r="DAX3" t="s">
        <v>3140</v>
      </c>
      <c r="DAY3" t="s">
        <v>3141</v>
      </c>
      <c r="DAZ3" t="s">
        <v>3142</v>
      </c>
      <c r="DBA3" t="s">
        <v>3143</v>
      </c>
      <c r="DBB3" t="s">
        <v>3144</v>
      </c>
      <c r="DBC3" t="s">
        <v>3145</v>
      </c>
      <c r="DBD3" t="s">
        <v>3146</v>
      </c>
      <c r="DBE3" t="s">
        <v>3147</v>
      </c>
      <c r="DBF3" t="s">
        <v>3148</v>
      </c>
      <c r="DBG3" t="s">
        <v>3149</v>
      </c>
      <c r="DBH3" t="s">
        <v>3150</v>
      </c>
      <c r="DBI3" t="s">
        <v>3151</v>
      </c>
      <c r="DBJ3" t="s">
        <v>3152</v>
      </c>
      <c r="DBK3" t="s">
        <v>3153</v>
      </c>
      <c r="DBL3" t="s">
        <v>3154</v>
      </c>
      <c r="DBM3" t="s">
        <v>3155</v>
      </c>
      <c r="DBN3" t="s">
        <v>3156</v>
      </c>
      <c r="DBO3" t="s">
        <v>3157</v>
      </c>
      <c r="DBP3" t="s">
        <v>3158</v>
      </c>
      <c r="DBQ3" t="s">
        <v>3159</v>
      </c>
      <c r="DBR3" t="s">
        <v>3160</v>
      </c>
      <c r="DBS3" t="s">
        <v>3161</v>
      </c>
      <c r="DBT3" t="s">
        <v>3162</v>
      </c>
      <c r="DBU3" t="s">
        <v>3163</v>
      </c>
      <c r="DBV3" t="s">
        <v>3164</v>
      </c>
      <c r="DBW3" t="s">
        <v>3165</v>
      </c>
      <c r="DBX3" t="s">
        <v>3166</v>
      </c>
      <c r="DBY3" t="s">
        <v>3167</v>
      </c>
      <c r="DBZ3" t="s">
        <v>3168</v>
      </c>
      <c r="DCA3" t="s">
        <v>3169</v>
      </c>
      <c r="DCB3" t="s">
        <v>3170</v>
      </c>
      <c r="DCC3" t="s">
        <v>3171</v>
      </c>
      <c r="DCD3" t="s">
        <v>3172</v>
      </c>
      <c r="DCE3" t="s">
        <v>3173</v>
      </c>
      <c r="DCF3" t="s">
        <v>3174</v>
      </c>
      <c r="DCG3" t="s">
        <v>3175</v>
      </c>
      <c r="DCH3" t="s">
        <v>3176</v>
      </c>
      <c r="DCI3" t="s">
        <v>3177</v>
      </c>
      <c r="DCJ3" t="s">
        <v>3178</v>
      </c>
      <c r="DCK3" t="s">
        <v>3179</v>
      </c>
      <c r="DCL3" t="s">
        <v>3180</v>
      </c>
      <c r="DCM3" t="s">
        <v>3181</v>
      </c>
      <c r="DCN3" t="s">
        <v>3182</v>
      </c>
      <c r="DCO3" t="s">
        <v>3183</v>
      </c>
      <c r="DCP3" t="s">
        <v>3184</v>
      </c>
      <c r="DCQ3" t="s">
        <v>3185</v>
      </c>
      <c r="DCR3" t="s">
        <v>3186</v>
      </c>
      <c r="DCS3" t="s">
        <v>3187</v>
      </c>
      <c r="DCT3" t="s">
        <v>3188</v>
      </c>
      <c r="DCU3" t="s">
        <v>3189</v>
      </c>
      <c r="DCV3" t="s">
        <v>3190</v>
      </c>
      <c r="DCW3" t="s">
        <v>3191</v>
      </c>
      <c r="DCX3" t="s">
        <v>3192</v>
      </c>
      <c r="DCY3" t="s">
        <v>3193</v>
      </c>
      <c r="DCZ3" t="s">
        <v>3194</v>
      </c>
      <c r="DDA3" t="s">
        <v>3195</v>
      </c>
      <c r="DDB3" t="s">
        <v>3196</v>
      </c>
      <c r="DDC3" t="s">
        <v>3197</v>
      </c>
      <c r="DDD3" t="s">
        <v>3198</v>
      </c>
      <c r="DDE3" t="s">
        <v>3199</v>
      </c>
      <c r="DDF3" t="s">
        <v>3200</v>
      </c>
      <c r="DDG3" t="s">
        <v>3201</v>
      </c>
      <c r="DDH3" t="s">
        <v>3202</v>
      </c>
      <c r="DDI3" t="s">
        <v>3203</v>
      </c>
      <c r="DDJ3" t="s">
        <v>3204</v>
      </c>
      <c r="DDK3" t="s">
        <v>3205</v>
      </c>
      <c r="DDL3" t="s">
        <v>3206</v>
      </c>
      <c r="DDM3" t="s">
        <v>3207</v>
      </c>
      <c r="DDN3" t="s">
        <v>3208</v>
      </c>
      <c r="DDO3" t="s">
        <v>3209</v>
      </c>
      <c r="DDP3" t="s">
        <v>3210</v>
      </c>
      <c r="DDQ3" t="s">
        <v>3211</v>
      </c>
      <c r="DDR3" t="s">
        <v>3212</v>
      </c>
      <c r="DDS3" t="s">
        <v>3213</v>
      </c>
      <c r="DDT3" t="s">
        <v>3214</v>
      </c>
      <c r="DDU3" t="s">
        <v>3215</v>
      </c>
      <c r="DDV3" t="s">
        <v>3216</v>
      </c>
      <c r="DDW3" t="s">
        <v>3217</v>
      </c>
      <c r="DDX3" t="s">
        <v>3218</v>
      </c>
      <c r="DDY3" t="s">
        <v>3219</v>
      </c>
      <c r="DDZ3" t="s">
        <v>3220</v>
      </c>
      <c r="DEA3" t="s">
        <v>3221</v>
      </c>
      <c r="DEB3" t="s">
        <v>3222</v>
      </c>
      <c r="DEC3" t="s">
        <v>3223</v>
      </c>
      <c r="DED3" t="s">
        <v>3224</v>
      </c>
      <c r="DEE3" t="s">
        <v>3225</v>
      </c>
      <c r="DEF3" t="s">
        <v>3226</v>
      </c>
      <c r="DEG3" t="s">
        <v>3227</v>
      </c>
      <c r="DEH3" t="s">
        <v>3228</v>
      </c>
      <c r="DEI3" t="s">
        <v>3229</v>
      </c>
      <c r="DEJ3" t="s">
        <v>3230</v>
      </c>
      <c r="DEK3" t="s">
        <v>3231</v>
      </c>
      <c r="DEL3" t="s">
        <v>3232</v>
      </c>
      <c r="DEM3" t="s">
        <v>3233</v>
      </c>
      <c r="DEN3" t="s">
        <v>3234</v>
      </c>
      <c r="DEO3" t="s">
        <v>3235</v>
      </c>
      <c r="DEP3" t="s">
        <v>3236</v>
      </c>
      <c r="DEQ3" t="s">
        <v>3237</v>
      </c>
      <c r="DER3" t="s">
        <v>3238</v>
      </c>
      <c r="DES3" t="s">
        <v>3239</v>
      </c>
      <c r="DET3" t="s">
        <v>3240</v>
      </c>
      <c r="DEU3" t="s">
        <v>3241</v>
      </c>
      <c r="DEV3" t="s">
        <v>3242</v>
      </c>
      <c r="DEW3" t="s">
        <v>3243</v>
      </c>
      <c r="DEX3" t="s">
        <v>3244</v>
      </c>
      <c r="DEY3" t="s">
        <v>3245</v>
      </c>
      <c r="DEZ3" t="s">
        <v>3246</v>
      </c>
      <c r="DFA3" t="s">
        <v>3247</v>
      </c>
      <c r="DFB3" t="s">
        <v>3248</v>
      </c>
      <c r="DFC3" t="s">
        <v>3249</v>
      </c>
      <c r="DFD3" t="s">
        <v>3250</v>
      </c>
      <c r="DFE3" t="s">
        <v>3251</v>
      </c>
      <c r="DFF3" t="s">
        <v>3252</v>
      </c>
      <c r="DFG3" t="s">
        <v>3253</v>
      </c>
      <c r="DFH3" t="s">
        <v>3254</v>
      </c>
      <c r="DFI3" t="s">
        <v>3255</v>
      </c>
      <c r="DFJ3" t="s">
        <v>3256</v>
      </c>
      <c r="DFK3" t="s">
        <v>3257</v>
      </c>
      <c r="DFL3" t="s">
        <v>3258</v>
      </c>
      <c r="DFM3" t="s">
        <v>3259</v>
      </c>
      <c r="DFN3" t="s">
        <v>3260</v>
      </c>
      <c r="DFO3" t="s">
        <v>3261</v>
      </c>
      <c r="DFP3" t="s">
        <v>3262</v>
      </c>
      <c r="DFQ3" t="s">
        <v>3263</v>
      </c>
      <c r="DFR3" t="s">
        <v>3264</v>
      </c>
      <c r="DFS3" t="s">
        <v>3265</v>
      </c>
      <c r="DFT3" t="s">
        <v>3266</v>
      </c>
      <c r="DFU3" t="s">
        <v>3267</v>
      </c>
      <c r="DFV3" t="s">
        <v>3268</v>
      </c>
      <c r="DFW3" t="s">
        <v>3269</v>
      </c>
      <c r="DFX3" t="s">
        <v>3270</v>
      </c>
      <c r="DFY3" t="s">
        <v>3271</v>
      </c>
      <c r="DFZ3" t="s">
        <v>3272</v>
      </c>
      <c r="DGA3" t="s">
        <v>3273</v>
      </c>
      <c r="DGB3" t="s">
        <v>3274</v>
      </c>
      <c r="DGC3" t="s">
        <v>3275</v>
      </c>
      <c r="DGD3" t="s">
        <v>3276</v>
      </c>
      <c r="DGE3" t="s">
        <v>3277</v>
      </c>
      <c r="DGF3" t="s">
        <v>3278</v>
      </c>
      <c r="DGG3" t="s">
        <v>3279</v>
      </c>
      <c r="DGH3" t="s">
        <v>3280</v>
      </c>
      <c r="DGI3" t="s">
        <v>3281</v>
      </c>
      <c r="DGJ3" t="s">
        <v>3282</v>
      </c>
      <c r="DGK3" t="s">
        <v>3283</v>
      </c>
      <c r="DGL3" t="s">
        <v>3284</v>
      </c>
      <c r="DGM3" t="s">
        <v>3285</v>
      </c>
      <c r="DGN3" t="s">
        <v>3286</v>
      </c>
      <c r="DGO3" t="s">
        <v>3287</v>
      </c>
      <c r="DGP3" t="s">
        <v>3288</v>
      </c>
      <c r="DGQ3" t="s">
        <v>3289</v>
      </c>
      <c r="DGR3" t="s">
        <v>3290</v>
      </c>
      <c r="DGS3" t="s">
        <v>3291</v>
      </c>
      <c r="DGT3" t="s">
        <v>3292</v>
      </c>
      <c r="DGU3" t="s">
        <v>3293</v>
      </c>
      <c r="DGV3" t="s">
        <v>3294</v>
      </c>
      <c r="DGW3" t="s">
        <v>3295</v>
      </c>
      <c r="DGX3" t="s">
        <v>3296</v>
      </c>
      <c r="DGY3" t="s">
        <v>3297</v>
      </c>
      <c r="DGZ3" t="s">
        <v>3298</v>
      </c>
      <c r="DHA3" t="s">
        <v>3299</v>
      </c>
      <c r="DHB3" t="s">
        <v>3300</v>
      </c>
      <c r="DHC3" t="s">
        <v>3301</v>
      </c>
      <c r="DHD3" t="s">
        <v>3302</v>
      </c>
      <c r="DHE3" t="s">
        <v>3303</v>
      </c>
      <c r="DHF3" t="s">
        <v>3304</v>
      </c>
      <c r="DHG3" t="s">
        <v>3305</v>
      </c>
      <c r="DHH3" t="s">
        <v>3306</v>
      </c>
      <c r="DHI3" t="s">
        <v>3307</v>
      </c>
      <c r="DHJ3" t="s">
        <v>3308</v>
      </c>
      <c r="DHK3" t="s">
        <v>3309</v>
      </c>
      <c r="DHL3" t="s">
        <v>3310</v>
      </c>
      <c r="DHM3" t="s">
        <v>3311</v>
      </c>
      <c r="DHN3" t="s">
        <v>3312</v>
      </c>
      <c r="DHO3" t="s">
        <v>3313</v>
      </c>
      <c r="DHP3" t="s">
        <v>3314</v>
      </c>
      <c r="DHQ3" t="s">
        <v>3315</v>
      </c>
      <c r="DHR3" t="s">
        <v>3316</v>
      </c>
      <c r="DHS3" t="s">
        <v>3317</v>
      </c>
      <c r="DHT3" t="s">
        <v>3318</v>
      </c>
      <c r="DHU3" t="s">
        <v>3319</v>
      </c>
      <c r="DHV3" t="s">
        <v>3320</v>
      </c>
      <c r="DHW3" t="s">
        <v>3321</v>
      </c>
      <c r="DHX3" t="s">
        <v>3322</v>
      </c>
      <c r="DHY3" t="s">
        <v>3323</v>
      </c>
      <c r="DHZ3" t="s">
        <v>3324</v>
      </c>
      <c r="DIA3" t="s">
        <v>3325</v>
      </c>
      <c r="DIB3" t="s">
        <v>3326</v>
      </c>
      <c r="DIC3" t="s">
        <v>3327</v>
      </c>
      <c r="DID3" t="s">
        <v>3328</v>
      </c>
      <c r="DIE3" t="s">
        <v>3329</v>
      </c>
      <c r="DIF3" t="s">
        <v>3330</v>
      </c>
      <c r="DIG3" t="s">
        <v>3331</v>
      </c>
      <c r="DIH3" t="s">
        <v>3332</v>
      </c>
      <c r="DII3" t="s">
        <v>3333</v>
      </c>
      <c r="DIJ3" t="s">
        <v>3334</v>
      </c>
      <c r="DIK3" t="s">
        <v>3335</v>
      </c>
      <c r="DIL3" t="s">
        <v>3336</v>
      </c>
      <c r="DIM3" t="s">
        <v>3337</v>
      </c>
      <c r="DIN3" t="s">
        <v>3338</v>
      </c>
      <c r="DIO3" t="s">
        <v>3339</v>
      </c>
      <c r="DIP3" t="s">
        <v>3340</v>
      </c>
      <c r="DIQ3" t="s">
        <v>3341</v>
      </c>
      <c r="DIR3" t="s">
        <v>3342</v>
      </c>
      <c r="DIS3" t="s">
        <v>3343</v>
      </c>
      <c r="DIT3" t="s">
        <v>3344</v>
      </c>
      <c r="DIU3" t="s">
        <v>3345</v>
      </c>
      <c r="DIV3" t="s">
        <v>3346</v>
      </c>
      <c r="DIW3" t="s">
        <v>3347</v>
      </c>
      <c r="DIX3" t="s">
        <v>3348</v>
      </c>
      <c r="DIY3" t="s">
        <v>3349</v>
      </c>
      <c r="DIZ3" t="s">
        <v>3350</v>
      </c>
      <c r="DJA3" t="s">
        <v>3351</v>
      </c>
      <c r="DJB3" t="s">
        <v>3352</v>
      </c>
      <c r="DJC3" t="s">
        <v>3353</v>
      </c>
      <c r="DJD3" t="s">
        <v>3354</v>
      </c>
      <c r="DJE3" t="s">
        <v>3355</v>
      </c>
      <c r="DJF3" t="s">
        <v>3356</v>
      </c>
      <c r="DJG3" t="s">
        <v>3357</v>
      </c>
      <c r="DJH3" t="s">
        <v>3358</v>
      </c>
      <c r="DJI3" t="s">
        <v>3359</v>
      </c>
      <c r="DJJ3" t="s">
        <v>3360</v>
      </c>
      <c r="DJK3" t="s">
        <v>3361</v>
      </c>
      <c r="DJL3" t="s">
        <v>3362</v>
      </c>
      <c r="DJM3" t="s">
        <v>3363</v>
      </c>
      <c r="DJN3" t="s">
        <v>3364</v>
      </c>
      <c r="DJO3" t="s">
        <v>3365</v>
      </c>
      <c r="DJP3" t="s">
        <v>3366</v>
      </c>
      <c r="DJQ3" t="s">
        <v>3367</v>
      </c>
      <c r="DJR3" t="s">
        <v>3368</v>
      </c>
      <c r="DJS3" t="s">
        <v>3369</v>
      </c>
      <c r="DJT3" t="s">
        <v>3370</v>
      </c>
      <c r="DJU3" t="s">
        <v>3371</v>
      </c>
      <c r="DJV3" t="s">
        <v>3372</v>
      </c>
      <c r="DJW3" t="s">
        <v>3373</v>
      </c>
      <c r="DJX3" t="s">
        <v>3374</v>
      </c>
      <c r="DJY3" t="s">
        <v>3375</v>
      </c>
      <c r="DJZ3" t="s">
        <v>3376</v>
      </c>
      <c r="DKA3" t="s">
        <v>3377</v>
      </c>
      <c r="DKB3" t="s">
        <v>3378</v>
      </c>
      <c r="DKC3" t="s">
        <v>3379</v>
      </c>
      <c r="DKD3" t="s">
        <v>3380</v>
      </c>
      <c r="DKE3" t="s">
        <v>3381</v>
      </c>
      <c r="DKF3" t="s">
        <v>3382</v>
      </c>
      <c r="DKG3" t="s">
        <v>3383</v>
      </c>
      <c r="DKH3" t="s">
        <v>3384</v>
      </c>
      <c r="DKI3" t="s">
        <v>3385</v>
      </c>
      <c r="DKJ3" t="s">
        <v>3386</v>
      </c>
      <c r="DKK3" t="s">
        <v>3387</v>
      </c>
      <c r="DKL3" t="s">
        <v>3388</v>
      </c>
      <c r="DKM3" t="s">
        <v>3389</v>
      </c>
      <c r="DKN3" t="s">
        <v>3390</v>
      </c>
      <c r="DKO3" t="s">
        <v>3391</v>
      </c>
      <c r="DKP3" t="s">
        <v>3392</v>
      </c>
      <c r="DKQ3" t="s">
        <v>3393</v>
      </c>
      <c r="DKR3" t="s">
        <v>3394</v>
      </c>
      <c r="DKS3" t="s">
        <v>3395</v>
      </c>
      <c r="DKT3" t="s">
        <v>3396</v>
      </c>
      <c r="DKU3" t="s">
        <v>3397</v>
      </c>
      <c r="DKV3" t="s">
        <v>3398</v>
      </c>
      <c r="DKW3" t="s">
        <v>3399</v>
      </c>
      <c r="DKX3" t="s">
        <v>3400</v>
      </c>
      <c r="DKY3" t="s">
        <v>3401</v>
      </c>
      <c r="DKZ3" t="s">
        <v>3402</v>
      </c>
      <c r="DLA3" t="s">
        <v>3403</v>
      </c>
      <c r="DLB3" t="s">
        <v>3404</v>
      </c>
      <c r="DLC3" t="s">
        <v>3405</v>
      </c>
      <c r="DLD3" t="s">
        <v>3406</v>
      </c>
      <c r="DLE3" t="s">
        <v>3407</v>
      </c>
      <c r="DLF3" t="s">
        <v>3408</v>
      </c>
      <c r="DLG3" t="s">
        <v>3409</v>
      </c>
      <c r="DLH3" t="s">
        <v>3410</v>
      </c>
      <c r="DLI3" t="s">
        <v>3411</v>
      </c>
      <c r="DLJ3" t="s">
        <v>3412</v>
      </c>
      <c r="DLK3" t="s">
        <v>3413</v>
      </c>
      <c r="DLL3" t="s">
        <v>3414</v>
      </c>
      <c r="DLM3" t="s">
        <v>3415</v>
      </c>
      <c r="DLN3" t="s">
        <v>3416</v>
      </c>
      <c r="DLO3" t="s">
        <v>3417</v>
      </c>
      <c r="DLP3" t="s">
        <v>3418</v>
      </c>
      <c r="DLQ3" t="s">
        <v>3419</v>
      </c>
      <c r="DLR3" t="s">
        <v>3420</v>
      </c>
      <c r="DLS3" t="s">
        <v>3421</v>
      </c>
      <c r="DLT3" t="s">
        <v>3422</v>
      </c>
      <c r="DLU3" t="s">
        <v>3423</v>
      </c>
      <c r="DLV3" t="s">
        <v>3424</v>
      </c>
      <c r="DLW3" t="s">
        <v>3425</v>
      </c>
      <c r="DLX3" t="s">
        <v>3426</v>
      </c>
      <c r="DLY3" t="s">
        <v>3427</v>
      </c>
      <c r="DLZ3" t="s">
        <v>3428</v>
      </c>
      <c r="DMA3" t="s">
        <v>3429</v>
      </c>
      <c r="DMB3" t="s">
        <v>3430</v>
      </c>
      <c r="DMC3" t="s">
        <v>3431</v>
      </c>
      <c r="DMD3" t="s">
        <v>3432</v>
      </c>
      <c r="DME3" t="s">
        <v>3433</v>
      </c>
      <c r="DMF3" t="s">
        <v>3434</v>
      </c>
      <c r="DMG3" t="s">
        <v>3435</v>
      </c>
      <c r="DMH3" t="s">
        <v>3436</v>
      </c>
      <c r="DMI3" t="s">
        <v>3437</v>
      </c>
      <c r="DMJ3" t="s">
        <v>3438</v>
      </c>
      <c r="DMK3" t="s">
        <v>3439</v>
      </c>
      <c r="DML3" t="s">
        <v>3440</v>
      </c>
      <c r="DMM3" t="s">
        <v>3441</v>
      </c>
      <c r="DMN3" t="s">
        <v>3442</v>
      </c>
      <c r="DMO3" t="s">
        <v>3443</v>
      </c>
      <c r="DMP3" t="s">
        <v>3444</v>
      </c>
      <c r="DMQ3" t="s">
        <v>3445</v>
      </c>
      <c r="DMR3" t="s">
        <v>3446</v>
      </c>
      <c r="DMS3" t="s">
        <v>3447</v>
      </c>
      <c r="DMT3" t="s">
        <v>3448</v>
      </c>
      <c r="DMU3" t="s">
        <v>3449</v>
      </c>
      <c r="DMV3" t="s">
        <v>3450</v>
      </c>
      <c r="DMW3" t="s">
        <v>3451</v>
      </c>
      <c r="DMX3" t="s">
        <v>3452</v>
      </c>
      <c r="DMY3" t="s">
        <v>3453</v>
      </c>
      <c r="DMZ3" t="s">
        <v>3454</v>
      </c>
      <c r="DNA3" t="s">
        <v>3455</v>
      </c>
      <c r="DNB3" t="s">
        <v>3456</v>
      </c>
      <c r="DNC3" t="s">
        <v>3457</v>
      </c>
      <c r="DND3" t="s">
        <v>3458</v>
      </c>
      <c r="DNE3" t="s">
        <v>3459</v>
      </c>
      <c r="DNF3" t="s">
        <v>3460</v>
      </c>
      <c r="DNG3" t="s">
        <v>3461</v>
      </c>
      <c r="DNH3" t="s">
        <v>3462</v>
      </c>
      <c r="DNI3" t="s">
        <v>3463</v>
      </c>
      <c r="DNJ3" t="s">
        <v>3464</v>
      </c>
      <c r="DNK3" t="s">
        <v>3465</v>
      </c>
      <c r="DNL3" t="s">
        <v>3466</v>
      </c>
      <c r="DNM3" t="s">
        <v>3467</v>
      </c>
      <c r="DNN3" t="s">
        <v>3468</v>
      </c>
      <c r="DNO3" t="s">
        <v>3469</v>
      </c>
      <c r="DNP3" t="s">
        <v>3470</v>
      </c>
      <c r="DNQ3" t="s">
        <v>3471</v>
      </c>
      <c r="DNR3" t="s">
        <v>3472</v>
      </c>
      <c r="DNS3" t="s">
        <v>3473</v>
      </c>
      <c r="DNT3" t="s">
        <v>3474</v>
      </c>
      <c r="DNU3" t="s">
        <v>3475</v>
      </c>
      <c r="DNV3" t="s">
        <v>3476</v>
      </c>
      <c r="DNW3" t="s">
        <v>3477</v>
      </c>
      <c r="DNX3" t="s">
        <v>3478</v>
      </c>
      <c r="DNY3" t="s">
        <v>3479</v>
      </c>
      <c r="DNZ3" t="s">
        <v>3480</v>
      </c>
      <c r="DOA3" t="s">
        <v>3481</v>
      </c>
      <c r="DOB3" t="s">
        <v>3482</v>
      </c>
      <c r="DOC3" t="s">
        <v>3483</v>
      </c>
      <c r="DOD3" t="s">
        <v>3484</v>
      </c>
      <c r="DOE3" t="s">
        <v>3485</v>
      </c>
      <c r="DOF3" t="s">
        <v>3486</v>
      </c>
      <c r="DOG3" t="s">
        <v>3487</v>
      </c>
      <c r="DOH3" t="s">
        <v>3488</v>
      </c>
      <c r="DOI3" t="s">
        <v>3489</v>
      </c>
      <c r="DOJ3" t="s">
        <v>3490</v>
      </c>
      <c r="DOK3" t="s">
        <v>3491</v>
      </c>
      <c r="DOL3" t="s">
        <v>3492</v>
      </c>
      <c r="DOM3" t="s">
        <v>3493</v>
      </c>
      <c r="DON3" t="s">
        <v>3494</v>
      </c>
      <c r="DOO3" t="s">
        <v>3495</v>
      </c>
      <c r="DOP3" t="s">
        <v>3496</v>
      </c>
      <c r="DOQ3" t="s">
        <v>3497</v>
      </c>
      <c r="DOR3" t="s">
        <v>3498</v>
      </c>
      <c r="DOS3" t="s">
        <v>3499</v>
      </c>
      <c r="DOT3" t="s">
        <v>3500</v>
      </c>
      <c r="DOU3" t="s">
        <v>3501</v>
      </c>
      <c r="DOV3" t="s">
        <v>3502</v>
      </c>
      <c r="DOW3" t="s">
        <v>3503</v>
      </c>
      <c r="DOX3" t="s">
        <v>3504</v>
      </c>
      <c r="DOY3" t="s">
        <v>3505</v>
      </c>
      <c r="DOZ3" t="s">
        <v>3506</v>
      </c>
      <c r="DPA3" t="s">
        <v>3507</v>
      </c>
      <c r="DPB3" t="s">
        <v>3508</v>
      </c>
      <c r="DPC3" t="s">
        <v>3509</v>
      </c>
      <c r="DPD3" t="s">
        <v>3510</v>
      </c>
      <c r="DPE3" t="s">
        <v>3511</v>
      </c>
      <c r="DPF3" t="s">
        <v>3512</v>
      </c>
      <c r="DPG3" t="s">
        <v>3513</v>
      </c>
      <c r="DPH3" t="s">
        <v>3514</v>
      </c>
      <c r="DPI3" t="s">
        <v>3515</v>
      </c>
      <c r="DPJ3" t="s">
        <v>3516</v>
      </c>
      <c r="DPK3" t="s">
        <v>3517</v>
      </c>
      <c r="DPL3" t="s">
        <v>3518</v>
      </c>
      <c r="DPM3" t="s">
        <v>3519</v>
      </c>
      <c r="DPN3" t="s">
        <v>3520</v>
      </c>
      <c r="DPO3" t="s">
        <v>3521</v>
      </c>
      <c r="DPP3" t="s">
        <v>3522</v>
      </c>
      <c r="DPQ3" t="s">
        <v>3523</v>
      </c>
      <c r="DPR3" t="s">
        <v>3524</v>
      </c>
      <c r="DPS3" t="s">
        <v>3525</v>
      </c>
      <c r="DPT3" t="s">
        <v>3526</v>
      </c>
      <c r="DPU3" t="s">
        <v>3527</v>
      </c>
      <c r="DPV3" t="s">
        <v>3528</v>
      </c>
      <c r="DPW3" t="s">
        <v>3529</v>
      </c>
      <c r="DPX3" t="s">
        <v>3530</v>
      </c>
      <c r="DPY3" t="s">
        <v>3531</v>
      </c>
      <c r="DPZ3" t="s">
        <v>3532</v>
      </c>
      <c r="DQA3" t="s">
        <v>3533</v>
      </c>
      <c r="DQB3" t="s">
        <v>3534</v>
      </c>
      <c r="DQC3" t="s">
        <v>3535</v>
      </c>
      <c r="DQD3" t="s">
        <v>3536</v>
      </c>
      <c r="DQE3" t="s">
        <v>3537</v>
      </c>
      <c r="DQF3" t="s">
        <v>3538</v>
      </c>
      <c r="DQG3" t="s">
        <v>3539</v>
      </c>
      <c r="DQH3" t="s">
        <v>3540</v>
      </c>
      <c r="DQI3" t="s">
        <v>3541</v>
      </c>
      <c r="DQJ3" t="s">
        <v>3542</v>
      </c>
      <c r="DQK3" t="s">
        <v>3543</v>
      </c>
      <c r="DQL3" t="s">
        <v>3544</v>
      </c>
      <c r="DQM3" t="s">
        <v>3545</v>
      </c>
      <c r="DQN3" t="s">
        <v>3546</v>
      </c>
      <c r="DQO3" t="s">
        <v>3547</v>
      </c>
      <c r="DQP3" t="s">
        <v>3548</v>
      </c>
      <c r="DQQ3" t="s">
        <v>3549</v>
      </c>
      <c r="DQR3" t="s">
        <v>3550</v>
      </c>
      <c r="DQS3" t="s">
        <v>3551</v>
      </c>
      <c r="DQT3" t="s">
        <v>3552</v>
      </c>
      <c r="DQU3" t="s">
        <v>3553</v>
      </c>
      <c r="DQV3" t="s">
        <v>3554</v>
      </c>
      <c r="DQW3" t="s">
        <v>3555</v>
      </c>
      <c r="DQX3" t="s">
        <v>3556</v>
      </c>
      <c r="DQY3" t="s">
        <v>3557</v>
      </c>
      <c r="DQZ3" t="s">
        <v>3558</v>
      </c>
      <c r="DRA3" t="s">
        <v>3559</v>
      </c>
      <c r="DRB3" t="s">
        <v>3560</v>
      </c>
      <c r="DRC3" t="s">
        <v>3561</v>
      </c>
      <c r="DRD3" t="s">
        <v>3562</v>
      </c>
      <c r="DRE3" t="s">
        <v>3563</v>
      </c>
      <c r="DRF3" t="s">
        <v>3564</v>
      </c>
      <c r="DRG3" t="s">
        <v>3565</v>
      </c>
      <c r="DRH3" t="s">
        <v>3566</v>
      </c>
      <c r="DRI3" t="s">
        <v>3567</v>
      </c>
      <c r="DRJ3" t="s">
        <v>3568</v>
      </c>
      <c r="DRK3" t="s">
        <v>3569</v>
      </c>
      <c r="DRL3" t="s">
        <v>3570</v>
      </c>
      <c r="DRM3" t="s">
        <v>3571</v>
      </c>
      <c r="DRN3" t="s">
        <v>3572</v>
      </c>
      <c r="DRO3" t="s">
        <v>3573</v>
      </c>
      <c r="DRP3" t="s">
        <v>3574</v>
      </c>
      <c r="DRQ3" t="s">
        <v>3575</v>
      </c>
      <c r="DRR3" t="s">
        <v>3576</v>
      </c>
      <c r="DRS3" t="s">
        <v>3577</v>
      </c>
      <c r="DRT3" t="s">
        <v>3578</v>
      </c>
      <c r="DRU3" t="s">
        <v>3579</v>
      </c>
      <c r="DRV3" t="s">
        <v>3580</v>
      </c>
      <c r="DRW3" t="s">
        <v>3581</v>
      </c>
      <c r="DRX3" t="s">
        <v>3582</v>
      </c>
      <c r="DRY3" t="s">
        <v>3583</v>
      </c>
      <c r="DRZ3" t="s">
        <v>3584</v>
      </c>
      <c r="DSA3" t="s">
        <v>3585</v>
      </c>
      <c r="DSB3" t="s">
        <v>3586</v>
      </c>
      <c r="DSC3" t="s">
        <v>3587</v>
      </c>
      <c r="DSD3" t="s">
        <v>3588</v>
      </c>
      <c r="DSE3" t="s">
        <v>3589</v>
      </c>
      <c r="DSF3" t="s">
        <v>3590</v>
      </c>
      <c r="DSG3" t="s">
        <v>3591</v>
      </c>
      <c r="DSH3" t="s">
        <v>3592</v>
      </c>
      <c r="DSI3" t="s">
        <v>3593</v>
      </c>
      <c r="DSJ3" t="s">
        <v>3594</v>
      </c>
      <c r="DSK3" t="s">
        <v>3595</v>
      </c>
      <c r="DSL3" t="s">
        <v>3596</v>
      </c>
      <c r="DSM3" t="s">
        <v>3597</v>
      </c>
      <c r="DSN3" t="s">
        <v>3598</v>
      </c>
      <c r="DSO3" t="s">
        <v>3599</v>
      </c>
      <c r="DSP3" t="s">
        <v>3600</v>
      </c>
      <c r="DSQ3" t="s">
        <v>3601</v>
      </c>
      <c r="DSR3" t="s">
        <v>3602</v>
      </c>
      <c r="DSS3" t="s">
        <v>3603</v>
      </c>
      <c r="DST3" t="s">
        <v>3604</v>
      </c>
      <c r="DSU3" t="s">
        <v>3605</v>
      </c>
      <c r="DSV3" t="s">
        <v>3606</v>
      </c>
      <c r="DSW3" t="s">
        <v>3607</v>
      </c>
      <c r="DSX3" t="s">
        <v>3608</v>
      </c>
      <c r="DSY3" t="s">
        <v>3609</v>
      </c>
      <c r="DSZ3" t="s">
        <v>3610</v>
      </c>
      <c r="DTA3" t="s">
        <v>3611</v>
      </c>
      <c r="DTB3" t="s">
        <v>3612</v>
      </c>
      <c r="DTC3" t="s">
        <v>3613</v>
      </c>
      <c r="DTD3" t="s">
        <v>3614</v>
      </c>
      <c r="DTE3" t="s">
        <v>3615</v>
      </c>
      <c r="DTF3" t="s">
        <v>3616</v>
      </c>
      <c r="DTG3" t="s">
        <v>3617</v>
      </c>
      <c r="DTH3" t="s">
        <v>3618</v>
      </c>
      <c r="DTI3" t="s">
        <v>3619</v>
      </c>
      <c r="DTJ3" t="s">
        <v>3620</v>
      </c>
      <c r="DTK3" t="s">
        <v>3621</v>
      </c>
      <c r="DTL3" t="s">
        <v>3622</v>
      </c>
      <c r="DTM3" t="s">
        <v>3623</v>
      </c>
      <c r="DTN3" t="s">
        <v>3624</v>
      </c>
      <c r="DTO3" t="s">
        <v>3625</v>
      </c>
      <c r="DTP3" t="s">
        <v>3626</v>
      </c>
      <c r="DTQ3" t="s">
        <v>3627</v>
      </c>
      <c r="DTR3" t="s">
        <v>3628</v>
      </c>
      <c r="DTS3" t="s">
        <v>3629</v>
      </c>
      <c r="DTT3" t="s">
        <v>3630</v>
      </c>
      <c r="DTU3" t="s">
        <v>3631</v>
      </c>
      <c r="DTV3" t="s">
        <v>3632</v>
      </c>
      <c r="DTW3" t="s">
        <v>3633</v>
      </c>
      <c r="DTX3" t="s">
        <v>3634</v>
      </c>
      <c r="DTY3" t="s">
        <v>3635</v>
      </c>
      <c r="DTZ3" t="s">
        <v>3636</v>
      </c>
      <c r="DUA3" t="s">
        <v>3637</v>
      </c>
      <c r="DUB3" t="s">
        <v>3638</v>
      </c>
      <c r="DUC3" t="s">
        <v>3639</v>
      </c>
      <c r="DUD3" t="s">
        <v>3640</v>
      </c>
      <c r="DUE3" t="s">
        <v>3641</v>
      </c>
      <c r="DUF3" t="s">
        <v>3642</v>
      </c>
      <c r="DUG3" t="s">
        <v>3643</v>
      </c>
      <c r="DUH3" t="s">
        <v>3644</v>
      </c>
      <c r="DUI3" t="s">
        <v>3645</v>
      </c>
      <c r="DUJ3" t="s">
        <v>3646</v>
      </c>
      <c r="DUK3" t="s">
        <v>3647</v>
      </c>
      <c r="DUL3" t="s">
        <v>3648</v>
      </c>
      <c r="DUM3" t="s">
        <v>3649</v>
      </c>
      <c r="DUN3" t="s">
        <v>3650</v>
      </c>
      <c r="DUO3" t="s">
        <v>3651</v>
      </c>
      <c r="DUP3" t="s">
        <v>3652</v>
      </c>
      <c r="DUQ3" t="s">
        <v>3653</v>
      </c>
      <c r="DUR3" t="s">
        <v>3654</v>
      </c>
      <c r="DUS3" t="s">
        <v>3655</v>
      </c>
      <c r="DUT3" t="s">
        <v>3656</v>
      </c>
      <c r="DUU3" t="s">
        <v>3657</v>
      </c>
      <c r="DUV3" t="s">
        <v>3658</v>
      </c>
      <c r="DUW3" t="s">
        <v>3659</v>
      </c>
      <c r="DUX3" t="s">
        <v>3660</v>
      </c>
      <c r="DUY3" t="s">
        <v>3661</v>
      </c>
      <c r="DUZ3" t="s">
        <v>3662</v>
      </c>
      <c r="DVA3" t="s">
        <v>3663</v>
      </c>
      <c r="DVB3" t="s">
        <v>3664</v>
      </c>
      <c r="DVC3" t="s">
        <v>3665</v>
      </c>
      <c r="DVD3" t="s">
        <v>3666</v>
      </c>
      <c r="DVE3" t="s">
        <v>3667</v>
      </c>
      <c r="DVF3" t="s">
        <v>3668</v>
      </c>
      <c r="DVG3" t="s">
        <v>3669</v>
      </c>
      <c r="DVH3" t="s">
        <v>3670</v>
      </c>
      <c r="DVI3" t="s">
        <v>3671</v>
      </c>
      <c r="DVJ3" t="s">
        <v>3672</v>
      </c>
      <c r="DVK3" t="s">
        <v>3673</v>
      </c>
      <c r="DVL3" t="s">
        <v>3674</v>
      </c>
      <c r="DVM3" t="s">
        <v>3675</v>
      </c>
      <c r="DVN3" t="s">
        <v>3676</v>
      </c>
      <c r="DVO3" t="s">
        <v>3677</v>
      </c>
      <c r="DVP3" t="s">
        <v>3678</v>
      </c>
      <c r="DVQ3" t="s">
        <v>3679</v>
      </c>
      <c r="DVR3" t="s">
        <v>3680</v>
      </c>
      <c r="DVS3" t="s">
        <v>3681</v>
      </c>
      <c r="DVT3" t="s">
        <v>3682</v>
      </c>
      <c r="DVU3" t="s">
        <v>3683</v>
      </c>
      <c r="DVV3" t="s">
        <v>3684</v>
      </c>
      <c r="DVW3" t="s">
        <v>3685</v>
      </c>
      <c r="DVX3" t="s">
        <v>3686</v>
      </c>
      <c r="DVY3" t="s">
        <v>3687</v>
      </c>
      <c r="DVZ3" t="s">
        <v>3688</v>
      </c>
      <c r="DWA3" t="s">
        <v>3689</v>
      </c>
      <c r="DWB3" t="s">
        <v>3690</v>
      </c>
      <c r="DWC3" t="s">
        <v>3691</v>
      </c>
      <c r="DWD3" t="s">
        <v>3692</v>
      </c>
      <c r="DWE3" t="s">
        <v>3693</v>
      </c>
      <c r="DWF3" t="s">
        <v>3694</v>
      </c>
      <c r="DWG3" t="s">
        <v>3695</v>
      </c>
      <c r="DWH3" t="s">
        <v>3696</v>
      </c>
      <c r="DWI3" t="s">
        <v>3697</v>
      </c>
      <c r="DWJ3" t="s">
        <v>3698</v>
      </c>
      <c r="DWK3" t="s">
        <v>3699</v>
      </c>
      <c r="DWL3" t="s">
        <v>3700</v>
      </c>
      <c r="DWM3" t="s">
        <v>3701</v>
      </c>
      <c r="DWN3" t="s">
        <v>3702</v>
      </c>
      <c r="DWO3" t="s">
        <v>3703</v>
      </c>
      <c r="DWP3" t="s">
        <v>3704</v>
      </c>
      <c r="DWQ3" t="s">
        <v>3705</v>
      </c>
      <c r="DWR3" t="s">
        <v>3706</v>
      </c>
      <c r="DWS3" t="s">
        <v>3707</v>
      </c>
      <c r="DWT3" t="s">
        <v>3708</v>
      </c>
      <c r="DWU3" t="s">
        <v>3709</v>
      </c>
      <c r="DWV3" t="s">
        <v>3710</v>
      </c>
      <c r="DWW3" t="s">
        <v>3711</v>
      </c>
      <c r="DWX3" t="s">
        <v>3712</v>
      </c>
      <c r="DWY3" t="s">
        <v>3713</v>
      </c>
      <c r="DWZ3" t="s">
        <v>3714</v>
      </c>
      <c r="DXA3" t="s">
        <v>3715</v>
      </c>
      <c r="DXB3" t="s">
        <v>3716</v>
      </c>
      <c r="DXC3" t="s">
        <v>3717</v>
      </c>
      <c r="DXD3" t="s">
        <v>3718</v>
      </c>
      <c r="DXE3" t="s">
        <v>3719</v>
      </c>
      <c r="DXF3" t="s">
        <v>3720</v>
      </c>
      <c r="DXG3" t="s">
        <v>3721</v>
      </c>
      <c r="DXH3" t="s">
        <v>3722</v>
      </c>
      <c r="DXI3" t="s">
        <v>3723</v>
      </c>
      <c r="DXJ3" t="s">
        <v>3724</v>
      </c>
      <c r="DXK3" t="s">
        <v>3725</v>
      </c>
      <c r="DXL3" t="s">
        <v>3726</v>
      </c>
      <c r="DXM3" t="s">
        <v>3727</v>
      </c>
      <c r="DXN3" t="s">
        <v>3728</v>
      </c>
      <c r="DXO3" t="s">
        <v>3729</v>
      </c>
      <c r="DXP3" t="s">
        <v>3730</v>
      </c>
      <c r="DXQ3" t="s">
        <v>3731</v>
      </c>
      <c r="DXR3" t="s">
        <v>3732</v>
      </c>
      <c r="DXS3" t="s">
        <v>3733</v>
      </c>
      <c r="DXT3" t="s">
        <v>3734</v>
      </c>
      <c r="DXU3" t="s">
        <v>3735</v>
      </c>
      <c r="DXV3" t="s">
        <v>3736</v>
      </c>
      <c r="DXW3" t="s">
        <v>3737</v>
      </c>
      <c r="DXX3" t="s">
        <v>3738</v>
      </c>
      <c r="DXY3" t="s">
        <v>3739</v>
      </c>
      <c r="DXZ3" t="s">
        <v>3740</v>
      </c>
      <c r="DYA3" t="s">
        <v>3741</v>
      </c>
      <c r="DYB3" t="s">
        <v>3742</v>
      </c>
      <c r="DYC3" t="s">
        <v>3743</v>
      </c>
      <c r="DYD3" t="s">
        <v>3744</v>
      </c>
      <c r="DYE3" t="s">
        <v>3745</v>
      </c>
      <c r="DYF3" t="s">
        <v>3746</v>
      </c>
      <c r="DYG3" t="s">
        <v>3747</v>
      </c>
      <c r="DYH3" t="s">
        <v>3748</v>
      </c>
      <c r="DYI3" t="s">
        <v>3749</v>
      </c>
      <c r="DYJ3" t="s">
        <v>3750</v>
      </c>
      <c r="DYK3" t="s">
        <v>3751</v>
      </c>
      <c r="DYL3" t="s">
        <v>3752</v>
      </c>
      <c r="DYM3" t="s">
        <v>3753</v>
      </c>
      <c r="DYN3" t="s">
        <v>3754</v>
      </c>
      <c r="DYO3" t="s">
        <v>3755</v>
      </c>
      <c r="DYP3" t="s">
        <v>3756</v>
      </c>
      <c r="DYQ3" t="s">
        <v>3757</v>
      </c>
      <c r="DYR3" t="s">
        <v>3758</v>
      </c>
      <c r="DYS3" t="s">
        <v>3759</v>
      </c>
      <c r="DYT3" t="s">
        <v>3760</v>
      </c>
      <c r="DYU3" t="s">
        <v>3761</v>
      </c>
      <c r="DYV3" t="s">
        <v>3762</v>
      </c>
      <c r="DYW3" t="s">
        <v>3763</v>
      </c>
      <c r="DYX3" t="s">
        <v>3764</v>
      </c>
      <c r="DYY3" t="s">
        <v>3765</v>
      </c>
      <c r="DYZ3" t="s">
        <v>3766</v>
      </c>
      <c r="DZA3" t="s">
        <v>3767</v>
      </c>
      <c r="DZB3" t="s">
        <v>3768</v>
      </c>
      <c r="DZC3" t="s">
        <v>3769</v>
      </c>
      <c r="DZD3" t="s">
        <v>3770</v>
      </c>
      <c r="DZE3" t="s">
        <v>3771</v>
      </c>
      <c r="DZF3" t="s">
        <v>3772</v>
      </c>
      <c r="DZG3" t="s">
        <v>3773</v>
      </c>
      <c r="DZH3" t="s">
        <v>3774</v>
      </c>
      <c r="DZI3" t="s">
        <v>3775</v>
      </c>
      <c r="DZJ3" t="s">
        <v>3776</v>
      </c>
      <c r="DZK3" t="s">
        <v>3777</v>
      </c>
      <c r="DZL3" t="s">
        <v>3778</v>
      </c>
      <c r="DZM3" t="s">
        <v>3779</v>
      </c>
      <c r="DZN3" t="s">
        <v>3780</v>
      </c>
      <c r="DZO3" t="s">
        <v>3781</v>
      </c>
      <c r="DZP3" t="s">
        <v>3782</v>
      </c>
      <c r="DZQ3" t="s">
        <v>3783</v>
      </c>
      <c r="DZR3" t="s">
        <v>3784</v>
      </c>
      <c r="DZS3" t="s">
        <v>3785</v>
      </c>
      <c r="DZT3" t="s">
        <v>3786</v>
      </c>
      <c r="DZU3" t="s">
        <v>3787</v>
      </c>
      <c r="DZV3" t="s">
        <v>3788</v>
      </c>
      <c r="DZW3" t="s">
        <v>3789</v>
      </c>
      <c r="DZX3" t="s">
        <v>3790</v>
      </c>
      <c r="DZY3" t="s">
        <v>3791</v>
      </c>
      <c r="DZZ3" t="s">
        <v>3792</v>
      </c>
      <c r="EAA3" t="s">
        <v>3793</v>
      </c>
      <c r="EAB3" t="s">
        <v>3794</v>
      </c>
      <c r="EAC3" t="s">
        <v>3795</v>
      </c>
      <c r="EAD3" t="s">
        <v>3796</v>
      </c>
      <c r="EAE3" t="s">
        <v>3797</v>
      </c>
      <c r="EAF3" t="s">
        <v>3798</v>
      </c>
      <c r="EAG3" t="s">
        <v>3799</v>
      </c>
      <c r="EAH3" t="s">
        <v>3800</v>
      </c>
      <c r="EAI3" t="s">
        <v>3801</v>
      </c>
      <c r="EAJ3" t="s">
        <v>3802</v>
      </c>
      <c r="EAK3" t="s">
        <v>3803</v>
      </c>
      <c r="EAL3" t="s">
        <v>3804</v>
      </c>
      <c r="EAM3" t="s">
        <v>3805</v>
      </c>
      <c r="EAN3" t="s">
        <v>3806</v>
      </c>
      <c r="EAO3" t="s">
        <v>3807</v>
      </c>
      <c r="EAP3" t="s">
        <v>3808</v>
      </c>
      <c r="EAQ3" t="s">
        <v>3809</v>
      </c>
      <c r="EAR3" t="s">
        <v>3810</v>
      </c>
      <c r="EAS3" t="s">
        <v>3811</v>
      </c>
      <c r="EAT3" t="s">
        <v>3812</v>
      </c>
      <c r="EAU3" t="s">
        <v>3813</v>
      </c>
      <c r="EAV3" t="s">
        <v>3814</v>
      </c>
      <c r="EAW3" t="s">
        <v>3815</v>
      </c>
      <c r="EAX3" t="s">
        <v>3816</v>
      </c>
      <c r="EAY3" t="s">
        <v>3817</v>
      </c>
      <c r="EAZ3" t="s">
        <v>3818</v>
      </c>
      <c r="EBA3" t="s">
        <v>3819</v>
      </c>
      <c r="EBB3" t="s">
        <v>3820</v>
      </c>
      <c r="EBC3" t="s">
        <v>3821</v>
      </c>
      <c r="EBD3" t="s">
        <v>3822</v>
      </c>
      <c r="EBE3" t="s">
        <v>3823</v>
      </c>
      <c r="EBF3" t="s">
        <v>3824</v>
      </c>
      <c r="EBG3" t="s">
        <v>3825</v>
      </c>
      <c r="EBH3" t="s">
        <v>3826</v>
      </c>
      <c r="EBI3" t="s">
        <v>3827</v>
      </c>
      <c r="EBJ3" t="s">
        <v>3828</v>
      </c>
      <c r="EBK3" t="s">
        <v>3829</v>
      </c>
      <c r="EBL3" t="s">
        <v>3830</v>
      </c>
      <c r="EBM3" t="s">
        <v>3831</v>
      </c>
      <c r="EBN3" t="s">
        <v>3832</v>
      </c>
      <c r="EBO3" t="s">
        <v>3833</v>
      </c>
      <c r="EBP3" t="s">
        <v>3834</v>
      </c>
      <c r="EBQ3" t="s">
        <v>3835</v>
      </c>
      <c r="EBR3" t="s">
        <v>3836</v>
      </c>
      <c r="EBS3" t="s">
        <v>3837</v>
      </c>
      <c r="EBT3" t="s">
        <v>3838</v>
      </c>
      <c r="EBU3" t="s">
        <v>3839</v>
      </c>
      <c r="EBV3" t="s">
        <v>3840</v>
      </c>
      <c r="EBW3" t="s">
        <v>3841</v>
      </c>
      <c r="EBX3" t="s">
        <v>3842</v>
      </c>
      <c r="EBY3" t="s">
        <v>3843</v>
      </c>
      <c r="EBZ3" t="s">
        <v>3844</v>
      </c>
      <c r="ECA3" t="s">
        <v>3845</v>
      </c>
      <c r="ECB3" t="s">
        <v>3846</v>
      </c>
      <c r="ECC3" t="s">
        <v>3847</v>
      </c>
      <c r="ECD3" t="s">
        <v>3848</v>
      </c>
      <c r="ECE3" t="s">
        <v>3849</v>
      </c>
      <c r="ECF3" t="s">
        <v>3850</v>
      </c>
      <c r="ECG3" t="s">
        <v>3851</v>
      </c>
      <c r="ECH3" t="s">
        <v>3852</v>
      </c>
      <c r="ECI3" t="s">
        <v>3853</v>
      </c>
      <c r="ECJ3" t="s">
        <v>3854</v>
      </c>
      <c r="ECK3" t="s">
        <v>3855</v>
      </c>
      <c r="ECL3" t="s">
        <v>3856</v>
      </c>
      <c r="ECM3" t="s">
        <v>3857</v>
      </c>
      <c r="ECN3" t="s">
        <v>3858</v>
      </c>
      <c r="ECO3" t="s">
        <v>3859</v>
      </c>
      <c r="ECP3" t="s">
        <v>3860</v>
      </c>
      <c r="ECQ3" t="s">
        <v>3861</v>
      </c>
      <c r="ECR3" t="s">
        <v>3862</v>
      </c>
      <c r="ECS3" t="s">
        <v>3863</v>
      </c>
      <c r="ECT3" t="s">
        <v>3864</v>
      </c>
      <c r="ECU3" t="s">
        <v>3865</v>
      </c>
      <c r="ECV3" t="s">
        <v>3866</v>
      </c>
      <c r="ECW3" t="s">
        <v>3867</v>
      </c>
      <c r="ECX3" t="s">
        <v>3868</v>
      </c>
      <c r="ECY3" t="s">
        <v>3869</v>
      </c>
      <c r="ECZ3" t="s">
        <v>3870</v>
      </c>
      <c r="EDA3" t="s">
        <v>3871</v>
      </c>
      <c r="EDB3" t="s">
        <v>3872</v>
      </c>
      <c r="EDC3" t="s">
        <v>3873</v>
      </c>
      <c r="EDD3" t="s">
        <v>3874</v>
      </c>
      <c r="EDE3" t="s">
        <v>3875</v>
      </c>
      <c r="EDF3" t="s">
        <v>3876</v>
      </c>
      <c r="EDG3" t="s">
        <v>3877</v>
      </c>
      <c r="EDH3" t="s">
        <v>3878</v>
      </c>
      <c r="EDI3" t="s">
        <v>3879</v>
      </c>
      <c r="EDJ3" t="s">
        <v>3880</v>
      </c>
      <c r="EDK3" t="s">
        <v>3881</v>
      </c>
      <c r="EDL3" t="s">
        <v>3882</v>
      </c>
      <c r="EDM3" t="s">
        <v>3883</v>
      </c>
      <c r="EDN3" t="s">
        <v>3884</v>
      </c>
      <c r="EDO3" t="s">
        <v>3885</v>
      </c>
      <c r="EDP3" t="s">
        <v>3886</v>
      </c>
      <c r="EDQ3" t="s">
        <v>3887</v>
      </c>
      <c r="EDR3" t="s">
        <v>3888</v>
      </c>
      <c r="EDS3" t="s">
        <v>3889</v>
      </c>
      <c r="EDT3" t="s">
        <v>3890</v>
      </c>
      <c r="EDU3" t="s">
        <v>3891</v>
      </c>
      <c r="EDV3" t="s">
        <v>3892</v>
      </c>
      <c r="EDW3" t="s">
        <v>3893</v>
      </c>
      <c r="EDX3" t="s">
        <v>3894</v>
      </c>
      <c r="EDY3" t="s">
        <v>3895</v>
      </c>
      <c r="EDZ3" t="s">
        <v>3896</v>
      </c>
      <c r="EEA3" t="s">
        <v>3897</v>
      </c>
      <c r="EEB3" t="s">
        <v>3898</v>
      </c>
      <c r="EEC3" t="s">
        <v>3899</v>
      </c>
      <c r="EED3" t="s">
        <v>3900</v>
      </c>
      <c r="EEE3" t="s">
        <v>3901</v>
      </c>
      <c r="EEF3" t="s">
        <v>3902</v>
      </c>
      <c r="EEG3" t="s">
        <v>3903</v>
      </c>
      <c r="EEH3" t="s">
        <v>3904</v>
      </c>
      <c r="EEI3" t="s">
        <v>3905</v>
      </c>
      <c r="EEJ3" t="s">
        <v>3906</v>
      </c>
      <c r="EEK3" t="s">
        <v>3907</v>
      </c>
      <c r="EEL3" t="s">
        <v>3908</v>
      </c>
      <c r="EEM3" t="s">
        <v>3909</v>
      </c>
      <c r="EEN3" t="s">
        <v>3910</v>
      </c>
      <c r="EEO3" t="s">
        <v>3911</v>
      </c>
      <c r="EEP3" t="s">
        <v>3912</v>
      </c>
      <c r="EEQ3" t="s">
        <v>3913</v>
      </c>
      <c r="EER3" t="s">
        <v>3914</v>
      </c>
      <c r="EES3" t="s">
        <v>3915</v>
      </c>
      <c r="EET3" t="s">
        <v>3916</v>
      </c>
      <c r="EEU3" t="s">
        <v>3917</v>
      </c>
      <c r="EEV3" t="s">
        <v>3918</v>
      </c>
      <c r="EEW3" t="s">
        <v>3919</v>
      </c>
      <c r="EEX3" t="s">
        <v>3920</v>
      </c>
      <c r="EEY3" t="s">
        <v>3921</v>
      </c>
      <c r="EEZ3" t="s">
        <v>3922</v>
      </c>
      <c r="EFA3" t="s">
        <v>3923</v>
      </c>
      <c r="EFB3" t="s">
        <v>3924</v>
      </c>
      <c r="EFC3" t="s">
        <v>3925</v>
      </c>
      <c r="EFD3" t="s">
        <v>3926</v>
      </c>
      <c r="EFE3" t="s">
        <v>3927</v>
      </c>
      <c r="EFF3" t="s">
        <v>3928</v>
      </c>
      <c r="EFG3" t="s">
        <v>3929</v>
      </c>
      <c r="EFH3" t="s">
        <v>3930</v>
      </c>
      <c r="EFI3" t="s">
        <v>3931</v>
      </c>
      <c r="EFJ3" t="s">
        <v>3932</v>
      </c>
      <c r="EFK3" t="s">
        <v>3933</v>
      </c>
      <c r="EFL3" t="s">
        <v>3934</v>
      </c>
      <c r="EFM3" t="s">
        <v>3935</v>
      </c>
      <c r="EFN3" t="s">
        <v>3936</v>
      </c>
      <c r="EFO3" t="s">
        <v>3937</v>
      </c>
      <c r="EFP3" t="s">
        <v>3938</v>
      </c>
      <c r="EFQ3" t="s">
        <v>3939</v>
      </c>
      <c r="EFR3" t="s">
        <v>3940</v>
      </c>
      <c r="EFS3" t="s">
        <v>3941</v>
      </c>
      <c r="EFT3" t="s">
        <v>3942</v>
      </c>
      <c r="EFU3" t="s">
        <v>3943</v>
      </c>
      <c r="EFV3" t="s">
        <v>3944</v>
      </c>
      <c r="EFW3" t="s">
        <v>3945</v>
      </c>
      <c r="EFX3" t="s">
        <v>3946</v>
      </c>
      <c r="EFY3" t="s">
        <v>3947</v>
      </c>
      <c r="EFZ3" t="s">
        <v>3948</v>
      </c>
      <c r="EGA3" t="s">
        <v>3949</v>
      </c>
      <c r="EGB3" t="s">
        <v>3950</v>
      </c>
      <c r="EGC3" t="s">
        <v>3951</v>
      </c>
      <c r="EGD3" t="s">
        <v>3952</v>
      </c>
      <c r="EGE3" t="s">
        <v>3953</v>
      </c>
      <c r="EGF3" t="s">
        <v>3954</v>
      </c>
      <c r="EGG3" t="s">
        <v>3955</v>
      </c>
      <c r="EGH3" t="s">
        <v>3956</v>
      </c>
      <c r="EGI3" t="s">
        <v>3957</v>
      </c>
      <c r="EGJ3" t="s">
        <v>3958</v>
      </c>
      <c r="EGK3" t="s">
        <v>3959</v>
      </c>
      <c r="EGL3" t="s">
        <v>3960</v>
      </c>
      <c r="EGM3" t="s">
        <v>3961</v>
      </c>
      <c r="EGN3" t="s">
        <v>3962</v>
      </c>
      <c r="EGO3" t="s">
        <v>3963</v>
      </c>
      <c r="EGP3" t="s">
        <v>3964</v>
      </c>
      <c r="EGQ3" t="s">
        <v>3965</v>
      </c>
      <c r="EGR3" t="s">
        <v>3966</v>
      </c>
      <c r="EGS3" t="s">
        <v>3967</v>
      </c>
      <c r="EGT3" t="s">
        <v>3968</v>
      </c>
      <c r="EGU3" t="s">
        <v>3969</v>
      </c>
      <c r="EGV3" t="s">
        <v>3970</v>
      </c>
      <c r="EGW3" t="s">
        <v>3971</v>
      </c>
      <c r="EGX3" t="s">
        <v>3972</v>
      </c>
      <c r="EGY3" t="s">
        <v>3973</v>
      </c>
      <c r="EGZ3" t="s">
        <v>3974</v>
      </c>
      <c r="EHA3" t="s">
        <v>3975</v>
      </c>
      <c r="EHB3" t="s">
        <v>3976</v>
      </c>
      <c r="EHC3" t="s">
        <v>3977</v>
      </c>
      <c r="EHD3" t="s">
        <v>3978</v>
      </c>
      <c r="EHE3" t="s">
        <v>3979</v>
      </c>
      <c r="EHF3" t="s">
        <v>3980</v>
      </c>
      <c r="EHG3" t="s">
        <v>3981</v>
      </c>
      <c r="EHH3" t="s">
        <v>3982</v>
      </c>
      <c r="EHI3" t="s">
        <v>3983</v>
      </c>
      <c r="EHJ3" t="s">
        <v>3984</v>
      </c>
      <c r="EHK3" t="s">
        <v>3985</v>
      </c>
      <c r="EHL3" t="s">
        <v>3986</v>
      </c>
      <c r="EHM3" t="s">
        <v>3987</v>
      </c>
      <c r="EHN3" t="s">
        <v>3988</v>
      </c>
      <c r="EHO3" t="s">
        <v>3989</v>
      </c>
      <c r="EHP3" t="s">
        <v>3990</v>
      </c>
      <c r="EHQ3" t="s">
        <v>3991</v>
      </c>
      <c r="EHR3" t="s">
        <v>3992</v>
      </c>
      <c r="EHS3" t="s">
        <v>3993</v>
      </c>
      <c r="EHT3" t="s">
        <v>3994</v>
      </c>
      <c r="EHU3" t="s">
        <v>3995</v>
      </c>
      <c r="EHV3" t="s">
        <v>3996</v>
      </c>
      <c r="EHW3" t="s">
        <v>3997</v>
      </c>
      <c r="EHX3" t="s">
        <v>3998</v>
      </c>
      <c r="EHY3" t="s">
        <v>3999</v>
      </c>
      <c r="EHZ3" t="s">
        <v>4000</v>
      </c>
      <c r="EIA3" t="s">
        <v>4001</v>
      </c>
      <c r="EIB3" t="s">
        <v>4002</v>
      </c>
      <c r="EIC3" t="s">
        <v>4003</v>
      </c>
      <c r="EID3" t="s">
        <v>4004</v>
      </c>
      <c r="EIE3" t="s">
        <v>4005</v>
      </c>
      <c r="EIF3" t="s">
        <v>4006</v>
      </c>
      <c r="EIG3" t="s">
        <v>4007</v>
      </c>
      <c r="EIH3" t="s">
        <v>4008</v>
      </c>
      <c r="EII3" t="s">
        <v>4009</v>
      </c>
      <c r="EIJ3" t="s">
        <v>4010</v>
      </c>
      <c r="EIK3" t="s">
        <v>4011</v>
      </c>
      <c r="EIL3" t="s">
        <v>4012</v>
      </c>
      <c r="EIM3" t="s">
        <v>4013</v>
      </c>
      <c r="EIN3" t="s">
        <v>4014</v>
      </c>
      <c r="EIO3" t="s">
        <v>4015</v>
      </c>
      <c r="EIP3" t="s">
        <v>4016</v>
      </c>
      <c r="EIQ3" t="s">
        <v>4017</v>
      </c>
      <c r="EIR3" t="s">
        <v>4018</v>
      </c>
      <c r="EIS3" t="s">
        <v>4019</v>
      </c>
      <c r="EIT3" t="s">
        <v>4020</v>
      </c>
      <c r="EIU3" t="s">
        <v>4021</v>
      </c>
      <c r="EIV3" t="s">
        <v>4022</v>
      </c>
      <c r="EIW3" t="s">
        <v>4023</v>
      </c>
      <c r="EIX3" t="s">
        <v>4024</v>
      </c>
      <c r="EIY3" t="s">
        <v>4025</v>
      </c>
      <c r="EIZ3" t="s">
        <v>4026</v>
      </c>
      <c r="EJA3" t="s">
        <v>4027</v>
      </c>
      <c r="EJB3" t="s">
        <v>4028</v>
      </c>
      <c r="EJC3" t="s">
        <v>4029</v>
      </c>
      <c r="EJD3" t="s">
        <v>4030</v>
      </c>
      <c r="EJE3" t="s">
        <v>4031</v>
      </c>
      <c r="EJF3" t="s">
        <v>4032</v>
      </c>
      <c r="EJG3" t="s">
        <v>4033</v>
      </c>
      <c r="EJH3" t="s">
        <v>4034</v>
      </c>
      <c r="EJI3" t="s">
        <v>4035</v>
      </c>
      <c r="EJJ3" t="s">
        <v>4036</v>
      </c>
      <c r="EJK3" t="s">
        <v>4037</v>
      </c>
      <c r="EJL3" t="s">
        <v>4038</v>
      </c>
      <c r="EJM3" t="s">
        <v>4039</v>
      </c>
      <c r="EJN3" t="s">
        <v>4040</v>
      </c>
      <c r="EJO3" t="s">
        <v>4041</v>
      </c>
      <c r="EJP3" t="s">
        <v>4042</v>
      </c>
      <c r="EJQ3" t="s">
        <v>4043</v>
      </c>
      <c r="EJR3" t="s">
        <v>4044</v>
      </c>
      <c r="EJS3" t="s">
        <v>4045</v>
      </c>
      <c r="EJT3" t="s">
        <v>4046</v>
      </c>
      <c r="EJU3" t="s">
        <v>4047</v>
      </c>
      <c r="EJV3" t="s">
        <v>4048</v>
      </c>
      <c r="EJW3" t="s">
        <v>4049</v>
      </c>
      <c r="EJX3" t="s">
        <v>4050</v>
      </c>
      <c r="EJY3" t="s">
        <v>4051</v>
      </c>
      <c r="EJZ3" t="s">
        <v>4052</v>
      </c>
      <c r="EKA3" t="s">
        <v>4053</v>
      </c>
      <c r="EKB3" t="s">
        <v>4054</v>
      </c>
      <c r="EKC3" t="s">
        <v>4055</v>
      </c>
      <c r="EKD3" t="s">
        <v>4056</v>
      </c>
      <c r="EKE3" t="s">
        <v>4057</v>
      </c>
      <c r="EKF3" t="s">
        <v>4058</v>
      </c>
      <c r="EKG3" t="s">
        <v>4059</v>
      </c>
      <c r="EKH3" t="s">
        <v>4060</v>
      </c>
      <c r="EKI3" t="s">
        <v>4061</v>
      </c>
      <c r="EKJ3" t="s">
        <v>4062</v>
      </c>
      <c r="EKK3" t="s">
        <v>4063</v>
      </c>
      <c r="EKL3" t="s">
        <v>4064</v>
      </c>
      <c r="EKM3" t="s">
        <v>4065</v>
      </c>
      <c r="EKN3" t="s">
        <v>4066</v>
      </c>
      <c r="EKO3" t="s">
        <v>4067</v>
      </c>
      <c r="EKP3" t="s">
        <v>4068</v>
      </c>
      <c r="EKQ3" t="s">
        <v>4069</v>
      </c>
      <c r="EKR3" t="s">
        <v>4070</v>
      </c>
      <c r="EKS3" t="s">
        <v>4071</v>
      </c>
      <c r="EKT3" t="s">
        <v>4072</v>
      </c>
      <c r="EKU3" t="s">
        <v>4073</v>
      </c>
      <c r="EKV3" t="s">
        <v>4074</v>
      </c>
      <c r="EKW3" t="s">
        <v>4075</v>
      </c>
      <c r="EKX3" t="s">
        <v>4076</v>
      </c>
      <c r="EKY3" t="s">
        <v>4077</v>
      </c>
      <c r="EKZ3" t="s">
        <v>4078</v>
      </c>
      <c r="ELA3" t="s">
        <v>4079</v>
      </c>
      <c r="ELB3" t="s">
        <v>4080</v>
      </c>
      <c r="ELC3" t="s">
        <v>4081</v>
      </c>
      <c r="ELD3" t="s">
        <v>4082</v>
      </c>
      <c r="ELE3" t="s">
        <v>4083</v>
      </c>
      <c r="ELF3" t="s">
        <v>4084</v>
      </c>
      <c r="ELG3" t="s">
        <v>4085</v>
      </c>
      <c r="ELH3" t="s">
        <v>4086</v>
      </c>
      <c r="ELI3" t="s">
        <v>4087</v>
      </c>
      <c r="ELJ3" t="s">
        <v>4088</v>
      </c>
      <c r="ELK3" t="s">
        <v>4089</v>
      </c>
      <c r="ELL3" t="s">
        <v>4090</v>
      </c>
      <c r="ELM3" t="s">
        <v>4091</v>
      </c>
      <c r="ELN3" t="s">
        <v>4092</v>
      </c>
      <c r="ELO3" t="s">
        <v>4093</v>
      </c>
      <c r="ELP3" t="s">
        <v>4094</v>
      </c>
      <c r="ELQ3" t="s">
        <v>4095</v>
      </c>
      <c r="ELR3" t="s">
        <v>4096</v>
      </c>
      <c r="ELS3" t="s">
        <v>4097</v>
      </c>
      <c r="ELT3" t="s">
        <v>4098</v>
      </c>
      <c r="ELU3" t="s">
        <v>4099</v>
      </c>
      <c r="ELV3" t="s">
        <v>4100</v>
      </c>
      <c r="ELW3" t="s">
        <v>4101</v>
      </c>
      <c r="ELX3" t="s">
        <v>4102</v>
      </c>
      <c r="ELY3" t="s">
        <v>4103</v>
      </c>
      <c r="ELZ3" t="s">
        <v>4104</v>
      </c>
      <c r="EMA3" t="s">
        <v>4105</v>
      </c>
      <c r="EMB3" t="s">
        <v>4106</v>
      </c>
      <c r="EMC3" t="s">
        <v>4107</v>
      </c>
      <c r="EMD3" t="s">
        <v>4108</v>
      </c>
      <c r="EME3" t="s">
        <v>4109</v>
      </c>
      <c r="EMF3" t="s">
        <v>4110</v>
      </c>
      <c r="EMG3" t="s">
        <v>4111</v>
      </c>
      <c r="EMH3" t="s">
        <v>4112</v>
      </c>
      <c r="EMI3" t="s">
        <v>4113</v>
      </c>
      <c r="EMJ3" t="s">
        <v>4114</v>
      </c>
      <c r="EMK3" t="s">
        <v>4115</v>
      </c>
      <c r="EML3" t="s">
        <v>4116</v>
      </c>
      <c r="EMM3" t="s">
        <v>4117</v>
      </c>
      <c r="EMN3" t="s">
        <v>4118</v>
      </c>
      <c r="EMO3" t="s">
        <v>4119</v>
      </c>
      <c r="EMP3" t="s">
        <v>4120</v>
      </c>
      <c r="EMQ3" t="s">
        <v>4121</v>
      </c>
      <c r="EMR3" t="s">
        <v>4122</v>
      </c>
      <c r="EMS3" t="s">
        <v>4123</v>
      </c>
      <c r="EMT3" t="s">
        <v>4124</v>
      </c>
      <c r="EMU3" t="s">
        <v>4125</v>
      </c>
      <c r="EMV3" t="s">
        <v>4126</v>
      </c>
      <c r="EMW3" t="s">
        <v>4127</v>
      </c>
      <c r="EMX3" t="s">
        <v>4128</v>
      </c>
      <c r="EMY3" t="s">
        <v>4129</v>
      </c>
      <c r="EMZ3" t="s">
        <v>4130</v>
      </c>
      <c r="ENA3" t="s">
        <v>4131</v>
      </c>
      <c r="ENB3" t="s">
        <v>4132</v>
      </c>
      <c r="ENC3" t="s">
        <v>4133</v>
      </c>
      <c r="END3" t="s">
        <v>4134</v>
      </c>
      <c r="ENE3" t="s">
        <v>4135</v>
      </c>
      <c r="ENF3" t="s">
        <v>4136</v>
      </c>
      <c r="ENG3" t="s">
        <v>4137</v>
      </c>
      <c r="ENH3" t="s">
        <v>4138</v>
      </c>
      <c r="ENI3" t="s">
        <v>4139</v>
      </c>
      <c r="ENJ3" t="s">
        <v>4140</v>
      </c>
      <c r="ENK3" t="s">
        <v>4141</v>
      </c>
      <c r="ENL3" t="s">
        <v>4142</v>
      </c>
      <c r="ENM3" t="s">
        <v>4143</v>
      </c>
      <c r="ENN3" t="s">
        <v>4144</v>
      </c>
      <c r="ENO3" t="s">
        <v>4145</v>
      </c>
      <c r="ENP3" t="s">
        <v>4146</v>
      </c>
      <c r="ENQ3" t="s">
        <v>4147</v>
      </c>
      <c r="ENR3" t="s">
        <v>4148</v>
      </c>
      <c r="ENS3" t="s">
        <v>4149</v>
      </c>
      <c r="ENT3" t="s">
        <v>4150</v>
      </c>
      <c r="ENU3" t="s">
        <v>4151</v>
      </c>
      <c r="ENV3" t="s">
        <v>4152</v>
      </c>
      <c r="ENW3" t="s">
        <v>4153</v>
      </c>
      <c r="ENX3" t="s">
        <v>4154</v>
      </c>
      <c r="ENY3" t="s">
        <v>4155</v>
      </c>
      <c r="ENZ3" t="s">
        <v>4156</v>
      </c>
      <c r="EOA3" t="s">
        <v>4157</v>
      </c>
      <c r="EOB3" t="s">
        <v>4158</v>
      </c>
      <c r="EOC3" t="s">
        <v>4159</v>
      </c>
      <c r="EOD3" t="s">
        <v>4160</v>
      </c>
      <c r="EOE3" t="s">
        <v>4161</v>
      </c>
      <c r="EOF3" t="s">
        <v>4162</v>
      </c>
      <c r="EOG3" t="s">
        <v>4163</v>
      </c>
      <c r="EOH3" t="s">
        <v>4164</v>
      </c>
      <c r="EOI3" t="s">
        <v>4165</v>
      </c>
      <c r="EOJ3" t="s">
        <v>4166</v>
      </c>
      <c r="EOK3" t="s">
        <v>4167</v>
      </c>
      <c r="EOL3" t="s">
        <v>4168</v>
      </c>
      <c r="EOM3" t="s">
        <v>4169</v>
      </c>
      <c r="EON3" t="s">
        <v>4170</v>
      </c>
      <c r="EOO3" t="s">
        <v>4171</v>
      </c>
      <c r="EOP3" t="s">
        <v>4172</v>
      </c>
      <c r="EOQ3" t="s">
        <v>4173</v>
      </c>
      <c r="EOR3" t="s">
        <v>4174</v>
      </c>
      <c r="EOS3" t="s">
        <v>4175</v>
      </c>
      <c r="EOT3" t="s">
        <v>4176</v>
      </c>
      <c r="EOU3" t="s">
        <v>4177</v>
      </c>
      <c r="EOV3" t="s">
        <v>4178</v>
      </c>
      <c r="EOW3" t="s">
        <v>4179</v>
      </c>
      <c r="EOX3" t="s">
        <v>4180</v>
      </c>
      <c r="EOY3" t="s">
        <v>4181</v>
      </c>
      <c r="EOZ3" t="s">
        <v>4182</v>
      </c>
      <c r="EPA3" t="s">
        <v>4183</v>
      </c>
      <c r="EPB3" t="s">
        <v>4184</v>
      </c>
      <c r="EPC3" t="s">
        <v>4185</v>
      </c>
      <c r="EPD3" t="s">
        <v>4186</v>
      </c>
      <c r="EPE3" t="s">
        <v>4187</v>
      </c>
      <c r="EPF3" t="s">
        <v>4188</v>
      </c>
      <c r="EPG3" t="s">
        <v>4189</v>
      </c>
      <c r="EPH3" t="s">
        <v>4190</v>
      </c>
      <c r="EPI3" t="s">
        <v>4191</v>
      </c>
      <c r="EPJ3" t="s">
        <v>4192</v>
      </c>
      <c r="EPK3" t="s">
        <v>4193</v>
      </c>
      <c r="EPL3" t="s">
        <v>4194</v>
      </c>
      <c r="EPM3" t="s">
        <v>4195</v>
      </c>
      <c r="EPN3" t="s">
        <v>4196</v>
      </c>
      <c r="EPO3" t="s">
        <v>4197</v>
      </c>
      <c r="EPP3" t="s">
        <v>4198</v>
      </c>
      <c r="EPQ3" t="s">
        <v>4199</v>
      </c>
      <c r="EPR3" t="s">
        <v>4200</v>
      </c>
      <c r="EPS3" t="s">
        <v>4201</v>
      </c>
      <c r="EPT3" t="s">
        <v>4202</v>
      </c>
      <c r="EPU3" t="s">
        <v>4203</v>
      </c>
      <c r="EPV3" t="s">
        <v>4204</v>
      </c>
      <c r="EPW3" t="s">
        <v>4205</v>
      </c>
      <c r="EPX3" t="s">
        <v>4206</v>
      </c>
      <c r="EPY3" t="s">
        <v>4207</v>
      </c>
      <c r="EPZ3" t="s">
        <v>4208</v>
      </c>
      <c r="EQA3" t="s">
        <v>4209</v>
      </c>
      <c r="EQB3" t="s">
        <v>4210</v>
      </c>
      <c r="EQC3" t="s">
        <v>4211</v>
      </c>
      <c r="EQD3" t="s">
        <v>4212</v>
      </c>
      <c r="EQE3" t="s">
        <v>4213</v>
      </c>
      <c r="EQF3" t="s">
        <v>4214</v>
      </c>
      <c r="EQG3" t="s">
        <v>4215</v>
      </c>
      <c r="EQH3" t="s">
        <v>4216</v>
      </c>
      <c r="EQI3" t="s">
        <v>4217</v>
      </c>
      <c r="EQJ3" t="s">
        <v>4218</v>
      </c>
      <c r="EQK3" t="s">
        <v>4219</v>
      </c>
      <c r="EQL3" t="s">
        <v>4220</v>
      </c>
      <c r="EQM3" t="s">
        <v>4221</v>
      </c>
      <c r="EQN3" t="s">
        <v>4222</v>
      </c>
      <c r="EQO3" t="s">
        <v>4223</v>
      </c>
      <c r="EQP3" t="s">
        <v>4224</v>
      </c>
      <c r="EQQ3" t="s">
        <v>4225</v>
      </c>
      <c r="EQR3" t="s">
        <v>4226</v>
      </c>
      <c r="EQS3" t="s">
        <v>4227</v>
      </c>
      <c r="EQT3" t="s">
        <v>4228</v>
      </c>
      <c r="EQU3" t="s">
        <v>4229</v>
      </c>
      <c r="EQV3" t="s">
        <v>4230</v>
      </c>
      <c r="EQW3" t="s">
        <v>4231</v>
      </c>
      <c r="EQX3" t="s">
        <v>4232</v>
      </c>
      <c r="EQY3" t="s">
        <v>4233</v>
      </c>
      <c r="EQZ3" t="s">
        <v>4234</v>
      </c>
      <c r="ERA3" t="s">
        <v>4235</v>
      </c>
      <c r="ERB3" t="s">
        <v>4236</v>
      </c>
      <c r="ERC3" t="s">
        <v>4237</v>
      </c>
      <c r="ERD3" t="s">
        <v>4238</v>
      </c>
      <c r="ERE3" t="s">
        <v>4239</v>
      </c>
      <c r="ERF3" t="s">
        <v>4240</v>
      </c>
      <c r="ERG3" t="s">
        <v>4241</v>
      </c>
      <c r="ERH3" t="s">
        <v>4242</v>
      </c>
      <c r="ERI3" t="s">
        <v>4243</v>
      </c>
      <c r="ERJ3" t="s">
        <v>4244</v>
      </c>
      <c r="ERK3" t="s">
        <v>4245</v>
      </c>
      <c r="ERL3" t="s">
        <v>4246</v>
      </c>
      <c r="ERM3" t="s">
        <v>4247</v>
      </c>
      <c r="ERN3" t="s">
        <v>4248</v>
      </c>
      <c r="ERO3" t="s">
        <v>4249</v>
      </c>
      <c r="ERP3" t="s">
        <v>4250</v>
      </c>
      <c r="ERQ3" t="s">
        <v>4251</v>
      </c>
      <c r="ERR3" t="s">
        <v>4252</v>
      </c>
      <c r="ERS3" t="s">
        <v>4253</v>
      </c>
      <c r="ERT3" t="s">
        <v>4254</v>
      </c>
      <c r="ERU3" t="s">
        <v>4255</v>
      </c>
      <c r="ERV3" t="s">
        <v>4256</v>
      </c>
      <c r="ERW3" t="s">
        <v>4257</v>
      </c>
      <c r="ERX3" t="s">
        <v>4258</v>
      </c>
      <c r="ERY3" t="s">
        <v>4259</v>
      </c>
      <c r="ERZ3" t="s">
        <v>4260</v>
      </c>
      <c r="ESA3" t="s">
        <v>4261</v>
      </c>
      <c r="ESB3" t="s">
        <v>4262</v>
      </c>
      <c r="ESC3" t="s">
        <v>4263</v>
      </c>
      <c r="ESD3" t="s">
        <v>4264</v>
      </c>
      <c r="ESE3" t="s">
        <v>4265</v>
      </c>
      <c r="ESF3" t="s">
        <v>4266</v>
      </c>
      <c r="ESG3" t="s">
        <v>4267</v>
      </c>
      <c r="ESH3" t="s">
        <v>4268</v>
      </c>
      <c r="ESI3" t="s">
        <v>4269</v>
      </c>
      <c r="ESJ3" t="s">
        <v>4270</v>
      </c>
      <c r="ESK3" t="s">
        <v>4271</v>
      </c>
      <c r="ESL3" t="s">
        <v>4272</v>
      </c>
      <c r="ESM3" t="s">
        <v>4273</v>
      </c>
      <c r="ESN3" t="s">
        <v>4274</v>
      </c>
      <c r="ESO3" t="s">
        <v>4275</v>
      </c>
      <c r="ESP3" t="s">
        <v>4276</v>
      </c>
      <c r="ESQ3" t="s">
        <v>4277</v>
      </c>
      <c r="ESR3" t="s">
        <v>4278</v>
      </c>
      <c r="ESS3" t="s">
        <v>4279</v>
      </c>
      <c r="EST3" t="s">
        <v>4280</v>
      </c>
      <c r="ESU3" t="s">
        <v>4281</v>
      </c>
      <c r="ESV3" t="s">
        <v>4282</v>
      </c>
      <c r="ESW3" t="s">
        <v>4283</v>
      </c>
      <c r="ESX3" t="s">
        <v>4284</v>
      </c>
      <c r="ESY3" t="s">
        <v>4285</v>
      </c>
      <c r="ESZ3" t="s">
        <v>4286</v>
      </c>
      <c r="ETA3" t="s">
        <v>4287</v>
      </c>
      <c r="ETB3" t="s">
        <v>4288</v>
      </c>
      <c r="ETC3" t="s">
        <v>4289</v>
      </c>
      <c r="ETD3" t="s">
        <v>4290</v>
      </c>
      <c r="ETE3" t="s">
        <v>4291</v>
      </c>
      <c r="ETF3" t="s">
        <v>4292</v>
      </c>
      <c r="ETG3" t="s">
        <v>4293</v>
      </c>
      <c r="ETH3" t="s">
        <v>4294</v>
      </c>
      <c r="ETI3" t="s">
        <v>4295</v>
      </c>
      <c r="ETJ3" t="s">
        <v>4296</v>
      </c>
      <c r="ETK3" t="s">
        <v>4297</v>
      </c>
      <c r="ETL3" t="s">
        <v>4298</v>
      </c>
      <c r="ETM3" t="s">
        <v>4299</v>
      </c>
      <c r="ETN3" t="s">
        <v>4300</v>
      </c>
      <c r="ETO3" t="s">
        <v>4301</v>
      </c>
      <c r="ETP3" t="s">
        <v>4302</v>
      </c>
      <c r="ETQ3" t="s">
        <v>4303</v>
      </c>
      <c r="ETR3" t="s">
        <v>4304</v>
      </c>
      <c r="ETS3" t="s">
        <v>4305</v>
      </c>
      <c r="ETT3" t="s">
        <v>4306</v>
      </c>
      <c r="ETU3" t="s">
        <v>4307</v>
      </c>
      <c r="ETV3" t="s">
        <v>4308</v>
      </c>
      <c r="ETW3" t="s">
        <v>4309</v>
      </c>
      <c r="ETX3" t="s">
        <v>4310</v>
      </c>
      <c r="ETY3" t="s">
        <v>4311</v>
      </c>
      <c r="ETZ3" t="s">
        <v>4312</v>
      </c>
      <c r="EUA3" t="s">
        <v>4313</v>
      </c>
      <c r="EUB3" t="s">
        <v>4314</v>
      </c>
      <c r="EUC3" t="s">
        <v>4315</v>
      </c>
      <c r="EUD3" t="s">
        <v>4316</v>
      </c>
      <c r="EUE3" t="s">
        <v>4317</v>
      </c>
      <c r="EUF3" t="s">
        <v>4318</v>
      </c>
      <c r="EUG3" t="s">
        <v>4319</v>
      </c>
      <c r="EUH3" t="s">
        <v>4320</v>
      </c>
      <c r="EUI3" t="s">
        <v>4321</v>
      </c>
      <c r="EUJ3" t="s">
        <v>4322</v>
      </c>
      <c r="EUK3" t="s">
        <v>4323</v>
      </c>
      <c r="EUL3" t="s">
        <v>4324</v>
      </c>
      <c r="EUM3" t="s">
        <v>4325</v>
      </c>
      <c r="EUN3" t="s">
        <v>4326</v>
      </c>
      <c r="EUO3" t="s">
        <v>4327</v>
      </c>
      <c r="EUP3" t="s">
        <v>4328</v>
      </c>
      <c r="EUQ3" t="s">
        <v>4329</v>
      </c>
      <c r="EUR3" t="s">
        <v>4330</v>
      </c>
      <c r="EUS3" t="s">
        <v>4331</v>
      </c>
      <c r="EUT3" t="s">
        <v>4332</v>
      </c>
      <c r="EUU3" t="s">
        <v>4333</v>
      </c>
      <c r="EUV3" t="s">
        <v>4334</v>
      </c>
      <c r="EUW3" t="s">
        <v>4335</v>
      </c>
      <c r="EUX3" t="s">
        <v>4336</v>
      </c>
      <c r="EUY3" t="s">
        <v>4337</v>
      </c>
      <c r="EUZ3" t="s">
        <v>4338</v>
      </c>
      <c r="EVA3" t="s">
        <v>4339</v>
      </c>
      <c r="EVB3" t="s">
        <v>4340</v>
      </c>
      <c r="EVC3" t="s">
        <v>4341</v>
      </c>
      <c r="EVD3" t="s">
        <v>4342</v>
      </c>
      <c r="EVE3" t="s">
        <v>4343</v>
      </c>
      <c r="EVF3" t="s">
        <v>4344</v>
      </c>
      <c r="EVG3" t="s">
        <v>4345</v>
      </c>
      <c r="EVH3" t="s">
        <v>4346</v>
      </c>
      <c r="EVI3" t="s">
        <v>4347</v>
      </c>
      <c r="EVJ3" t="s">
        <v>4348</v>
      </c>
      <c r="EVK3" t="s">
        <v>4349</v>
      </c>
      <c r="EVL3" t="s">
        <v>4350</v>
      </c>
      <c r="EVM3" t="s">
        <v>4351</v>
      </c>
      <c r="EVN3" t="s">
        <v>4352</v>
      </c>
      <c r="EVO3" t="s">
        <v>4353</v>
      </c>
      <c r="EVP3" t="s">
        <v>4354</v>
      </c>
      <c r="EVQ3" t="s">
        <v>4355</v>
      </c>
      <c r="EVR3" t="s">
        <v>4356</v>
      </c>
      <c r="EVS3" t="s">
        <v>4357</v>
      </c>
      <c r="EVT3" t="s">
        <v>4358</v>
      </c>
      <c r="EVU3" t="s">
        <v>4359</v>
      </c>
      <c r="EVV3" t="s">
        <v>4360</v>
      </c>
      <c r="EVW3" t="s">
        <v>4361</v>
      </c>
      <c r="EVX3" t="s">
        <v>4362</v>
      </c>
      <c r="EVY3" t="s">
        <v>4363</v>
      </c>
      <c r="EVZ3" t="s">
        <v>4364</v>
      </c>
      <c r="EWA3" t="s">
        <v>4365</v>
      </c>
      <c r="EWB3" t="s">
        <v>4366</v>
      </c>
      <c r="EWC3" t="s">
        <v>4367</v>
      </c>
      <c r="EWD3" t="s">
        <v>4368</v>
      </c>
      <c r="EWE3" t="s">
        <v>4369</v>
      </c>
      <c r="EWF3" t="s">
        <v>4370</v>
      </c>
      <c r="EWG3" t="s">
        <v>4371</v>
      </c>
      <c r="EWH3" t="s">
        <v>4372</v>
      </c>
      <c r="EWI3" t="s">
        <v>4373</v>
      </c>
      <c r="EWJ3" t="s">
        <v>4374</v>
      </c>
      <c r="EWK3" t="s">
        <v>4375</v>
      </c>
      <c r="EWL3" t="s">
        <v>4376</v>
      </c>
      <c r="EWM3" t="s">
        <v>4377</v>
      </c>
      <c r="EWN3" t="s">
        <v>4378</v>
      </c>
      <c r="EWO3" t="s">
        <v>4379</v>
      </c>
      <c r="EWP3" t="s">
        <v>4380</v>
      </c>
      <c r="EWQ3" t="s">
        <v>4381</v>
      </c>
      <c r="EWR3" t="s">
        <v>4382</v>
      </c>
      <c r="EWS3" t="s">
        <v>4383</v>
      </c>
      <c r="EWT3" t="s">
        <v>4384</v>
      </c>
      <c r="EWU3" t="s">
        <v>4385</v>
      </c>
      <c r="EWV3" t="s">
        <v>4386</v>
      </c>
      <c r="EWW3" t="s">
        <v>4387</v>
      </c>
      <c r="EWX3" t="s">
        <v>4388</v>
      </c>
      <c r="EWY3" t="s">
        <v>4389</v>
      </c>
      <c r="EWZ3" t="s">
        <v>4390</v>
      </c>
      <c r="EXA3" t="s">
        <v>4391</v>
      </c>
      <c r="EXB3" t="s">
        <v>4392</v>
      </c>
      <c r="EXC3" t="s">
        <v>4393</v>
      </c>
      <c r="EXD3" t="s">
        <v>4394</v>
      </c>
      <c r="EXE3" t="s">
        <v>4395</v>
      </c>
      <c r="EXF3" t="s">
        <v>4396</v>
      </c>
      <c r="EXG3" t="s">
        <v>4397</v>
      </c>
      <c r="EXH3" t="s">
        <v>4398</v>
      </c>
      <c r="EXI3" t="s">
        <v>4399</v>
      </c>
      <c r="EXJ3" t="s">
        <v>4400</v>
      </c>
      <c r="EXK3" t="s">
        <v>4401</v>
      </c>
      <c r="EXL3" t="s">
        <v>4402</v>
      </c>
      <c r="EXM3" t="s">
        <v>4403</v>
      </c>
      <c r="EXN3" t="s">
        <v>4404</v>
      </c>
      <c r="EXO3" t="s">
        <v>4405</v>
      </c>
      <c r="EXP3" t="s">
        <v>4406</v>
      </c>
      <c r="EXQ3" t="s">
        <v>4407</v>
      </c>
      <c r="EXR3" t="s">
        <v>4408</v>
      </c>
      <c r="EXS3" t="s">
        <v>4409</v>
      </c>
      <c r="EXT3" t="s">
        <v>4410</v>
      </c>
      <c r="EXU3" t="s">
        <v>4411</v>
      </c>
      <c r="EXV3" t="s">
        <v>4412</v>
      </c>
      <c r="EXW3" t="s">
        <v>4413</v>
      </c>
      <c r="EXX3" t="s">
        <v>4414</v>
      </c>
      <c r="EXY3" t="s">
        <v>4415</v>
      </c>
      <c r="EXZ3" t="s">
        <v>4416</v>
      </c>
      <c r="EYA3" t="s">
        <v>4417</v>
      </c>
      <c r="EYB3" t="s">
        <v>4418</v>
      </c>
      <c r="EYC3" t="s">
        <v>4419</v>
      </c>
      <c r="EYD3" t="s">
        <v>4420</v>
      </c>
      <c r="EYE3" t="s">
        <v>4421</v>
      </c>
      <c r="EYF3" t="s">
        <v>4422</v>
      </c>
      <c r="EYG3" t="s">
        <v>4423</v>
      </c>
      <c r="EYH3" t="s">
        <v>4424</v>
      </c>
      <c r="EYI3" t="s">
        <v>4425</v>
      </c>
      <c r="EYJ3" t="s">
        <v>4426</v>
      </c>
      <c r="EYK3" t="s">
        <v>4427</v>
      </c>
      <c r="EYL3" t="s">
        <v>4428</v>
      </c>
      <c r="EYM3" t="s">
        <v>4429</v>
      </c>
      <c r="EYN3" t="s">
        <v>4430</v>
      </c>
      <c r="EYO3" t="s">
        <v>4431</v>
      </c>
      <c r="EYP3" t="s">
        <v>4432</v>
      </c>
      <c r="EYQ3" t="s">
        <v>4433</v>
      </c>
      <c r="EYR3" t="s">
        <v>4434</v>
      </c>
      <c r="EYS3" t="s">
        <v>4435</v>
      </c>
      <c r="EYT3" t="s">
        <v>4436</v>
      </c>
      <c r="EYU3" t="s">
        <v>4437</v>
      </c>
      <c r="EYV3" t="s">
        <v>4438</v>
      </c>
      <c r="EYW3" t="s">
        <v>4439</v>
      </c>
      <c r="EYX3" t="s">
        <v>4440</v>
      </c>
      <c r="EYY3" t="s">
        <v>4441</v>
      </c>
      <c r="EYZ3" t="s">
        <v>4442</v>
      </c>
      <c r="EZA3" t="s">
        <v>4443</v>
      </c>
      <c r="EZB3" t="s">
        <v>4444</v>
      </c>
      <c r="EZC3" t="s">
        <v>4445</v>
      </c>
      <c r="EZD3" t="s">
        <v>4446</v>
      </c>
      <c r="EZE3" t="s">
        <v>4447</v>
      </c>
      <c r="EZF3" t="s">
        <v>4448</v>
      </c>
      <c r="EZG3" t="s">
        <v>4449</v>
      </c>
      <c r="EZH3" t="s">
        <v>4450</v>
      </c>
      <c r="EZI3" t="s">
        <v>4451</v>
      </c>
      <c r="EZJ3" t="s">
        <v>4452</v>
      </c>
      <c r="EZK3" t="s">
        <v>4453</v>
      </c>
      <c r="EZL3" t="s">
        <v>4454</v>
      </c>
      <c r="EZM3" t="s">
        <v>4455</v>
      </c>
      <c r="EZN3" t="s">
        <v>4456</v>
      </c>
      <c r="EZO3" t="s">
        <v>4457</v>
      </c>
      <c r="EZP3" t="s">
        <v>4458</v>
      </c>
      <c r="EZQ3" t="s">
        <v>4459</v>
      </c>
      <c r="EZR3" t="s">
        <v>4460</v>
      </c>
      <c r="EZS3" t="s">
        <v>4461</v>
      </c>
      <c r="EZT3" t="s">
        <v>4462</v>
      </c>
      <c r="EZU3" t="s">
        <v>4463</v>
      </c>
      <c r="EZV3" t="s">
        <v>4464</v>
      </c>
      <c r="EZW3" t="s">
        <v>4465</v>
      </c>
      <c r="EZX3" t="s">
        <v>4466</v>
      </c>
      <c r="EZY3" t="s">
        <v>4467</v>
      </c>
      <c r="EZZ3" t="s">
        <v>4468</v>
      </c>
      <c r="FAA3" t="s">
        <v>4469</v>
      </c>
      <c r="FAB3" t="s">
        <v>4470</v>
      </c>
      <c r="FAC3" t="s">
        <v>4471</v>
      </c>
      <c r="FAD3" t="s">
        <v>4472</v>
      </c>
      <c r="FAE3" t="s">
        <v>4473</v>
      </c>
      <c r="FAF3" t="s">
        <v>4474</v>
      </c>
      <c r="FAG3" t="s">
        <v>4475</v>
      </c>
      <c r="FAH3" t="s">
        <v>4476</v>
      </c>
      <c r="FAI3" t="s">
        <v>4477</v>
      </c>
      <c r="FAJ3" t="s">
        <v>4478</v>
      </c>
      <c r="FAK3" t="s">
        <v>4479</v>
      </c>
      <c r="FAL3" t="s">
        <v>4480</v>
      </c>
      <c r="FAM3" t="s">
        <v>4481</v>
      </c>
      <c r="FAN3" t="s">
        <v>4482</v>
      </c>
      <c r="FAO3" t="s">
        <v>4483</v>
      </c>
      <c r="FAP3" t="s">
        <v>4484</v>
      </c>
      <c r="FAQ3" t="s">
        <v>4485</v>
      </c>
      <c r="FAR3" t="s">
        <v>4486</v>
      </c>
      <c r="FAS3" t="s">
        <v>4487</v>
      </c>
      <c r="FAT3" t="s">
        <v>4488</v>
      </c>
      <c r="FAU3" t="s">
        <v>4489</v>
      </c>
      <c r="FAV3" t="s">
        <v>4490</v>
      </c>
      <c r="FAW3" t="s">
        <v>4491</v>
      </c>
      <c r="FAX3" t="s">
        <v>4492</v>
      </c>
      <c r="FAY3" t="s">
        <v>4493</v>
      </c>
      <c r="FAZ3" t="s">
        <v>4494</v>
      </c>
      <c r="FBA3" t="s">
        <v>4495</v>
      </c>
      <c r="FBB3" t="s">
        <v>4496</v>
      </c>
      <c r="FBC3" t="s">
        <v>4497</v>
      </c>
      <c r="FBD3" t="s">
        <v>4498</v>
      </c>
      <c r="FBE3" t="s">
        <v>4499</v>
      </c>
      <c r="FBF3" t="s">
        <v>4500</v>
      </c>
      <c r="FBG3" t="s">
        <v>4501</v>
      </c>
      <c r="FBH3" t="s">
        <v>4502</v>
      </c>
      <c r="FBI3" t="s">
        <v>4503</v>
      </c>
      <c r="FBJ3" t="s">
        <v>4504</v>
      </c>
      <c r="FBK3" t="s">
        <v>4505</v>
      </c>
      <c r="FBL3" t="s">
        <v>4506</v>
      </c>
      <c r="FBM3" t="s">
        <v>4507</v>
      </c>
      <c r="FBN3" t="s">
        <v>4508</v>
      </c>
      <c r="FBO3" t="s">
        <v>4509</v>
      </c>
      <c r="FBP3" t="s">
        <v>4510</v>
      </c>
      <c r="FBQ3" t="s">
        <v>4511</v>
      </c>
      <c r="FBR3" t="s">
        <v>4512</v>
      </c>
      <c r="FBS3" t="s">
        <v>4513</v>
      </c>
      <c r="FBT3" t="s">
        <v>4514</v>
      </c>
      <c r="FBU3" t="s">
        <v>4515</v>
      </c>
      <c r="FBV3" t="s">
        <v>4516</v>
      </c>
      <c r="FBW3" t="s">
        <v>4517</v>
      </c>
      <c r="FBX3" t="s">
        <v>4518</v>
      </c>
      <c r="FBY3" t="s">
        <v>4519</v>
      </c>
      <c r="FBZ3" t="s">
        <v>4520</v>
      </c>
      <c r="FCA3" t="s">
        <v>4521</v>
      </c>
      <c r="FCB3" t="s">
        <v>4522</v>
      </c>
      <c r="FCC3" t="s">
        <v>4523</v>
      </c>
      <c r="FCD3" t="s">
        <v>4524</v>
      </c>
      <c r="FCE3" t="s">
        <v>4525</v>
      </c>
      <c r="FCF3" t="s">
        <v>4526</v>
      </c>
      <c r="FCG3" t="s">
        <v>4527</v>
      </c>
      <c r="FCH3" t="s">
        <v>4528</v>
      </c>
      <c r="FCI3" t="s">
        <v>4529</v>
      </c>
      <c r="FCJ3" t="s">
        <v>4530</v>
      </c>
      <c r="FCK3" t="s">
        <v>4531</v>
      </c>
      <c r="FCL3" t="s">
        <v>4532</v>
      </c>
      <c r="FCM3" t="s">
        <v>4533</v>
      </c>
      <c r="FCN3" t="s">
        <v>4534</v>
      </c>
      <c r="FCO3" t="s">
        <v>4535</v>
      </c>
      <c r="FCP3" t="s">
        <v>4536</v>
      </c>
      <c r="FCQ3" t="s">
        <v>4537</v>
      </c>
      <c r="FCR3" t="s">
        <v>4538</v>
      </c>
      <c r="FCS3" t="s">
        <v>4539</v>
      </c>
      <c r="FCT3" t="s">
        <v>4540</v>
      </c>
      <c r="FCU3" t="s">
        <v>4541</v>
      </c>
      <c r="FCV3" t="s">
        <v>4542</v>
      </c>
      <c r="FCW3" t="s">
        <v>4543</v>
      </c>
      <c r="FCX3" t="s">
        <v>4544</v>
      </c>
      <c r="FCY3" t="s">
        <v>4545</v>
      </c>
      <c r="FCZ3" t="s">
        <v>4546</v>
      </c>
      <c r="FDA3" t="s">
        <v>4547</v>
      </c>
      <c r="FDB3" t="s">
        <v>4548</v>
      </c>
      <c r="FDC3" t="s">
        <v>4549</v>
      </c>
      <c r="FDD3" t="s">
        <v>4550</v>
      </c>
      <c r="FDE3" t="s">
        <v>4551</v>
      </c>
      <c r="FDF3" t="s">
        <v>4552</v>
      </c>
      <c r="FDG3" t="s">
        <v>4553</v>
      </c>
      <c r="FDH3" t="s">
        <v>4554</v>
      </c>
      <c r="FDI3" t="s">
        <v>4555</v>
      </c>
      <c r="FDJ3" t="s">
        <v>4556</v>
      </c>
      <c r="FDK3" t="s">
        <v>4557</v>
      </c>
      <c r="FDL3" t="s">
        <v>4558</v>
      </c>
      <c r="FDM3" t="s">
        <v>4559</v>
      </c>
      <c r="FDN3" t="s">
        <v>4560</v>
      </c>
      <c r="FDO3" t="s">
        <v>4561</v>
      </c>
      <c r="FDP3" t="s">
        <v>4562</v>
      </c>
      <c r="FDQ3" t="s">
        <v>4563</v>
      </c>
      <c r="FDR3" t="s">
        <v>4564</v>
      </c>
      <c r="FDS3" t="s">
        <v>4565</v>
      </c>
      <c r="FDT3" t="s">
        <v>4566</v>
      </c>
      <c r="FDU3" t="s">
        <v>4567</v>
      </c>
      <c r="FDV3" t="s">
        <v>4568</v>
      </c>
      <c r="FDW3" t="s">
        <v>4569</v>
      </c>
      <c r="FDX3" t="s">
        <v>4570</v>
      </c>
      <c r="FDY3" t="s">
        <v>4571</v>
      </c>
      <c r="FDZ3" t="s">
        <v>4572</v>
      </c>
      <c r="FEA3" t="s">
        <v>4573</v>
      </c>
      <c r="FEB3" t="s">
        <v>4574</v>
      </c>
      <c r="FEC3" t="s">
        <v>4575</v>
      </c>
      <c r="FED3" t="s">
        <v>4576</v>
      </c>
      <c r="FEE3" t="s">
        <v>4577</v>
      </c>
      <c r="FEF3" t="s">
        <v>4578</v>
      </c>
      <c r="FEG3" t="s">
        <v>4579</v>
      </c>
      <c r="FEH3" t="s">
        <v>4580</v>
      </c>
      <c r="FEI3" t="s">
        <v>4581</v>
      </c>
      <c r="FEJ3" t="s">
        <v>4582</v>
      </c>
      <c r="FEK3" t="s">
        <v>4583</v>
      </c>
      <c r="FEL3" t="s">
        <v>4584</v>
      </c>
      <c r="FEM3" t="s">
        <v>4585</v>
      </c>
      <c r="FEN3" t="s">
        <v>4586</v>
      </c>
      <c r="FEO3" t="s">
        <v>4587</v>
      </c>
      <c r="FEP3" t="s">
        <v>4588</v>
      </c>
      <c r="FEQ3" t="s">
        <v>4589</v>
      </c>
      <c r="FER3" t="s">
        <v>4590</v>
      </c>
      <c r="FES3" t="s">
        <v>4591</v>
      </c>
      <c r="FET3" t="s">
        <v>4592</v>
      </c>
      <c r="FEU3" t="s">
        <v>4593</v>
      </c>
      <c r="FEV3" t="s">
        <v>4594</v>
      </c>
      <c r="FEW3" t="s">
        <v>4595</v>
      </c>
      <c r="FEX3" t="s">
        <v>4596</v>
      </c>
      <c r="FEY3" t="s">
        <v>4597</v>
      </c>
      <c r="FEZ3" t="s">
        <v>4598</v>
      </c>
      <c r="FFA3" t="s">
        <v>4599</v>
      </c>
      <c r="FFB3" t="s">
        <v>4600</v>
      </c>
      <c r="FFC3" t="s">
        <v>4601</v>
      </c>
      <c r="FFD3" t="s">
        <v>4602</v>
      </c>
      <c r="FFE3" t="s">
        <v>4603</v>
      </c>
      <c r="FFF3" t="s">
        <v>4604</v>
      </c>
      <c r="FFG3" t="s">
        <v>4605</v>
      </c>
      <c r="FFH3" t="s">
        <v>4606</v>
      </c>
      <c r="FFI3" t="s">
        <v>4607</v>
      </c>
      <c r="FFJ3" t="s">
        <v>4608</v>
      </c>
      <c r="FFK3" t="s">
        <v>4609</v>
      </c>
      <c r="FFL3" t="s">
        <v>4610</v>
      </c>
      <c r="FFM3" t="s">
        <v>4611</v>
      </c>
      <c r="FFN3" t="s">
        <v>4612</v>
      </c>
      <c r="FFO3" t="s">
        <v>4613</v>
      </c>
      <c r="FFP3" t="s">
        <v>4614</v>
      </c>
      <c r="FFQ3" t="s">
        <v>4615</v>
      </c>
      <c r="FFR3" t="s">
        <v>4616</v>
      </c>
      <c r="FFS3" t="s">
        <v>4617</v>
      </c>
      <c r="FFT3" t="s">
        <v>4618</v>
      </c>
      <c r="FFU3" t="s">
        <v>4619</v>
      </c>
      <c r="FFV3" t="s">
        <v>4620</v>
      </c>
      <c r="FFW3" t="s">
        <v>4621</v>
      </c>
      <c r="FFX3" t="s">
        <v>4622</v>
      </c>
      <c r="FFY3" t="s">
        <v>4623</v>
      </c>
      <c r="FFZ3" t="s">
        <v>4624</v>
      </c>
      <c r="FGA3" t="s">
        <v>4625</v>
      </c>
      <c r="FGB3" t="s">
        <v>4626</v>
      </c>
      <c r="FGC3" t="s">
        <v>4627</v>
      </c>
      <c r="FGD3" t="s">
        <v>4628</v>
      </c>
      <c r="FGE3" t="s">
        <v>4629</v>
      </c>
      <c r="FGF3" t="s">
        <v>4630</v>
      </c>
      <c r="FGG3" t="s">
        <v>4631</v>
      </c>
      <c r="FGH3" t="s">
        <v>4632</v>
      </c>
      <c r="FGI3" t="s">
        <v>4633</v>
      </c>
      <c r="FGJ3" t="s">
        <v>4634</v>
      </c>
      <c r="FGK3" t="s">
        <v>4635</v>
      </c>
      <c r="FGL3" t="s">
        <v>4636</v>
      </c>
      <c r="FGM3" t="s">
        <v>4637</v>
      </c>
      <c r="FGN3" t="s">
        <v>4638</v>
      </c>
      <c r="FGO3" t="s">
        <v>4639</v>
      </c>
      <c r="FGP3" t="s">
        <v>4640</v>
      </c>
      <c r="FGQ3" t="s">
        <v>4641</v>
      </c>
      <c r="FGR3" t="s">
        <v>4642</v>
      </c>
      <c r="FGS3" t="s">
        <v>4643</v>
      </c>
      <c r="FGT3" t="s">
        <v>4644</v>
      </c>
      <c r="FGU3" t="s">
        <v>4645</v>
      </c>
      <c r="FGV3" t="s">
        <v>4646</v>
      </c>
      <c r="FGW3" t="s">
        <v>4647</v>
      </c>
      <c r="FGX3" t="s">
        <v>4648</v>
      </c>
      <c r="FGY3" t="s">
        <v>4649</v>
      </c>
      <c r="FGZ3" t="s">
        <v>4650</v>
      </c>
      <c r="FHA3" t="s">
        <v>4651</v>
      </c>
      <c r="FHB3" t="s">
        <v>4652</v>
      </c>
      <c r="FHC3" t="s">
        <v>4653</v>
      </c>
      <c r="FHD3" t="s">
        <v>4654</v>
      </c>
      <c r="FHE3" t="s">
        <v>4655</v>
      </c>
      <c r="FHF3" t="s">
        <v>4656</v>
      </c>
      <c r="FHG3" t="s">
        <v>4657</v>
      </c>
      <c r="FHH3" t="s">
        <v>4658</v>
      </c>
      <c r="FHI3" t="s">
        <v>4659</v>
      </c>
      <c r="FHJ3" t="s">
        <v>4660</v>
      </c>
      <c r="FHK3" t="s">
        <v>4661</v>
      </c>
      <c r="FHL3" t="s">
        <v>4662</v>
      </c>
      <c r="FHM3" t="s">
        <v>4663</v>
      </c>
      <c r="FHN3" t="s">
        <v>4664</v>
      </c>
      <c r="FHO3" t="s">
        <v>4665</v>
      </c>
      <c r="FHP3" t="s">
        <v>4666</v>
      </c>
      <c r="FHQ3" t="s">
        <v>4667</v>
      </c>
      <c r="FHR3" t="s">
        <v>4668</v>
      </c>
      <c r="FHS3" t="s">
        <v>4669</v>
      </c>
      <c r="FHT3" t="s">
        <v>4670</v>
      </c>
      <c r="FHU3" t="s">
        <v>4671</v>
      </c>
      <c r="FHV3" t="s">
        <v>4672</v>
      </c>
      <c r="FHW3" t="s">
        <v>4673</v>
      </c>
      <c r="FHX3" t="s">
        <v>4674</v>
      </c>
      <c r="FHY3" t="s">
        <v>4675</v>
      </c>
      <c r="FHZ3" t="s">
        <v>4676</v>
      </c>
      <c r="FIA3" t="s">
        <v>4677</v>
      </c>
      <c r="FIB3" t="s">
        <v>4678</v>
      </c>
      <c r="FIC3" t="s">
        <v>4679</v>
      </c>
      <c r="FID3" t="s">
        <v>4680</v>
      </c>
      <c r="FIE3" t="s">
        <v>4681</v>
      </c>
      <c r="FIF3" t="s">
        <v>4682</v>
      </c>
      <c r="FIG3" t="s">
        <v>4683</v>
      </c>
      <c r="FIH3" t="s">
        <v>4684</v>
      </c>
      <c r="FII3" t="s">
        <v>4685</v>
      </c>
      <c r="FIJ3" t="s">
        <v>4686</v>
      </c>
      <c r="FIK3" t="s">
        <v>4687</v>
      </c>
      <c r="FIL3" t="s">
        <v>4688</v>
      </c>
      <c r="FIM3" t="s">
        <v>4689</v>
      </c>
      <c r="FIN3" t="s">
        <v>4690</v>
      </c>
      <c r="FIO3" t="s">
        <v>4691</v>
      </c>
      <c r="FIP3" t="s">
        <v>4692</v>
      </c>
      <c r="FIQ3" t="s">
        <v>4693</v>
      </c>
      <c r="FIR3" t="s">
        <v>4694</v>
      </c>
      <c r="FIS3" t="s">
        <v>4695</v>
      </c>
      <c r="FIT3" t="s">
        <v>4696</v>
      </c>
      <c r="FIU3" t="s">
        <v>4697</v>
      </c>
      <c r="FIV3" t="s">
        <v>4698</v>
      </c>
      <c r="FIW3" t="s">
        <v>4699</v>
      </c>
      <c r="FIX3" t="s">
        <v>4700</v>
      </c>
      <c r="FIY3" t="s">
        <v>4701</v>
      </c>
      <c r="FIZ3" t="s">
        <v>4702</v>
      </c>
      <c r="FJA3" t="s">
        <v>4703</v>
      </c>
      <c r="FJB3" t="s">
        <v>4704</v>
      </c>
      <c r="FJC3" t="s">
        <v>4705</v>
      </c>
      <c r="FJD3" t="s">
        <v>4706</v>
      </c>
      <c r="FJE3" t="s">
        <v>4707</v>
      </c>
      <c r="FJF3" t="s">
        <v>4708</v>
      </c>
      <c r="FJG3" t="s">
        <v>4709</v>
      </c>
      <c r="FJH3" t="s">
        <v>4710</v>
      </c>
      <c r="FJI3" t="s">
        <v>4711</v>
      </c>
      <c r="FJJ3" t="s">
        <v>4712</v>
      </c>
      <c r="FJK3" t="s">
        <v>4713</v>
      </c>
      <c r="FJL3" t="s">
        <v>4714</v>
      </c>
      <c r="FJM3" t="s">
        <v>4715</v>
      </c>
      <c r="FJN3" t="s">
        <v>4716</v>
      </c>
      <c r="FJO3" t="s">
        <v>4717</v>
      </c>
      <c r="FJP3" t="s">
        <v>4718</v>
      </c>
      <c r="FJQ3" t="s">
        <v>4719</v>
      </c>
      <c r="FJR3" t="s">
        <v>4720</v>
      </c>
      <c r="FJS3" t="s">
        <v>4721</v>
      </c>
      <c r="FJT3" t="s">
        <v>4722</v>
      </c>
      <c r="FJU3" t="s">
        <v>4723</v>
      </c>
      <c r="FJV3" t="s">
        <v>4724</v>
      </c>
      <c r="FJW3" t="s">
        <v>4725</v>
      </c>
      <c r="FJX3" t="s">
        <v>4726</v>
      </c>
      <c r="FJY3" t="s">
        <v>4727</v>
      </c>
      <c r="FJZ3" t="s">
        <v>4728</v>
      </c>
      <c r="FKA3" t="s">
        <v>4729</v>
      </c>
      <c r="FKB3" t="s">
        <v>4730</v>
      </c>
      <c r="FKC3" t="s">
        <v>4731</v>
      </c>
      <c r="FKD3" t="s">
        <v>4732</v>
      </c>
      <c r="FKE3" t="s">
        <v>4733</v>
      </c>
      <c r="FKF3" t="s">
        <v>4734</v>
      </c>
      <c r="FKG3" t="s">
        <v>4735</v>
      </c>
      <c r="FKH3" t="s">
        <v>4736</v>
      </c>
      <c r="FKI3" t="s">
        <v>4737</v>
      </c>
      <c r="FKJ3" t="s">
        <v>4738</v>
      </c>
      <c r="FKK3" t="s">
        <v>4739</v>
      </c>
      <c r="FKL3" t="s">
        <v>4740</v>
      </c>
      <c r="FKM3" t="s">
        <v>4741</v>
      </c>
      <c r="FKN3" t="s">
        <v>4742</v>
      </c>
      <c r="FKO3" t="s">
        <v>4743</v>
      </c>
      <c r="FKP3" t="s">
        <v>4744</v>
      </c>
      <c r="FKQ3" t="s">
        <v>4745</v>
      </c>
      <c r="FKR3" t="s">
        <v>4746</v>
      </c>
      <c r="FKS3" t="s">
        <v>4747</v>
      </c>
      <c r="FKT3" t="s">
        <v>4748</v>
      </c>
      <c r="FKU3" t="s">
        <v>4749</v>
      </c>
      <c r="FKV3" t="s">
        <v>4750</v>
      </c>
      <c r="FKW3" t="s">
        <v>4751</v>
      </c>
      <c r="FKX3" t="s">
        <v>4752</v>
      </c>
      <c r="FKY3" t="s">
        <v>4753</v>
      </c>
      <c r="FKZ3" t="s">
        <v>4754</v>
      </c>
      <c r="FLA3" t="s">
        <v>4755</v>
      </c>
      <c r="FLB3" t="s">
        <v>4756</v>
      </c>
      <c r="FLC3" t="s">
        <v>4757</v>
      </c>
      <c r="FLD3" t="s">
        <v>4758</v>
      </c>
      <c r="FLE3" t="s">
        <v>4759</v>
      </c>
      <c r="FLF3" t="s">
        <v>4760</v>
      </c>
      <c r="FLG3" t="s">
        <v>4761</v>
      </c>
      <c r="FLH3" t="s">
        <v>4762</v>
      </c>
      <c r="FLI3" t="s">
        <v>4763</v>
      </c>
      <c r="FLJ3" t="s">
        <v>4764</v>
      </c>
      <c r="FLK3" t="s">
        <v>4765</v>
      </c>
      <c r="FLL3" t="s">
        <v>4766</v>
      </c>
      <c r="FLM3" t="s">
        <v>4767</v>
      </c>
      <c r="FLN3" t="s">
        <v>4768</v>
      </c>
      <c r="FLO3" t="s">
        <v>4769</v>
      </c>
      <c r="FLP3" t="s">
        <v>4770</v>
      </c>
      <c r="FLQ3" t="s">
        <v>4771</v>
      </c>
      <c r="FLR3" t="s">
        <v>4772</v>
      </c>
      <c r="FLS3" t="s">
        <v>4773</v>
      </c>
      <c r="FLT3" t="s">
        <v>4774</v>
      </c>
      <c r="FLU3" t="s">
        <v>4775</v>
      </c>
      <c r="FLV3" t="s">
        <v>4776</v>
      </c>
      <c r="FLW3" t="s">
        <v>4777</v>
      </c>
      <c r="FLX3" t="s">
        <v>4778</v>
      </c>
      <c r="FLY3" t="s">
        <v>4779</v>
      </c>
      <c r="FLZ3" t="s">
        <v>4780</v>
      </c>
      <c r="FMA3" t="s">
        <v>4781</v>
      </c>
      <c r="FMB3" t="s">
        <v>4782</v>
      </c>
      <c r="FMC3" t="s">
        <v>4783</v>
      </c>
      <c r="FMD3" t="s">
        <v>4784</v>
      </c>
      <c r="FME3" t="s">
        <v>4785</v>
      </c>
      <c r="FMF3" t="s">
        <v>4786</v>
      </c>
      <c r="FMG3" t="s">
        <v>4787</v>
      </c>
      <c r="FMH3" t="s">
        <v>4788</v>
      </c>
      <c r="FMI3" t="s">
        <v>4789</v>
      </c>
      <c r="FMJ3" t="s">
        <v>4790</v>
      </c>
      <c r="FMK3" t="s">
        <v>4791</v>
      </c>
      <c r="FML3" t="s">
        <v>4792</v>
      </c>
      <c r="FMM3" t="s">
        <v>4793</v>
      </c>
      <c r="FMN3" t="s">
        <v>4794</v>
      </c>
      <c r="FMO3" t="s">
        <v>4795</v>
      </c>
      <c r="FMP3" t="s">
        <v>4796</v>
      </c>
      <c r="FMQ3" t="s">
        <v>4797</v>
      </c>
      <c r="FMR3" t="s">
        <v>4798</v>
      </c>
      <c r="FMS3" t="s">
        <v>4799</v>
      </c>
      <c r="FMT3" t="s">
        <v>4800</v>
      </c>
      <c r="FMU3" t="s">
        <v>4801</v>
      </c>
      <c r="FMV3" t="s">
        <v>4802</v>
      </c>
      <c r="FMW3" t="s">
        <v>4803</v>
      </c>
      <c r="FMX3" t="s">
        <v>4804</v>
      </c>
      <c r="FMY3" t="s">
        <v>4805</v>
      </c>
      <c r="FMZ3" t="s">
        <v>4806</v>
      </c>
      <c r="FNA3" t="s">
        <v>4807</v>
      </c>
      <c r="FNB3" t="s">
        <v>4808</v>
      </c>
      <c r="FNC3" t="s">
        <v>4809</v>
      </c>
      <c r="FND3" t="s">
        <v>4810</v>
      </c>
      <c r="FNE3" t="s">
        <v>4811</v>
      </c>
      <c r="FNF3" t="s">
        <v>4812</v>
      </c>
      <c r="FNG3" t="s">
        <v>4813</v>
      </c>
      <c r="FNH3" t="s">
        <v>4814</v>
      </c>
      <c r="FNI3" t="s">
        <v>4815</v>
      </c>
      <c r="FNJ3" t="s">
        <v>4816</v>
      </c>
      <c r="FNK3" t="s">
        <v>4817</v>
      </c>
      <c r="FNL3" t="s">
        <v>4818</v>
      </c>
      <c r="FNM3" t="s">
        <v>4819</v>
      </c>
      <c r="FNN3" t="s">
        <v>4820</v>
      </c>
      <c r="FNO3" t="s">
        <v>4821</v>
      </c>
      <c r="FNP3" t="s">
        <v>4822</v>
      </c>
      <c r="FNQ3" t="s">
        <v>4823</v>
      </c>
      <c r="FNR3" t="s">
        <v>4824</v>
      </c>
      <c r="FNS3" t="s">
        <v>4825</v>
      </c>
      <c r="FNT3" t="s">
        <v>4826</v>
      </c>
      <c r="FNU3" t="s">
        <v>4827</v>
      </c>
      <c r="FNV3" t="s">
        <v>4828</v>
      </c>
      <c r="FNW3" t="s">
        <v>4829</v>
      </c>
      <c r="FNX3" t="s">
        <v>4830</v>
      </c>
      <c r="FNY3" t="s">
        <v>4831</v>
      </c>
      <c r="FNZ3" t="s">
        <v>4832</v>
      </c>
      <c r="FOA3" t="s">
        <v>4833</v>
      </c>
      <c r="FOB3" t="s">
        <v>4834</v>
      </c>
      <c r="FOC3" t="s">
        <v>4835</v>
      </c>
      <c r="FOD3" t="s">
        <v>4836</v>
      </c>
      <c r="FOE3" t="s">
        <v>4837</v>
      </c>
      <c r="FOF3" t="s">
        <v>4838</v>
      </c>
      <c r="FOG3" t="s">
        <v>4839</v>
      </c>
      <c r="FOH3" t="s">
        <v>4840</v>
      </c>
      <c r="FOI3" t="s">
        <v>4841</v>
      </c>
      <c r="FOJ3" t="s">
        <v>4842</v>
      </c>
      <c r="FOK3" t="s">
        <v>4843</v>
      </c>
      <c r="FOL3" t="s">
        <v>4844</v>
      </c>
      <c r="FOM3" t="s">
        <v>4845</v>
      </c>
      <c r="FON3" t="s">
        <v>4846</v>
      </c>
      <c r="FOO3" t="s">
        <v>4847</v>
      </c>
      <c r="FOP3" t="s">
        <v>4848</v>
      </c>
      <c r="FOQ3" t="s">
        <v>4849</v>
      </c>
      <c r="FOR3" t="s">
        <v>4850</v>
      </c>
      <c r="FOS3" t="s">
        <v>4851</v>
      </c>
      <c r="FOT3" t="s">
        <v>4852</v>
      </c>
      <c r="FOU3" t="s">
        <v>4853</v>
      </c>
      <c r="FOV3" t="s">
        <v>4854</v>
      </c>
      <c r="FOW3" t="s">
        <v>4855</v>
      </c>
      <c r="FOX3" t="s">
        <v>4856</v>
      </c>
      <c r="FOY3" t="s">
        <v>4857</v>
      </c>
      <c r="FOZ3" t="s">
        <v>4858</v>
      </c>
      <c r="FPA3" t="s">
        <v>4859</v>
      </c>
      <c r="FPB3" t="s">
        <v>4860</v>
      </c>
      <c r="FPC3" t="s">
        <v>4861</v>
      </c>
      <c r="FPD3" t="s">
        <v>4862</v>
      </c>
      <c r="FPE3" t="s">
        <v>4863</v>
      </c>
      <c r="FPF3" t="s">
        <v>4864</v>
      </c>
      <c r="FPG3" t="s">
        <v>4865</v>
      </c>
      <c r="FPH3" t="s">
        <v>4866</v>
      </c>
      <c r="FPI3" t="s">
        <v>4867</v>
      </c>
      <c r="FPJ3" t="s">
        <v>4868</v>
      </c>
      <c r="FPK3" t="s">
        <v>4869</v>
      </c>
      <c r="FPL3" t="s">
        <v>4870</v>
      </c>
      <c r="FPM3" t="s">
        <v>4871</v>
      </c>
      <c r="FPN3" t="s">
        <v>4872</v>
      </c>
      <c r="FPO3" t="s">
        <v>4873</v>
      </c>
      <c r="FPP3" t="s">
        <v>4874</v>
      </c>
      <c r="FPQ3" t="s">
        <v>4875</v>
      </c>
      <c r="FPR3" t="s">
        <v>4876</v>
      </c>
      <c r="FPS3" t="s">
        <v>4877</v>
      </c>
      <c r="FPT3" t="s">
        <v>4878</v>
      </c>
      <c r="FPU3" t="s">
        <v>4879</v>
      </c>
      <c r="FPV3" t="s">
        <v>4880</v>
      </c>
      <c r="FPW3" t="s">
        <v>4881</v>
      </c>
      <c r="FPX3" t="s">
        <v>4882</v>
      </c>
      <c r="FPY3" t="s">
        <v>4883</v>
      </c>
      <c r="FPZ3" t="s">
        <v>4884</v>
      </c>
      <c r="FQA3" t="s">
        <v>4885</v>
      </c>
      <c r="FQB3" t="s">
        <v>4886</v>
      </c>
      <c r="FQC3" t="s">
        <v>4887</v>
      </c>
      <c r="FQD3" t="s">
        <v>4888</v>
      </c>
      <c r="FQE3" t="s">
        <v>4889</v>
      </c>
      <c r="FQF3" t="s">
        <v>4890</v>
      </c>
      <c r="FQG3" t="s">
        <v>4891</v>
      </c>
      <c r="FQH3" t="s">
        <v>4892</v>
      </c>
      <c r="FQI3" t="s">
        <v>4893</v>
      </c>
      <c r="FQJ3" t="s">
        <v>4894</v>
      </c>
      <c r="FQK3" t="s">
        <v>4895</v>
      </c>
      <c r="FQL3" t="s">
        <v>4896</v>
      </c>
      <c r="FQM3" t="s">
        <v>4897</v>
      </c>
      <c r="FQN3" t="s">
        <v>4898</v>
      </c>
      <c r="FQO3" t="s">
        <v>4899</v>
      </c>
      <c r="FQP3" t="s">
        <v>4900</v>
      </c>
      <c r="FQQ3" t="s">
        <v>4901</v>
      </c>
      <c r="FQR3" t="s">
        <v>4902</v>
      </c>
      <c r="FQS3" t="s">
        <v>4903</v>
      </c>
      <c r="FQT3" t="s">
        <v>4904</v>
      </c>
      <c r="FQU3" t="s">
        <v>4905</v>
      </c>
      <c r="FQV3" t="s">
        <v>4906</v>
      </c>
      <c r="FQW3" t="s">
        <v>4907</v>
      </c>
      <c r="FQX3" t="s">
        <v>4908</v>
      </c>
      <c r="FQY3" t="s">
        <v>4909</v>
      </c>
      <c r="FQZ3" t="s">
        <v>4910</v>
      </c>
      <c r="FRA3" t="s">
        <v>4911</v>
      </c>
      <c r="FRB3" t="s">
        <v>4912</v>
      </c>
      <c r="FRC3" t="s">
        <v>4913</v>
      </c>
      <c r="FRD3" t="s">
        <v>4914</v>
      </c>
      <c r="FRE3" t="s">
        <v>4915</v>
      </c>
      <c r="FRF3" t="s">
        <v>4916</v>
      </c>
      <c r="FRG3" t="s">
        <v>4917</v>
      </c>
      <c r="FRH3" t="s">
        <v>4918</v>
      </c>
      <c r="FRI3" t="s">
        <v>4919</v>
      </c>
      <c r="FRJ3" t="s">
        <v>4920</v>
      </c>
      <c r="FRK3" t="s">
        <v>4921</v>
      </c>
      <c r="FRL3" t="s">
        <v>4922</v>
      </c>
      <c r="FRM3" t="s">
        <v>4923</v>
      </c>
      <c r="FRN3" t="s">
        <v>4924</v>
      </c>
      <c r="FRO3" t="s">
        <v>4925</v>
      </c>
      <c r="FRP3" t="s">
        <v>4926</v>
      </c>
      <c r="FRQ3" t="s">
        <v>4927</v>
      </c>
      <c r="FRR3" t="s">
        <v>4928</v>
      </c>
      <c r="FRS3" t="s">
        <v>4929</v>
      </c>
      <c r="FRT3" t="s">
        <v>4930</v>
      </c>
      <c r="FRU3" t="s">
        <v>4931</v>
      </c>
      <c r="FRV3" t="s">
        <v>4932</v>
      </c>
      <c r="FRW3" t="s">
        <v>4933</v>
      </c>
      <c r="FRX3" t="s">
        <v>4934</v>
      </c>
      <c r="FRY3" t="s">
        <v>4935</v>
      </c>
      <c r="FRZ3" t="s">
        <v>4936</v>
      </c>
      <c r="FSA3" t="s">
        <v>4937</v>
      </c>
      <c r="FSB3" t="s">
        <v>4938</v>
      </c>
      <c r="FSC3" t="s">
        <v>4939</v>
      </c>
      <c r="FSD3" t="s">
        <v>4940</v>
      </c>
      <c r="FSE3" t="s">
        <v>4941</v>
      </c>
      <c r="FSF3" t="s">
        <v>4942</v>
      </c>
      <c r="FSG3" t="s">
        <v>4943</v>
      </c>
      <c r="FSH3" t="s">
        <v>4944</v>
      </c>
      <c r="FSI3" t="s">
        <v>4945</v>
      </c>
      <c r="FSJ3" t="s">
        <v>4946</v>
      </c>
      <c r="FSK3" t="s">
        <v>4947</v>
      </c>
      <c r="FSL3" t="s">
        <v>4948</v>
      </c>
      <c r="FSM3" t="s">
        <v>4949</v>
      </c>
      <c r="FSN3" t="s">
        <v>4950</v>
      </c>
      <c r="FSO3" t="s">
        <v>4951</v>
      </c>
      <c r="FSP3" t="s">
        <v>4952</v>
      </c>
      <c r="FSQ3" t="s">
        <v>4953</v>
      </c>
      <c r="FSR3" t="s">
        <v>4954</v>
      </c>
      <c r="FSS3" t="s">
        <v>4955</v>
      </c>
      <c r="FST3" t="s">
        <v>4956</v>
      </c>
      <c r="FSU3" t="s">
        <v>4957</v>
      </c>
      <c r="FSV3" t="s">
        <v>4958</v>
      </c>
      <c r="FSW3" t="s">
        <v>4959</v>
      </c>
      <c r="FSX3" t="s">
        <v>4960</v>
      </c>
      <c r="FSY3" t="s">
        <v>4961</v>
      </c>
      <c r="FSZ3" t="s">
        <v>4962</v>
      </c>
      <c r="FTA3" t="s">
        <v>4963</v>
      </c>
      <c r="FTB3" t="s">
        <v>4964</v>
      </c>
      <c r="FTC3" t="s">
        <v>4965</v>
      </c>
      <c r="FTD3" t="s">
        <v>4966</v>
      </c>
      <c r="FTE3" t="s">
        <v>4967</v>
      </c>
      <c r="FTF3" t="s">
        <v>4968</v>
      </c>
      <c r="FTG3" t="s">
        <v>4969</v>
      </c>
      <c r="FTH3" t="s">
        <v>4970</v>
      </c>
      <c r="FTI3" t="s">
        <v>4971</v>
      </c>
      <c r="FTJ3" t="s">
        <v>4972</v>
      </c>
      <c r="FTK3" t="s">
        <v>4973</v>
      </c>
      <c r="FTL3" t="s">
        <v>4974</v>
      </c>
      <c r="FTM3" t="s">
        <v>4975</v>
      </c>
      <c r="FTN3" t="s">
        <v>4976</v>
      </c>
      <c r="FTO3" t="s">
        <v>4977</v>
      </c>
      <c r="FTP3" t="s">
        <v>4978</v>
      </c>
      <c r="FTQ3" t="s">
        <v>4979</v>
      </c>
      <c r="FTR3" t="s">
        <v>4980</v>
      </c>
      <c r="FTS3" t="s">
        <v>4981</v>
      </c>
      <c r="FTT3" t="s">
        <v>4982</v>
      </c>
      <c r="FTU3" t="s">
        <v>4983</v>
      </c>
      <c r="FTV3" t="s">
        <v>4984</v>
      </c>
      <c r="FTW3" t="s">
        <v>4985</v>
      </c>
      <c r="FTX3" t="s">
        <v>4986</v>
      </c>
      <c r="FTY3" t="s">
        <v>4987</v>
      </c>
      <c r="FTZ3" t="s">
        <v>4988</v>
      </c>
      <c r="FUA3" t="s">
        <v>4989</v>
      </c>
      <c r="FUB3" t="s">
        <v>4990</v>
      </c>
      <c r="FUC3" t="s">
        <v>4991</v>
      </c>
      <c r="FUD3" t="s">
        <v>4992</v>
      </c>
      <c r="FUE3" t="s">
        <v>4993</v>
      </c>
      <c r="FUF3" t="s">
        <v>4994</v>
      </c>
      <c r="FUG3" t="s">
        <v>4995</v>
      </c>
      <c r="FUH3" t="s">
        <v>4996</v>
      </c>
      <c r="FUI3" t="s">
        <v>4997</v>
      </c>
      <c r="FUJ3" t="s">
        <v>4998</v>
      </c>
      <c r="FUK3" t="s">
        <v>4999</v>
      </c>
      <c r="FUL3" t="s">
        <v>5000</v>
      </c>
      <c r="FUM3" t="s">
        <v>5001</v>
      </c>
      <c r="FUN3" t="s">
        <v>5002</v>
      </c>
      <c r="FUO3" t="s">
        <v>5003</v>
      </c>
      <c r="FUP3" t="s">
        <v>5004</v>
      </c>
      <c r="FUQ3" t="s">
        <v>5005</v>
      </c>
      <c r="FUR3" t="s">
        <v>5006</v>
      </c>
      <c r="FUS3" t="s">
        <v>5007</v>
      </c>
      <c r="FUT3" t="s">
        <v>5008</v>
      </c>
      <c r="FUU3" t="s">
        <v>5009</v>
      </c>
      <c r="FUV3" t="s">
        <v>5010</v>
      </c>
      <c r="FUW3" t="s">
        <v>5011</v>
      </c>
      <c r="FUX3" t="s">
        <v>5012</v>
      </c>
      <c r="FUY3" t="s">
        <v>5013</v>
      </c>
      <c r="FUZ3" t="s">
        <v>5014</v>
      </c>
      <c r="FVA3" t="s">
        <v>5015</v>
      </c>
      <c r="FVB3" t="s">
        <v>5016</v>
      </c>
      <c r="FVC3" t="s">
        <v>5017</v>
      </c>
      <c r="FVD3" t="s">
        <v>5018</v>
      </c>
      <c r="FVE3" t="s">
        <v>5019</v>
      </c>
      <c r="FVF3" t="s">
        <v>5020</v>
      </c>
      <c r="FVG3" t="s">
        <v>5021</v>
      </c>
      <c r="FVH3" t="s">
        <v>5022</v>
      </c>
      <c r="FVI3" t="s">
        <v>5023</v>
      </c>
      <c r="FVJ3" t="s">
        <v>5024</v>
      </c>
      <c r="FVK3" t="s">
        <v>5025</v>
      </c>
      <c r="FVL3" t="s">
        <v>5026</v>
      </c>
      <c r="FVM3" t="s">
        <v>5027</v>
      </c>
      <c r="FVN3" t="s">
        <v>5028</v>
      </c>
      <c r="FVO3" t="s">
        <v>5029</v>
      </c>
      <c r="FVP3" t="s">
        <v>5030</v>
      </c>
      <c r="FVQ3" t="s">
        <v>5031</v>
      </c>
      <c r="FVR3" t="s">
        <v>5032</v>
      </c>
      <c r="FVS3" t="s">
        <v>5033</v>
      </c>
      <c r="FVT3" t="s">
        <v>5034</v>
      </c>
      <c r="FVU3" t="s">
        <v>5035</v>
      </c>
      <c r="FVV3" t="s">
        <v>5036</v>
      </c>
      <c r="FVW3" t="s">
        <v>5037</v>
      </c>
      <c r="FVX3" t="s">
        <v>5038</v>
      </c>
      <c r="FVY3" t="s">
        <v>5039</v>
      </c>
      <c r="FVZ3" t="s">
        <v>5040</v>
      </c>
      <c r="FWA3" t="s">
        <v>5041</v>
      </c>
      <c r="FWB3" t="s">
        <v>5042</v>
      </c>
      <c r="FWC3" t="s">
        <v>5043</v>
      </c>
      <c r="FWD3" t="s">
        <v>5044</v>
      </c>
      <c r="FWE3" t="s">
        <v>5045</v>
      </c>
      <c r="FWF3" t="s">
        <v>5046</v>
      </c>
      <c r="FWG3" t="s">
        <v>5047</v>
      </c>
      <c r="FWH3" t="s">
        <v>5048</v>
      </c>
      <c r="FWI3" t="s">
        <v>5049</v>
      </c>
      <c r="FWJ3" t="s">
        <v>5050</v>
      </c>
      <c r="FWK3" t="s">
        <v>5051</v>
      </c>
      <c r="FWL3" t="s">
        <v>5052</v>
      </c>
      <c r="FWM3" t="s">
        <v>5053</v>
      </c>
      <c r="FWN3" t="s">
        <v>5054</v>
      </c>
      <c r="FWO3" t="s">
        <v>5055</v>
      </c>
      <c r="FWP3" t="s">
        <v>5056</v>
      </c>
      <c r="FWQ3" t="s">
        <v>5057</v>
      </c>
      <c r="FWR3" t="s">
        <v>5058</v>
      </c>
      <c r="FWS3" t="s">
        <v>5059</v>
      </c>
      <c r="FWT3" t="s">
        <v>5060</v>
      </c>
      <c r="FWU3" t="s">
        <v>5061</v>
      </c>
      <c r="FWV3" t="s">
        <v>5062</v>
      </c>
      <c r="FWW3" t="s">
        <v>5063</v>
      </c>
      <c r="FWX3" t="s">
        <v>5064</v>
      </c>
      <c r="FWY3" t="s">
        <v>5065</v>
      </c>
      <c r="FWZ3" t="s">
        <v>5066</v>
      </c>
      <c r="FXA3" t="s">
        <v>5067</v>
      </c>
      <c r="FXB3" t="s">
        <v>5068</v>
      </c>
      <c r="FXC3" t="s">
        <v>5069</v>
      </c>
      <c r="FXD3" t="s">
        <v>5070</v>
      </c>
      <c r="FXE3" t="s">
        <v>5071</v>
      </c>
      <c r="FXF3" t="s">
        <v>5072</v>
      </c>
      <c r="FXG3" t="s">
        <v>5073</v>
      </c>
      <c r="FXH3" t="s">
        <v>5074</v>
      </c>
      <c r="FXI3" t="s">
        <v>5075</v>
      </c>
      <c r="FXJ3" t="s">
        <v>5076</v>
      </c>
      <c r="FXK3" t="s">
        <v>5077</v>
      </c>
      <c r="FXL3" t="s">
        <v>5078</v>
      </c>
      <c r="FXM3" t="s">
        <v>5079</v>
      </c>
      <c r="FXN3" t="s">
        <v>5080</v>
      </c>
      <c r="FXO3" t="s">
        <v>5081</v>
      </c>
      <c r="FXP3" t="s">
        <v>5082</v>
      </c>
      <c r="FXQ3" t="s">
        <v>5083</v>
      </c>
      <c r="FXR3" t="s">
        <v>5084</v>
      </c>
      <c r="FXS3" t="s">
        <v>5085</v>
      </c>
      <c r="FXT3" t="s">
        <v>5086</v>
      </c>
      <c r="FXU3" t="s">
        <v>5087</v>
      </c>
      <c r="FXV3" t="s">
        <v>5088</v>
      </c>
      <c r="FXW3" t="s">
        <v>5089</v>
      </c>
      <c r="FXX3" t="s">
        <v>5090</v>
      </c>
      <c r="FXY3" t="s">
        <v>5091</v>
      </c>
      <c r="FXZ3" t="s">
        <v>5092</v>
      </c>
      <c r="FYA3" t="s">
        <v>5093</v>
      </c>
      <c r="FYB3" t="s">
        <v>5094</v>
      </c>
      <c r="FYC3" t="s">
        <v>5095</v>
      </c>
      <c r="FYD3" t="s">
        <v>5096</v>
      </c>
      <c r="FYE3" t="s">
        <v>5097</v>
      </c>
      <c r="FYF3" t="s">
        <v>5098</v>
      </c>
      <c r="FYG3" t="s">
        <v>5099</v>
      </c>
      <c r="FYH3" t="s">
        <v>5100</v>
      </c>
      <c r="FYI3" t="s">
        <v>5101</v>
      </c>
      <c r="FYJ3" t="s">
        <v>5102</v>
      </c>
      <c r="FYK3" t="s">
        <v>5103</v>
      </c>
      <c r="FYL3" t="s">
        <v>5104</v>
      </c>
      <c r="FYM3" t="s">
        <v>5105</v>
      </c>
      <c r="FYN3" t="s">
        <v>5106</v>
      </c>
      <c r="FYO3" t="s">
        <v>5107</v>
      </c>
      <c r="FYP3" t="s">
        <v>5108</v>
      </c>
      <c r="FYQ3" t="s">
        <v>5109</v>
      </c>
      <c r="FYR3" t="s">
        <v>5110</v>
      </c>
      <c r="FYS3" t="s">
        <v>5111</v>
      </c>
      <c r="FYT3" t="s">
        <v>5112</v>
      </c>
      <c r="FYU3" t="s">
        <v>5113</v>
      </c>
      <c r="FYV3" t="s">
        <v>5114</v>
      </c>
      <c r="FYW3" t="s">
        <v>5115</v>
      </c>
      <c r="FYX3" t="s">
        <v>5116</v>
      </c>
      <c r="FYY3" t="s">
        <v>5117</v>
      </c>
      <c r="FYZ3" t="s">
        <v>5118</v>
      </c>
      <c r="FZA3" t="s">
        <v>5119</v>
      </c>
      <c r="FZB3" t="s">
        <v>5120</v>
      </c>
      <c r="FZC3" t="s">
        <v>5121</v>
      </c>
      <c r="FZD3" t="s">
        <v>5122</v>
      </c>
      <c r="FZE3" t="s">
        <v>5123</v>
      </c>
      <c r="FZF3" t="s">
        <v>5124</v>
      </c>
      <c r="FZG3" t="s">
        <v>5125</v>
      </c>
      <c r="FZH3" t="s">
        <v>5126</v>
      </c>
      <c r="FZI3" t="s">
        <v>5127</v>
      </c>
      <c r="FZJ3" t="s">
        <v>5128</v>
      </c>
      <c r="FZK3" t="s">
        <v>5129</v>
      </c>
      <c r="FZL3" t="s">
        <v>5130</v>
      </c>
      <c r="FZM3" t="s">
        <v>5131</v>
      </c>
      <c r="FZN3" t="s">
        <v>5132</v>
      </c>
      <c r="FZO3" t="s">
        <v>5133</v>
      </c>
      <c r="FZP3" t="s">
        <v>5134</v>
      </c>
      <c r="FZQ3" t="s">
        <v>5135</v>
      </c>
      <c r="FZR3" t="s">
        <v>5136</v>
      </c>
      <c r="FZS3" t="s">
        <v>5137</v>
      </c>
      <c r="FZT3" t="s">
        <v>5138</v>
      </c>
      <c r="FZU3" t="s">
        <v>5139</v>
      </c>
      <c r="FZV3" t="s">
        <v>5140</v>
      </c>
      <c r="FZW3" t="s">
        <v>5141</v>
      </c>
      <c r="FZX3" t="s">
        <v>5142</v>
      </c>
      <c r="FZY3" t="s">
        <v>5143</v>
      </c>
      <c r="FZZ3" t="s">
        <v>5144</v>
      </c>
      <c r="GAA3" t="s">
        <v>5145</v>
      </c>
      <c r="GAB3" t="s">
        <v>5146</v>
      </c>
      <c r="GAC3" t="s">
        <v>5147</v>
      </c>
      <c r="GAD3" t="s">
        <v>5148</v>
      </c>
      <c r="GAE3" t="s">
        <v>5149</v>
      </c>
      <c r="GAF3" t="s">
        <v>5150</v>
      </c>
      <c r="GAG3" t="s">
        <v>5151</v>
      </c>
      <c r="GAH3" t="s">
        <v>5152</v>
      </c>
      <c r="GAI3" t="s">
        <v>5153</v>
      </c>
      <c r="GAJ3" t="s">
        <v>5154</v>
      </c>
      <c r="GAK3" t="s">
        <v>5155</v>
      </c>
      <c r="GAL3" t="s">
        <v>5156</v>
      </c>
      <c r="GAM3" t="s">
        <v>5157</v>
      </c>
      <c r="GAN3" t="s">
        <v>5158</v>
      </c>
      <c r="GAO3" t="s">
        <v>5159</v>
      </c>
      <c r="GAP3" t="s">
        <v>5160</v>
      </c>
      <c r="GAQ3" t="s">
        <v>5161</v>
      </c>
      <c r="GAR3" t="s">
        <v>5162</v>
      </c>
      <c r="GAS3" t="s">
        <v>5163</v>
      </c>
      <c r="GAT3" t="s">
        <v>5164</v>
      </c>
      <c r="GAU3" t="s">
        <v>5165</v>
      </c>
      <c r="GAV3" t="s">
        <v>5166</v>
      </c>
      <c r="GAW3" t="s">
        <v>5167</v>
      </c>
      <c r="GAX3" t="s">
        <v>5168</v>
      </c>
      <c r="GAY3" t="s">
        <v>5169</v>
      </c>
      <c r="GAZ3" t="s">
        <v>5170</v>
      </c>
      <c r="GBA3" t="s">
        <v>5171</v>
      </c>
      <c r="GBB3" t="s">
        <v>5172</v>
      </c>
      <c r="GBC3" t="s">
        <v>5173</v>
      </c>
      <c r="GBD3" t="s">
        <v>5174</v>
      </c>
      <c r="GBE3" t="s">
        <v>5175</v>
      </c>
      <c r="GBF3" t="s">
        <v>5176</v>
      </c>
      <c r="GBG3" t="s">
        <v>5177</v>
      </c>
      <c r="GBH3" t="s">
        <v>5178</v>
      </c>
      <c r="GBI3" t="s">
        <v>5179</v>
      </c>
      <c r="GBJ3" t="s">
        <v>5180</v>
      </c>
      <c r="GBK3" t="s">
        <v>5181</v>
      </c>
      <c r="GBL3" t="s">
        <v>5182</v>
      </c>
      <c r="GBM3" t="s">
        <v>5183</v>
      </c>
      <c r="GBN3" t="s">
        <v>5184</v>
      </c>
      <c r="GBO3" t="s">
        <v>5185</v>
      </c>
      <c r="GBP3" t="s">
        <v>5186</v>
      </c>
      <c r="GBQ3" t="s">
        <v>5187</v>
      </c>
      <c r="GBR3" t="s">
        <v>5188</v>
      </c>
      <c r="GBS3" t="s">
        <v>5189</v>
      </c>
      <c r="GBT3" t="s">
        <v>5190</v>
      </c>
      <c r="GBU3" t="s">
        <v>5191</v>
      </c>
      <c r="GBV3" t="s">
        <v>5192</v>
      </c>
      <c r="GBW3" t="s">
        <v>5193</v>
      </c>
      <c r="GBX3" t="s">
        <v>5194</v>
      </c>
      <c r="GBY3" t="s">
        <v>5195</v>
      </c>
      <c r="GBZ3" t="s">
        <v>5196</v>
      </c>
      <c r="GCA3" t="s">
        <v>5197</v>
      </c>
      <c r="GCB3" t="s">
        <v>5198</v>
      </c>
      <c r="GCC3" t="s">
        <v>5199</v>
      </c>
      <c r="GCD3" t="s">
        <v>5200</v>
      </c>
      <c r="GCE3" t="s">
        <v>5201</v>
      </c>
      <c r="GCF3" t="s">
        <v>5202</v>
      </c>
      <c r="GCG3" t="s">
        <v>5203</v>
      </c>
      <c r="GCH3" t="s">
        <v>5204</v>
      </c>
      <c r="GCI3" t="s">
        <v>5205</v>
      </c>
      <c r="GCJ3" t="s">
        <v>5206</v>
      </c>
      <c r="GCK3" t="s">
        <v>5207</v>
      </c>
      <c r="GCL3" t="s">
        <v>5208</v>
      </c>
      <c r="GCM3" t="s">
        <v>5209</v>
      </c>
      <c r="GCN3" t="s">
        <v>5210</v>
      </c>
      <c r="GCO3" t="s">
        <v>5211</v>
      </c>
      <c r="GCP3" t="s">
        <v>5212</v>
      </c>
      <c r="GCQ3" t="s">
        <v>5213</v>
      </c>
      <c r="GCR3" t="s">
        <v>5214</v>
      </c>
      <c r="GCS3" t="s">
        <v>5215</v>
      </c>
      <c r="GCT3" t="s">
        <v>5216</v>
      </c>
      <c r="GCU3" t="s">
        <v>5217</v>
      </c>
      <c r="GCV3" t="s">
        <v>5218</v>
      </c>
      <c r="GCW3" t="s">
        <v>5219</v>
      </c>
      <c r="GCX3" t="s">
        <v>5220</v>
      </c>
      <c r="GCY3" t="s">
        <v>5221</v>
      </c>
      <c r="GCZ3" t="s">
        <v>5222</v>
      </c>
      <c r="GDA3" t="s">
        <v>5223</v>
      </c>
      <c r="GDB3" t="s">
        <v>5224</v>
      </c>
      <c r="GDC3" t="s">
        <v>5225</v>
      </c>
      <c r="GDD3" t="s">
        <v>5226</v>
      </c>
      <c r="GDE3" t="s">
        <v>5227</v>
      </c>
      <c r="GDF3" t="s">
        <v>5228</v>
      </c>
      <c r="GDG3" t="s">
        <v>5229</v>
      </c>
      <c r="GDH3" t="s">
        <v>5230</v>
      </c>
      <c r="GDI3" t="s">
        <v>5231</v>
      </c>
      <c r="GDJ3" t="s">
        <v>5232</v>
      </c>
      <c r="GDK3" t="s">
        <v>5233</v>
      </c>
      <c r="GDL3" t="s">
        <v>5234</v>
      </c>
      <c r="GDM3" t="s">
        <v>5235</v>
      </c>
      <c r="GDN3" t="s">
        <v>5236</v>
      </c>
      <c r="GDO3" t="s">
        <v>5237</v>
      </c>
      <c r="GDP3" t="s">
        <v>5238</v>
      </c>
      <c r="GDQ3" t="s">
        <v>5239</v>
      </c>
      <c r="GDR3" t="s">
        <v>5240</v>
      </c>
      <c r="GDS3" t="s">
        <v>5241</v>
      </c>
      <c r="GDT3" t="s">
        <v>5242</v>
      </c>
      <c r="GDU3" t="s">
        <v>5243</v>
      </c>
      <c r="GDV3" t="s">
        <v>5244</v>
      </c>
      <c r="GDW3" t="s">
        <v>5245</v>
      </c>
      <c r="GDX3" t="s">
        <v>5246</v>
      </c>
      <c r="GDY3" t="s">
        <v>5247</v>
      </c>
      <c r="GDZ3" t="s">
        <v>5248</v>
      </c>
      <c r="GEA3" t="s">
        <v>5249</v>
      </c>
      <c r="GEB3" t="s">
        <v>5250</v>
      </c>
      <c r="GEC3" t="s">
        <v>5251</v>
      </c>
      <c r="GED3" t="s">
        <v>5252</v>
      </c>
      <c r="GEE3" t="s">
        <v>5253</v>
      </c>
      <c r="GEF3" t="s">
        <v>5254</v>
      </c>
      <c r="GEG3" t="s">
        <v>5255</v>
      </c>
      <c r="GEH3" t="s">
        <v>5256</v>
      </c>
      <c r="GEI3" t="s">
        <v>5257</v>
      </c>
      <c r="GEJ3" t="s">
        <v>5258</v>
      </c>
      <c r="GEK3" t="s">
        <v>5259</v>
      </c>
      <c r="GEL3" t="s">
        <v>5260</v>
      </c>
      <c r="GEM3" t="s">
        <v>5261</v>
      </c>
      <c r="GEN3" t="s">
        <v>5262</v>
      </c>
      <c r="GEO3" t="s">
        <v>5263</v>
      </c>
      <c r="GEP3" t="s">
        <v>5264</v>
      </c>
      <c r="GEQ3" t="s">
        <v>5265</v>
      </c>
      <c r="GER3" t="s">
        <v>5266</v>
      </c>
      <c r="GES3" t="s">
        <v>5267</v>
      </c>
      <c r="GET3" t="s">
        <v>5268</v>
      </c>
      <c r="GEU3" t="s">
        <v>5269</v>
      </c>
      <c r="GEV3" t="s">
        <v>5270</v>
      </c>
      <c r="GEW3" t="s">
        <v>5271</v>
      </c>
      <c r="GEX3" t="s">
        <v>5272</v>
      </c>
      <c r="GEY3" t="s">
        <v>5273</v>
      </c>
      <c r="GEZ3" t="s">
        <v>5274</v>
      </c>
      <c r="GFA3" t="s">
        <v>5275</v>
      </c>
      <c r="GFB3" t="s">
        <v>5276</v>
      </c>
      <c r="GFC3" t="s">
        <v>5277</v>
      </c>
      <c r="GFD3" t="s">
        <v>5278</v>
      </c>
      <c r="GFE3" t="s">
        <v>5279</v>
      </c>
      <c r="GFF3" t="s">
        <v>5280</v>
      </c>
      <c r="GFG3" t="s">
        <v>5281</v>
      </c>
      <c r="GFH3" t="s">
        <v>5282</v>
      </c>
      <c r="GFI3" t="s">
        <v>5283</v>
      </c>
      <c r="GFJ3" t="s">
        <v>5284</v>
      </c>
      <c r="GFK3" t="s">
        <v>5285</v>
      </c>
      <c r="GFL3" t="s">
        <v>5286</v>
      </c>
      <c r="GFM3" t="s">
        <v>5287</v>
      </c>
      <c r="GFN3" t="s">
        <v>5288</v>
      </c>
      <c r="GFO3" t="s">
        <v>5289</v>
      </c>
      <c r="GFP3" t="s">
        <v>5290</v>
      </c>
      <c r="GFQ3" t="s">
        <v>5291</v>
      </c>
      <c r="GFR3" t="s">
        <v>5292</v>
      </c>
      <c r="GFS3" t="s">
        <v>5293</v>
      </c>
      <c r="GFT3" t="s">
        <v>5294</v>
      </c>
      <c r="GFU3" t="s">
        <v>5295</v>
      </c>
      <c r="GFV3" t="s">
        <v>5296</v>
      </c>
      <c r="GFW3" t="s">
        <v>5297</v>
      </c>
      <c r="GFX3" t="s">
        <v>5298</v>
      </c>
      <c r="GFY3" t="s">
        <v>5299</v>
      </c>
      <c r="GFZ3" t="s">
        <v>5300</v>
      </c>
      <c r="GGA3" t="s">
        <v>5301</v>
      </c>
      <c r="GGB3" t="s">
        <v>5302</v>
      </c>
      <c r="GGC3" t="s">
        <v>5303</v>
      </c>
      <c r="GGD3" t="s">
        <v>5304</v>
      </c>
      <c r="GGE3" t="s">
        <v>5305</v>
      </c>
      <c r="GGF3" t="s">
        <v>5306</v>
      </c>
      <c r="GGG3" t="s">
        <v>5307</v>
      </c>
      <c r="GGH3" t="s">
        <v>5308</v>
      </c>
      <c r="GGI3" t="s">
        <v>5309</v>
      </c>
      <c r="GGJ3" t="s">
        <v>5310</v>
      </c>
      <c r="GGK3" t="s">
        <v>5311</v>
      </c>
      <c r="GGL3" t="s">
        <v>5312</v>
      </c>
      <c r="GGM3" t="s">
        <v>5313</v>
      </c>
      <c r="GGN3" t="s">
        <v>5314</v>
      </c>
      <c r="GGO3" t="s">
        <v>5315</v>
      </c>
      <c r="GGP3" t="s">
        <v>5316</v>
      </c>
      <c r="GGQ3" t="s">
        <v>5317</v>
      </c>
      <c r="GGR3" t="s">
        <v>5318</v>
      </c>
      <c r="GGS3" t="s">
        <v>5319</v>
      </c>
      <c r="GGT3" t="s">
        <v>5320</v>
      </c>
      <c r="GGU3" t="s">
        <v>5321</v>
      </c>
      <c r="GGV3" t="s">
        <v>5322</v>
      </c>
      <c r="GGW3" t="s">
        <v>5323</v>
      </c>
      <c r="GGX3" t="s">
        <v>5324</v>
      </c>
      <c r="GGY3" t="s">
        <v>5325</v>
      </c>
      <c r="GGZ3" t="s">
        <v>5326</v>
      </c>
      <c r="GHA3" t="s">
        <v>5327</v>
      </c>
      <c r="GHB3" t="s">
        <v>5328</v>
      </c>
      <c r="GHC3" t="s">
        <v>5329</v>
      </c>
      <c r="GHD3" t="s">
        <v>5330</v>
      </c>
      <c r="GHE3" t="s">
        <v>5331</v>
      </c>
      <c r="GHF3" t="s">
        <v>5332</v>
      </c>
      <c r="GHG3" t="s">
        <v>5333</v>
      </c>
      <c r="GHH3" t="s">
        <v>5334</v>
      </c>
      <c r="GHI3" t="s">
        <v>5335</v>
      </c>
      <c r="GHJ3" t="s">
        <v>5336</v>
      </c>
      <c r="GHK3" t="s">
        <v>5337</v>
      </c>
      <c r="GHL3" t="s">
        <v>5338</v>
      </c>
      <c r="GHM3" t="s">
        <v>5339</v>
      </c>
      <c r="GHN3" t="s">
        <v>5340</v>
      </c>
      <c r="GHO3" t="s">
        <v>5341</v>
      </c>
      <c r="GHP3" t="s">
        <v>5342</v>
      </c>
      <c r="GHQ3" t="s">
        <v>5343</v>
      </c>
      <c r="GHR3" t="s">
        <v>5344</v>
      </c>
      <c r="GHS3" t="s">
        <v>5345</v>
      </c>
      <c r="GHT3" t="s">
        <v>5346</v>
      </c>
      <c r="GHU3" t="s">
        <v>5347</v>
      </c>
      <c r="GHV3" t="s">
        <v>5348</v>
      </c>
      <c r="GHW3" t="s">
        <v>5349</v>
      </c>
      <c r="GHX3" t="s">
        <v>5350</v>
      </c>
      <c r="GHY3" t="s">
        <v>5351</v>
      </c>
      <c r="GHZ3" t="s">
        <v>5352</v>
      </c>
      <c r="GIA3" t="s">
        <v>5353</v>
      </c>
      <c r="GIB3" t="s">
        <v>5354</v>
      </c>
      <c r="GIC3" t="s">
        <v>5355</v>
      </c>
      <c r="GID3" t="s">
        <v>5356</v>
      </c>
      <c r="GIE3" t="s">
        <v>5357</v>
      </c>
      <c r="GIF3" t="s">
        <v>5358</v>
      </c>
      <c r="GIG3" t="s">
        <v>5359</v>
      </c>
      <c r="GIH3" t="s">
        <v>5360</v>
      </c>
      <c r="GII3" t="s">
        <v>5361</v>
      </c>
      <c r="GIJ3" t="s">
        <v>5362</v>
      </c>
      <c r="GIK3" t="s">
        <v>5363</v>
      </c>
      <c r="GIL3" t="s">
        <v>5364</v>
      </c>
      <c r="GIM3" t="s">
        <v>5365</v>
      </c>
      <c r="GIN3" t="s">
        <v>5366</v>
      </c>
      <c r="GIO3" t="s">
        <v>5367</v>
      </c>
      <c r="GIP3" t="s">
        <v>5368</v>
      </c>
      <c r="GIQ3" t="s">
        <v>5369</v>
      </c>
      <c r="GIR3" t="s">
        <v>5370</v>
      </c>
      <c r="GIS3" t="s">
        <v>5371</v>
      </c>
      <c r="GIT3" t="s">
        <v>5372</v>
      </c>
      <c r="GIU3" t="s">
        <v>5373</v>
      </c>
      <c r="GIV3" t="s">
        <v>5374</v>
      </c>
      <c r="GIW3" t="s">
        <v>5375</v>
      </c>
      <c r="GIX3" t="s">
        <v>5376</v>
      </c>
      <c r="GIY3" t="s">
        <v>5377</v>
      </c>
      <c r="GIZ3" t="s">
        <v>5378</v>
      </c>
      <c r="GJA3" t="s">
        <v>5379</v>
      </c>
      <c r="GJB3" t="s">
        <v>5380</v>
      </c>
      <c r="GJC3" t="s">
        <v>5381</v>
      </c>
      <c r="GJD3" t="s">
        <v>5382</v>
      </c>
      <c r="GJE3" t="s">
        <v>5383</v>
      </c>
      <c r="GJF3" t="s">
        <v>5384</v>
      </c>
      <c r="GJG3" t="s">
        <v>5385</v>
      </c>
      <c r="GJH3" t="s">
        <v>5386</v>
      </c>
      <c r="GJI3" t="s">
        <v>5387</v>
      </c>
      <c r="GJJ3" t="s">
        <v>5388</v>
      </c>
      <c r="GJK3" t="s">
        <v>5389</v>
      </c>
      <c r="GJL3" t="s">
        <v>5390</v>
      </c>
      <c r="GJM3" t="s">
        <v>5391</v>
      </c>
      <c r="GJN3" t="s">
        <v>5392</v>
      </c>
      <c r="GJO3" t="s">
        <v>5393</v>
      </c>
      <c r="GJP3" t="s">
        <v>5394</v>
      </c>
      <c r="GJQ3" t="s">
        <v>5395</v>
      </c>
      <c r="GJR3" t="s">
        <v>5396</v>
      </c>
      <c r="GJS3" t="s">
        <v>5397</v>
      </c>
      <c r="GJT3" t="s">
        <v>5398</v>
      </c>
      <c r="GJU3" t="s">
        <v>5399</v>
      </c>
      <c r="GJV3" t="s">
        <v>5400</v>
      </c>
      <c r="GJW3" t="s">
        <v>5401</v>
      </c>
      <c r="GJX3" t="s">
        <v>5402</v>
      </c>
      <c r="GJY3" t="s">
        <v>5403</v>
      </c>
      <c r="GJZ3" t="s">
        <v>5404</v>
      </c>
      <c r="GKA3" t="s">
        <v>5405</v>
      </c>
      <c r="GKB3" t="s">
        <v>5406</v>
      </c>
      <c r="GKC3" t="s">
        <v>5407</v>
      </c>
      <c r="GKD3" t="s">
        <v>5408</v>
      </c>
      <c r="GKE3" t="s">
        <v>5409</v>
      </c>
      <c r="GKF3" t="s">
        <v>5410</v>
      </c>
      <c r="GKG3" t="s">
        <v>5411</v>
      </c>
      <c r="GKH3" t="s">
        <v>5412</v>
      </c>
      <c r="GKI3" t="s">
        <v>5413</v>
      </c>
      <c r="GKJ3" t="s">
        <v>5414</v>
      </c>
      <c r="GKK3" t="s">
        <v>5415</v>
      </c>
      <c r="GKL3" t="s">
        <v>5416</v>
      </c>
      <c r="GKM3" t="s">
        <v>5417</v>
      </c>
      <c r="GKN3" t="s">
        <v>5418</v>
      </c>
      <c r="GKO3" t="s">
        <v>5419</v>
      </c>
      <c r="GKP3" t="s">
        <v>5420</v>
      </c>
      <c r="GKQ3" t="s">
        <v>5421</v>
      </c>
      <c r="GKR3" t="s">
        <v>5422</v>
      </c>
      <c r="GKS3" t="s">
        <v>5423</v>
      </c>
      <c r="GKT3" t="s">
        <v>5424</v>
      </c>
      <c r="GKU3" t="s">
        <v>5425</v>
      </c>
      <c r="GKV3" t="s">
        <v>5426</v>
      </c>
      <c r="GKW3" t="s">
        <v>5427</v>
      </c>
      <c r="GKX3" t="s">
        <v>5428</v>
      </c>
      <c r="GKY3" t="s">
        <v>5429</v>
      </c>
      <c r="GKZ3" t="s">
        <v>5430</v>
      </c>
      <c r="GLA3" t="s">
        <v>5431</v>
      </c>
      <c r="GLB3" t="s">
        <v>5432</v>
      </c>
      <c r="GLC3" t="s">
        <v>5433</v>
      </c>
      <c r="GLD3" t="s">
        <v>5434</v>
      </c>
      <c r="GLE3" t="s">
        <v>5435</v>
      </c>
      <c r="GLF3" t="s">
        <v>5436</v>
      </c>
      <c r="GLG3" t="s">
        <v>5437</v>
      </c>
      <c r="GLH3" t="s">
        <v>5438</v>
      </c>
      <c r="GLI3" t="s">
        <v>5439</v>
      </c>
      <c r="GLJ3" t="s">
        <v>5440</v>
      </c>
      <c r="GLK3" t="s">
        <v>5441</v>
      </c>
      <c r="GLL3" t="s">
        <v>5442</v>
      </c>
      <c r="GLM3" t="s">
        <v>5443</v>
      </c>
      <c r="GLN3" t="s">
        <v>5444</v>
      </c>
      <c r="GLO3" t="s">
        <v>5445</v>
      </c>
      <c r="GLP3" t="s">
        <v>5446</v>
      </c>
      <c r="GLQ3" t="s">
        <v>5447</v>
      </c>
      <c r="GLR3" t="s">
        <v>5448</v>
      </c>
      <c r="GLS3" t="s">
        <v>5449</v>
      </c>
      <c r="GLT3" t="s">
        <v>5450</v>
      </c>
      <c r="GLU3" t="s">
        <v>5451</v>
      </c>
      <c r="GLV3" t="s">
        <v>5452</v>
      </c>
      <c r="GLW3" t="s">
        <v>5453</v>
      </c>
      <c r="GLX3" t="s">
        <v>5454</v>
      </c>
      <c r="GLY3" t="s">
        <v>5455</v>
      </c>
      <c r="GLZ3" t="s">
        <v>5456</v>
      </c>
      <c r="GMA3" t="s">
        <v>5457</v>
      </c>
      <c r="GMB3" t="s">
        <v>5458</v>
      </c>
      <c r="GMC3" t="s">
        <v>5459</v>
      </c>
      <c r="GMD3" t="s">
        <v>5460</v>
      </c>
      <c r="GME3" t="s">
        <v>5461</v>
      </c>
      <c r="GMF3" t="s">
        <v>5462</v>
      </c>
      <c r="GMG3" t="s">
        <v>5463</v>
      </c>
      <c r="GMH3" t="s">
        <v>5464</v>
      </c>
      <c r="GMI3" t="s">
        <v>5465</v>
      </c>
      <c r="GMJ3" t="s">
        <v>5466</v>
      </c>
      <c r="GMK3" t="s">
        <v>5467</v>
      </c>
      <c r="GML3" t="s">
        <v>5468</v>
      </c>
      <c r="GMM3" t="s">
        <v>5469</v>
      </c>
      <c r="GMN3" t="s">
        <v>5470</v>
      </c>
      <c r="GMO3" t="s">
        <v>5471</v>
      </c>
      <c r="GMP3" t="s">
        <v>5472</v>
      </c>
      <c r="GMQ3" t="s">
        <v>5473</v>
      </c>
      <c r="GMR3" t="s">
        <v>5474</v>
      </c>
      <c r="GMS3" t="s">
        <v>5475</v>
      </c>
      <c r="GMT3" t="s">
        <v>5476</v>
      </c>
      <c r="GMU3" t="s">
        <v>5477</v>
      </c>
      <c r="GMV3" t="s">
        <v>5478</v>
      </c>
      <c r="GMW3" t="s">
        <v>5479</v>
      </c>
      <c r="GMX3" t="s">
        <v>5480</v>
      </c>
      <c r="GMY3" t="s">
        <v>5481</v>
      </c>
      <c r="GMZ3" t="s">
        <v>5482</v>
      </c>
      <c r="GNA3" t="s">
        <v>5483</v>
      </c>
      <c r="GNB3" t="s">
        <v>5484</v>
      </c>
      <c r="GNC3" t="s">
        <v>5485</v>
      </c>
      <c r="GND3" t="s">
        <v>5486</v>
      </c>
      <c r="GNE3" t="s">
        <v>5487</v>
      </c>
      <c r="GNF3" t="s">
        <v>5488</v>
      </c>
      <c r="GNG3" t="s">
        <v>5489</v>
      </c>
      <c r="GNH3" t="s">
        <v>5490</v>
      </c>
      <c r="GNI3" t="s">
        <v>5491</v>
      </c>
      <c r="GNJ3" t="s">
        <v>5492</v>
      </c>
      <c r="GNK3" t="s">
        <v>5493</v>
      </c>
      <c r="GNL3" t="s">
        <v>5494</v>
      </c>
      <c r="GNM3" t="s">
        <v>5495</v>
      </c>
      <c r="GNN3" t="s">
        <v>5496</v>
      </c>
      <c r="GNO3" t="s">
        <v>5497</v>
      </c>
      <c r="GNP3" t="s">
        <v>5498</v>
      </c>
      <c r="GNQ3" t="s">
        <v>5499</v>
      </c>
      <c r="GNR3" t="s">
        <v>5500</v>
      </c>
      <c r="GNS3" t="s">
        <v>5501</v>
      </c>
      <c r="GNT3" t="s">
        <v>5502</v>
      </c>
      <c r="GNU3" t="s">
        <v>5503</v>
      </c>
      <c r="GNV3" t="s">
        <v>5504</v>
      </c>
      <c r="GNW3" t="s">
        <v>5505</v>
      </c>
      <c r="GNX3" t="s">
        <v>5506</v>
      </c>
      <c r="GNY3" t="s">
        <v>5507</v>
      </c>
      <c r="GNZ3" t="s">
        <v>5508</v>
      </c>
      <c r="GOA3" t="s">
        <v>5509</v>
      </c>
      <c r="GOB3" t="s">
        <v>5510</v>
      </c>
      <c r="GOC3" t="s">
        <v>5511</v>
      </c>
      <c r="GOD3" t="s">
        <v>5512</v>
      </c>
      <c r="GOE3" t="s">
        <v>5513</v>
      </c>
      <c r="GOF3" t="s">
        <v>5514</v>
      </c>
      <c r="GOG3" t="s">
        <v>5515</v>
      </c>
      <c r="GOH3" t="s">
        <v>5516</v>
      </c>
      <c r="GOI3" t="s">
        <v>5517</v>
      </c>
      <c r="GOJ3" t="s">
        <v>5518</v>
      </c>
      <c r="GOK3" t="s">
        <v>5519</v>
      </c>
      <c r="GOL3" t="s">
        <v>5520</v>
      </c>
      <c r="GOM3" t="s">
        <v>5521</v>
      </c>
      <c r="GON3" t="s">
        <v>5522</v>
      </c>
      <c r="GOO3" t="s">
        <v>5523</v>
      </c>
      <c r="GOP3" t="s">
        <v>5524</v>
      </c>
      <c r="GOQ3" t="s">
        <v>5525</v>
      </c>
      <c r="GOR3" t="s">
        <v>5526</v>
      </c>
      <c r="GOS3" t="s">
        <v>5527</v>
      </c>
      <c r="GOT3" t="s">
        <v>5528</v>
      </c>
      <c r="GOU3" t="s">
        <v>5529</v>
      </c>
      <c r="GOV3" t="s">
        <v>5530</v>
      </c>
      <c r="GOW3" t="s">
        <v>5531</v>
      </c>
      <c r="GOX3" t="s">
        <v>5532</v>
      </c>
      <c r="GOY3" t="s">
        <v>5533</v>
      </c>
      <c r="GOZ3" t="s">
        <v>5534</v>
      </c>
      <c r="GPA3" t="s">
        <v>5535</v>
      </c>
      <c r="GPB3" t="s">
        <v>5536</v>
      </c>
      <c r="GPC3" t="s">
        <v>5537</v>
      </c>
      <c r="GPD3" t="s">
        <v>5538</v>
      </c>
      <c r="GPE3" t="s">
        <v>5539</v>
      </c>
      <c r="GPF3" t="s">
        <v>5540</v>
      </c>
      <c r="GPG3" t="s">
        <v>5541</v>
      </c>
      <c r="GPH3" t="s">
        <v>5542</v>
      </c>
      <c r="GPI3" t="s">
        <v>5543</v>
      </c>
      <c r="GPJ3" t="s">
        <v>5544</v>
      </c>
      <c r="GPK3" t="s">
        <v>5545</v>
      </c>
      <c r="GPL3" t="s">
        <v>5546</v>
      </c>
      <c r="GPM3" t="s">
        <v>5547</v>
      </c>
      <c r="GPN3" t="s">
        <v>5548</v>
      </c>
      <c r="GPO3" t="s">
        <v>5549</v>
      </c>
      <c r="GPP3" t="s">
        <v>5550</v>
      </c>
      <c r="GPQ3" t="s">
        <v>5551</v>
      </c>
      <c r="GPR3" t="s">
        <v>5552</v>
      </c>
      <c r="GPS3" t="s">
        <v>5553</v>
      </c>
      <c r="GPT3" t="s">
        <v>5554</v>
      </c>
      <c r="GPU3" t="s">
        <v>5555</v>
      </c>
      <c r="GPV3" t="s">
        <v>5556</v>
      </c>
      <c r="GPW3" t="s">
        <v>5557</v>
      </c>
      <c r="GPX3" t="s">
        <v>5558</v>
      </c>
      <c r="GPY3" t="s">
        <v>5559</v>
      </c>
      <c r="GPZ3" t="s">
        <v>5560</v>
      </c>
      <c r="GQA3" t="s">
        <v>5561</v>
      </c>
      <c r="GQB3" t="s">
        <v>5562</v>
      </c>
      <c r="GQC3" t="s">
        <v>5563</v>
      </c>
      <c r="GQD3" t="s">
        <v>5564</v>
      </c>
      <c r="GQE3" t="s">
        <v>5565</v>
      </c>
      <c r="GQF3" t="s">
        <v>5566</v>
      </c>
      <c r="GQG3" t="s">
        <v>5567</v>
      </c>
      <c r="GQH3" t="s">
        <v>5568</v>
      </c>
      <c r="GQI3" t="s">
        <v>5569</v>
      </c>
      <c r="GQJ3" t="s">
        <v>5570</v>
      </c>
      <c r="GQK3" t="s">
        <v>5571</v>
      </c>
      <c r="GQL3" t="s">
        <v>5572</v>
      </c>
      <c r="GQM3" t="s">
        <v>5573</v>
      </c>
      <c r="GQN3" t="s">
        <v>5574</v>
      </c>
      <c r="GQO3" t="s">
        <v>5575</v>
      </c>
      <c r="GQP3" t="s">
        <v>5576</v>
      </c>
      <c r="GQQ3" t="s">
        <v>5577</v>
      </c>
      <c r="GQR3" t="s">
        <v>5578</v>
      </c>
      <c r="GQS3" t="s">
        <v>5579</v>
      </c>
      <c r="GQT3" t="s">
        <v>5580</v>
      </c>
      <c r="GQU3" t="s">
        <v>5581</v>
      </c>
      <c r="GQV3" t="s">
        <v>5582</v>
      </c>
      <c r="GQW3" t="s">
        <v>5583</v>
      </c>
      <c r="GQX3" t="s">
        <v>5584</v>
      </c>
      <c r="GQY3" t="s">
        <v>5585</v>
      </c>
      <c r="GQZ3" t="s">
        <v>5586</v>
      </c>
      <c r="GRA3" t="s">
        <v>5587</v>
      </c>
      <c r="GRB3" t="s">
        <v>5588</v>
      </c>
      <c r="GRC3" t="s">
        <v>5589</v>
      </c>
      <c r="GRD3" t="s">
        <v>5590</v>
      </c>
      <c r="GRE3" t="s">
        <v>5591</v>
      </c>
      <c r="GRF3" t="s">
        <v>5592</v>
      </c>
      <c r="GRG3" t="s">
        <v>5593</v>
      </c>
      <c r="GRH3" t="s">
        <v>5594</v>
      </c>
      <c r="GRI3" t="s">
        <v>5595</v>
      </c>
      <c r="GRJ3" t="s">
        <v>5596</v>
      </c>
      <c r="GRK3" t="s">
        <v>5597</v>
      </c>
      <c r="GRL3" t="s">
        <v>5598</v>
      </c>
      <c r="GRM3" t="s">
        <v>5599</v>
      </c>
      <c r="GRN3" t="s">
        <v>5600</v>
      </c>
      <c r="GRO3" t="s">
        <v>5601</v>
      </c>
      <c r="GRP3" t="s">
        <v>5602</v>
      </c>
      <c r="GRQ3" t="s">
        <v>5603</v>
      </c>
      <c r="GRR3" t="s">
        <v>5604</v>
      </c>
      <c r="GRS3" t="s">
        <v>5605</v>
      </c>
      <c r="GRT3" t="s">
        <v>5606</v>
      </c>
      <c r="GRU3" t="s">
        <v>5607</v>
      </c>
      <c r="GRV3" t="s">
        <v>5608</v>
      </c>
      <c r="GRW3" t="s">
        <v>5609</v>
      </c>
      <c r="GRX3" t="s">
        <v>5610</v>
      </c>
      <c r="GRY3" t="s">
        <v>5611</v>
      </c>
      <c r="GRZ3" t="s">
        <v>5612</v>
      </c>
      <c r="GSA3" t="s">
        <v>5613</v>
      </c>
      <c r="GSB3" t="s">
        <v>5614</v>
      </c>
      <c r="GSC3" t="s">
        <v>5615</v>
      </c>
      <c r="GSD3" t="s">
        <v>5616</v>
      </c>
      <c r="GSE3" t="s">
        <v>5617</v>
      </c>
      <c r="GSF3" t="s">
        <v>5618</v>
      </c>
      <c r="GSG3" t="s">
        <v>5619</v>
      </c>
      <c r="GSH3" t="s">
        <v>5620</v>
      </c>
      <c r="GSI3" t="s">
        <v>5621</v>
      </c>
      <c r="GSJ3" t="s">
        <v>5622</v>
      </c>
      <c r="GSK3" t="s">
        <v>5623</v>
      </c>
      <c r="GSL3" t="s">
        <v>5624</v>
      </c>
      <c r="GSM3" t="s">
        <v>5625</v>
      </c>
      <c r="GSN3" t="s">
        <v>5626</v>
      </c>
      <c r="GSO3" t="s">
        <v>5627</v>
      </c>
      <c r="GSP3" t="s">
        <v>5628</v>
      </c>
      <c r="GSQ3" t="s">
        <v>5629</v>
      </c>
      <c r="GSR3" t="s">
        <v>5630</v>
      </c>
      <c r="GSS3" t="s">
        <v>5631</v>
      </c>
      <c r="GST3" t="s">
        <v>5632</v>
      </c>
      <c r="GSU3" t="s">
        <v>5633</v>
      </c>
      <c r="GSV3" t="s">
        <v>5634</v>
      </c>
      <c r="GSW3" t="s">
        <v>5635</v>
      </c>
      <c r="GSX3" t="s">
        <v>5636</v>
      </c>
      <c r="GSY3" t="s">
        <v>5637</v>
      </c>
      <c r="GSZ3" t="s">
        <v>5638</v>
      </c>
      <c r="GTA3" t="s">
        <v>5639</v>
      </c>
      <c r="GTB3" t="s">
        <v>5640</v>
      </c>
      <c r="GTC3" t="s">
        <v>5641</v>
      </c>
      <c r="GTD3" t="s">
        <v>5642</v>
      </c>
      <c r="GTE3" t="s">
        <v>5643</v>
      </c>
      <c r="GTF3" t="s">
        <v>5644</v>
      </c>
      <c r="GTG3" t="s">
        <v>5645</v>
      </c>
      <c r="GTH3" t="s">
        <v>5646</v>
      </c>
      <c r="GTI3" t="s">
        <v>5647</v>
      </c>
      <c r="GTJ3" t="s">
        <v>5648</v>
      </c>
      <c r="GTK3" t="s">
        <v>5649</v>
      </c>
      <c r="GTL3" t="s">
        <v>5650</v>
      </c>
      <c r="GTM3" t="s">
        <v>5651</v>
      </c>
      <c r="GTN3" t="s">
        <v>5652</v>
      </c>
      <c r="GTO3" t="s">
        <v>5653</v>
      </c>
      <c r="GTP3" t="s">
        <v>5654</v>
      </c>
      <c r="GTQ3" t="s">
        <v>5655</v>
      </c>
      <c r="GTR3" t="s">
        <v>5656</v>
      </c>
      <c r="GTS3" t="s">
        <v>5657</v>
      </c>
      <c r="GTT3" t="s">
        <v>5658</v>
      </c>
      <c r="GTU3" t="s">
        <v>5659</v>
      </c>
      <c r="GTV3" t="s">
        <v>5660</v>
      </c>
      <c r="GTW3" t="s">
        <v>5661</v>
      </c>
      <c r="GTX3" t="s">
        <v>5662</v>
      </c>
      <c r="GTY3" t="s">
        <v>5663</v>
      </c>
      <c r="GTZ3" t="s">
        <v>5664</v>
      </c>
      <c r="GUA3" t="s">
        <v>5665</v>
      </c>
      <c r="GUB3" t="s">
        <v>5666</v>
      </c>
      <c r="GUC3" t="s">
        <v>5667</v>
      </c>
      <c r="GUD3" t="s">
        <v>5668</v>
      </c>
      <c r="GUE3" t="s">
        <v>5669</v>
      </c>
      <c r="GUF3" t="s">
        <v>5670</v>
      </c>
      <c r="GUG3" t="s">
        <v>5671</v>
      </c>
      <c r="GUH3" t="s">
        <v>5672</v>
      </c>
      <c r="GUI3" t="s">
        <v>5673</v>
      </c>
      <c r="GUJ3" t="s">
        <v>5674</v>
      </c>
      <c r="GUK3" t="s">
        <v>5675</v>
      </c>
      <c r="GUL3" t="s">
        <v>5676</v>
      </c>
      <c r="GUM3" t="s">
        <v>5677</v>
      </c>
      <c r="GUN3" t="s">
        <v>5678</v>
      </c>
      <c r="GUO3" t="s">
        <v>5679</v>
      </c>
      <c r="GUP3" t="s">
        <v>5680</v>
      </c>
      <c r="GUQ3" t="s">
        <v>5681</v>
      </c>
      <c r="GUR3" t="s">
        <v>5682</v>
      </c>
      <c r="GUS3" t="s">
        <v>5683</v>
      </c>
      <c r="GUT3" t="s">
        <v>5684</v>
      </c>
      <c r="GUU3" t="s">
        <v>5685</v>
      </c>
      <c r="GUV3" t="s">
        <v>5686</v>
      </c>
      <c r="GUW3" t="s">
        <v>5687</v>
      </c>
      <c r="GUX3" t="s">
        <v>5688</v>
      </c>
      <c r="GUY3" t="s">
        <v>5689</v>
      </c>
      <c r="GUZ3" t="s">
        <v>5690</v>
      </c>
      <c r="GVA3" t="s">
        <v>5691</v>
      </c>
      <c r="GVB3" t="s">
        <v>5692</v>
      </c>
      <c r="GVC3" t="s">
        <v>5693</v>
      </c>
      <c r="GVD3" t="s">
        <v>5694</v>
      </c>
      <c r="GVE3" t="s">
        <v>5695</v>
      </c>
      <c r="GVF3" t="s">
        <v>5696</v>
      </c>
      <c r="GVG3" t="s">
        <v>5697</v>
      </c>
      <c r="GVH3" t="s">
        <v>5698</v>
      </c>
      <c r="GVI3" t="s">
        <v>5699</v>
      </c>
      <c r="GVJ3" t="s">
        <v>5700</v>
      </c>
      <c r="GVK3" t="s">
        <v>5701</v>
      </c>
      <c r="GVL3" t="s">
        <v>5702</v>
      </c>
      <c r="GVM3" t="s">
        <v>5703</v>
      </c>
      <c r="GVN3" t="s">
        <v>5704</v>
      </c>
      <c r="GVO3" t="s">
        <v>5705</v>
      </c>
      <c r="GVP3" t="s">
        <v>5706</v>
      </c>
      <c r="GVQ3" t="s">
        <v>5707</v>
      </c>
      <c r="GVR3" t="s">
        <v>5708</v>
      </c>
      <c r="GVS3" t="s">
        <v>5709</v>
      </c>
      <c r="GVT3" t="s">
        <v>5710</v>
      </c>
      <c r="GVU3" t="s">
        <v>5711</v>
      </c>
      <c r="GVV3" t="s">
        <v>5712</v>
      </c>
      <c r="GVW3" t="s">
        <v>5713</v>
      </c>
      <c r="GVX3" t="s">
        <v>5714</v>
      </c>
      <c r="GVY3" t="s">
        <v>5715</v>
      </c>
      <c r="GVZ3" t="s">
        <v>5716</v>
      </c>
      <c r="GWA3" t="s">
        <v>5717</v>
      </c>
      <c r="GWB3" t="s">
        <v>5718</v>
      </c>
      <c r="GWC3" t="s">
        <v>5719</v>
      </c>
      <c r="GWD3" t="s">
        <v>5720</v>
      </c>
      <c r="GWE3" t="s">
        <v>5721</v>
      </c>
      <c r="GWF3" t="s">
        <v>5722</v>
      </c>
      <c r="GWG3" t="s">
        <v>5723</v>
      </c>
      <c r="GWH3" t="s">
        <v>5724</v>
      </c>
      <c r="GWI3" t="s">
        <v>5725</v>
      </c>
      <c r="GWJ3" t="s">
        <v>5726</v>
      </c>
      <c r="GWK3" t="s">
        <v>5727</v>
      </c>
      <c r="GWL3" t="s">
        <v>5728</v>
      </c>
      <c r="GWM3" t="s">
        <v>5729</v>
      </c>
      <c r="GWN3" t="s">
        <v>5730</v>
      </c>
      <c r="GWO3" t="s">
        <v>5731</v>
      </c>
      <c r="GWP3" t="s">
        <v>5732</v>
      </c>
      <c r="GWQ3" t="s">
        <v>5733</v>
      </c>
      <c r="GWR3" t="s">
        <v>5734</v>
      </c>
      <c r="GWS3" t="s">
        <v>5735</v>
      </c>
      <c r="GWT3" t="s">
        <v>5736</v>
      </c>
      <c r="GWU3" t="s">
        <v>5737</v>
      </c>
      <c r="GWV3" t="s">
        <v>5738</v>
      </c>
      <c r="GWW3" t="s">
        <v>5739</v>
      </c>
      <c r="GWX3" t="s">
        <v>5740</v>
      </c>
      <c r="GWY3" t="s">
        <v>5741</v>
      </c>
      <c r="GWZ3" t="s">
        <v>5742</v>
      </c>
      <c r="GXA3" t="s">
        <v>5743</v>
      </c>
      <c r="GXB3" t="s">
        <v>5744</v>
      </c>
      <c r="GXC3" t="s">
        <v>5745</v>
      </c>
      <c r="GXD3" t="s">
        <v>5746</v>
      </c>
      <c r="GXE3" t="s">
        <v>5747</v>
      </c>
      <c r="GXF3" t="s">
        <v>5748</v>
      </c>
      <c r="GXG3" t="s">
        <v>5749</v>
      </c>
      <c r="GXH3" t="s">
        <v>5750</v>
      </c>
      <c r="GXI3" t="s">
        <v>5751</v>
      </c>
      <c r="GXJ3" t="s">
        <v>5752</v>
      </c>
      <c r="GXK3" t="s">
        <v>5753</v>
      </c>
      <c r="GXL3" t="s">
        <v>5754</v>
      </c>
      <c r="GXM3" t="s">
        <v>5755</v>
      </c>
      <c r="GXN3" t="s">
        <v>5756</v>
      </c>
      <c r="GXO3" t="s">
        <v>5757</v>
      </c>
      <c r="GXP3" t="s">
        <v>5758</v>
      </c>
      <c r="GXQ3" t="s">
        <v>5759</v>
      </c>
      <c r="GXR3" t="s">
        <v>5760</v>
      </c>
      <c r="GXS3" t="s">
        <v>5761</v>
      </c>
      <c r="GXT3" t="s">
        <v>5762</v>
      </c>
      <c r="GXU3" t="s">
        <v>5763</v>
      </c>
      <c r="GXV3" t="s">
        <v>5764</v>
      </c>
      <c r="GXW3" t="s">
        <v>5765</v>
      </c>
      <c r="GXX3" t="s">
        <v>5766</v>
      </c>
      <c r="GXY3" t="s">
        <v>5767</v>
      </c>
      <c r="GXZ3" t="s">
        <v>5768</v>
      </c>
      <c r="GYA3" t="s">
        <v>5769</v>
      </c>
      <c r="GYB3" t="s">
        <v>5770</v>
      </c>
      <c r="GYC3" t="s">
        <v>5771</v>
      </c>
      <c r="GYD3" t="s">
        <v>5772</v>
      </c>
      <c r="GYE3" t="s">
        <v>5773</v>
      </c>
      <c r="GYF3" t="s">
        <v>5774</v>
      </c>
      <c r="GYG3" t="s">
        <v>5775</v>
      </c>
      <c r="GYH3" t="s">
        <v>5776</v>
      </c>
      <c r="GYI3" t="s">
        <v>5777</v>
      </c>
      <c r="GYJ3" t="s">
        <v>5778</v>
      </c>
      <c r="GYK3" t="s">
        <v>5779</v>
      </c>
      <c r="GYL3" t="s">
        <v>5780</v>
      </c>
      <c r="GYM3" t="s">
        <v>5781</v>
      </c>
      <c r="GYN3" t="s">
        <v>5782</v>
      </c>
      <c r="GYO3" t="s">
        <v>5783</v>
      </c>
      <c r="GYP3" t="s">
        <v>5784</v>
      </c>
      <c r="GYQ3" t="s">
        <v>5785</v>
      </c>
      <c r="GYR3" t="s">
        <v>5786</v>
      </c>
      <c r="GYS3" t="s">
        <v>5787</v>
      </c>
      <c r="GYT3" t="s">
        <v>5788</v>
      </c>
      <c r="GYU3" t="s">
        <v>5789</v>
      </c>
      <c r="GYV3" t="s">
        <v>5790</v>
      </c>
      <c r="GYW3" t="s">
        <v>5791</v>
      </c>
      <c r="GYX3" t="s">
        <v>5792</v>
      </c>
      <c r="GYY3" t="s">
        <v>5793</v>
      </c>
      <c r="GYZ3" t="s">
        <v>5794</v>
      </c>
      <c r="GZA3" t="s">
        <v>5795</v>
      </c>
      <c r="GZB3" t="s">
        <v>5796</v>
      </c>
      <c r="GZC3" t="s">
        <v>5797</v>
      </c>
      <c r="GZD3" t="s">
        <v>5798</v>
      </c>
      <c r="GZE3" t="s">
        <v>5799</v>
      </c>
      <c r="GZF3" t="s">
        <v>5800</v>
      </c>
      <c r="GZG3" t="s">
        <v>5801</v>
      </c>
      <c r="GZH3" t="s">
        <v>5802</v>
      </c>
      <c r="GZI3" t="s">
        <v>5803</v>
      </c>
      <c r="GZJ3" t="s">
        <v>5804</v>
      </c>
      <c r="GZK3" t="s">
        <v>5805</v>
      </c>
      <c r="GZL3" t="s">
        <v>5806</v>
      </c>
      <c r="GZM3" t="s">
        <v>5807</v>
      </c>
      <c r="GZN3" t="s">
        <v>5808</v>
      </c>
      <c r="GZO3" t="s">
        <v>5809</v>
      </c>
      <c r="GZP3" t="s">
        <v>5810</v>
      </c>
      <c r="GZQ3" t="s">
        <v>5811</v>
      </c>
      <c r="GZR3" t="s">
        <v>5812</v>
      </c>
      <c r="GZS3" t="s">
        <v>5813</v>
      </c>
      <c r="GZT3" t="s">
        <v>5814</v>
      </c>
      <c r="GZU3" t="s">
        <v>5815</v>
      </c>
      <c r="GZV3" t="s">
        <v>5816</v>
      </c>
      <c r="GZW3" t="s">
        <v>5817</v>
      </c>
      <c r="GZX3" t="s">
        <v>5818</v>
      </c>
      <c r="GZY3" t="s">
        <v>5819</v>
      </c>
      <c r="GZZ3" t="s">
        <v>5820</v>
      </c>
      <c r="HAA3" t="s">
        <v>5821</v>
      </c>
      <c r="HAB3" t="s">
        <v>5822</v>
      </c>
      <c r="HAC3" t="s">
        <v>5823</v>
      </c>
      <c r="HAD3" t="s">
        <v>5824</v>
      </c>
      <c r="HAE3" t="s">
        <v>5825</v>
      </c>
      <c r="HAF3" t="s">
        <v>5826</v>
      </c>
      <c r="HAG3" t="s">
        <v>5827</v>
      </c>
      <c r="HAH3" t="s">
        <v>5828</v>
      </c>
      <c r="HAI3" t="s">
        <v>5829</v>
      </c>
      <c r="HAJ3" t="s">
        <v>5830</v>
      </c>
      <c r="HAK3" t="s">
        <v>5831</v>
      </c>
      <c r="HAL3" t="s">
        <v>5832</v>
      </c>
      <c r="HAM3" t="s">
        <v>5833</v>
      </c>
      <c r="HAN3" t="s">
        <v>5834</v>
      </c>
      <c r="HAO3" t="s">
        <v>5835</v>
      </c>
      <c r="HAP3" t="s">
        <v>5836</v>
      </c>
      <c r="HAQ3" t="s">
        <v>5837</v>
      </c>
      <c r="HAR3" t="s">
        <v>5838</v>
      </c>
      <c r="HAS3" t="s">
        <v>5839</v>
      </c>
      <c r="HAT3" t="s">
        <v>5840</v>
      </c>
      <c r="HAU3" t="s">
        <v>5841</v>
      </c>
      <c r="HAV3" t="s">
        <v>5842</v>
      </c>
      <c r="HAW3" t="s">
        <v>5843</v>
      </c>
      <c r="HAX3" t="s">
        <v>5844</v>
      </c>
      <c r="HAY3" t="s">
        <v>5845</v>
      </c>
      <c r="HAZ3" t="s">
        <v>5846</v>
      </c>
      <c r="HBA3" t="s">
        <v>5847</v>
      </c>
      <c r="HBB3" t="s">
        <v>5848</v>
      </c>
      <c r="HBC3" t="s">
        <v>5849</v>
      </c>
      <c r="HBD3" t="s">
        <v>5850</v>
      </c>
      <c r="HBE3" t="s">
        <v>5851</v>
      </c>
      <c r="HBF3" t="s">
        <v>5852</v>
      </c>
      <c r="HBG3" t="s">
        <v>5853</v>
      </c>
      <c r="HBH3" t="s">
        <v>5854</v>
      </c>
      <c r="HBI3" t="s">
        <v>5855</v>
      </c>
      <c r="HBJ3" t="s">
        <v>5856</v>
      </c>
      <c r="HBK3" t="s">
        <v>5857</v>
      </c>
      <c r="HBL3" t="s">
        <v>5858</v>
      </c>
      <c r="HBM3" t="s">
        <v>5859</v>
      </c>
      <c r="HBN3" t="s">
        <v>5860</v>
      </c>
      <c r="HBO3" t="s">
        <v>5861</v>
      </c>
      <c r="HBP3" t="s">
        <v>5862</v>
      </c>
      <c r="HBQ3" t="s">
        <v>5863</v>
      </c>
      <c r="HBR3" t="s">
        <v>5864</v>
      </c>
      <c r="HBS3" t="s">
        <v>5865</v>
      </c>
      <c r="HBT3" t="s">
        <v>5866</v>
      </c>
      <c r="HBU3" t="s">
        <v>5867</v>
      </c>
      <c r="HBV3" t="s">
        <v>5868</v>
      </c>
      <c r="HBW3" t="s">
        <v>5869</v>
      </c>
      <c r="HBX3" t="s">
        <v>5870</v>
      </c>
      <c r="HBY3" t="s">
        <v>5871</v>
      </c>
      <c r="HBZ3" t="s">
        <v>5872</v>
      </c>
      <c r="HCA3" t="s">
        <v>5873</v>
      </c>
      <c r="HCB3" t="s">
        <v>5874</v>
      </c>
      <c r="HCC3" t="s">
        <v>5875</v>
      </c>
      <c r="HCD3" t="s">
        <v>5876</v>
      </c>
      <c r="HCE3" t="s">
        <v>5877</v>
      </c>
      <c r="HCF3" t="s">
        <v>5878</v>
      </c>
      <c r="HCG3" t="s">
        <v>5879</v>
      </c>
      <c r="HCH3" t="s">
        <v>5880</v>
      </c>
      <c r="HCI3" t="s">
        <v>5881</v>
      </c>
      <c r="HCJ3" t="s">
        <v>5882</v>
      </c>
      <c r="HCK3" t="s">
        <v>5883</v>
      </c>
      <c r="HCL3" t="s">
        <v>5884</v>
      </c>
      <c r="HCM3" t="s">
        <v>5885</v>
      </c>
      <c r="HCN3" t="s">
        <v>5886</v>
      </c>
      <c r="HCO3" t="s">
        <v>5887</v>
      </c>
      <c r="HCP3" t="s">
        <v>5888</v>
      </c>
      <c r="HCQ3" t="s">
        <v>5889</v>
      </c>
      <c r="HCR3" t="s">
        <v>5890</v>
      </c>
      <c r="HCS3" t="s">
        <v>5891</v>
      </c>
      <c r="HCT3" t="s">
        <v>5892</v>
      </c>
      <c r="HCU3" t="s">
        <v>5893</v>
      </c>
      <c r="HCV3" t="s">
        <v>5894</v>
      </c>
      <c r="HCW3" t="s">
        <v>5895</v>
      </c>
      <c r="HCX3" t="s">
        <v>5896</v>
      </c>
      <c r="HCY3" t="s">
        <v>5897</v>
      </c>
      <c r="HCZ3" t="s">
        <v>5898</v>
      </c>
      <c r="HDA3" t="s">
        <v>5899</v>
      </c>
      <c r="HDB3" t="s">
        <v>5900</v>
      </c>
      <c r="HDC3" t="s">
        <v>5901</v>
      </c>
      <c r="HDD3" t="s">
        <v>5902</v>
      </c>
      <c r="HDE3" t="s">
        <v>5903</v>
      </c>
      <c r="HDF3" t="s">
        <v>5904</v>
      </c>
      <c r="HDG3" t="s">
        <v>5905</v>
      </c>
      <c r="HDH3" t="s">
        <v>5906</v>
      </c>
      <c r="HDI3" t="s">
        <v>5907</v>
      </c>
      <c r="HDJ3" t="s">
        <v>5908</v>
      </c>
      <c r="HDK3" t="s">
        <v>5909</v>
      </c>
      <c r="HDL3" t="s">
        <v>5910</v>
      </c>
      <c r="HDM3" t="s">
        <v>5911</v>
      </c>
      <c r="HDN3" t="s">
        <v>5912</v>
      </c>
      <c r="HDO3" t="s">
        <v>5913</v>
      </c>
      <c r="HDP3" t="s">
        <v>5914</v>
      </c>
      <c r="HDQ3" t="s">
        <v>5915</v>
      </c>
      <c r="HDR3" t="s">
        <v>5916</v>
      </c>
      <c r="HDS3" t="s">
        <v>5917</v>
      </c>
      <c r="HDT3" t="s">
        <v>5918</v>
      </c>
      <c r="HDU3" t="s">
        <v>5919</v>
      </c>
      <c r="HDV3" t="s">
        <v>5920</v>
      </c>
      <c r="HDW3" t="s">
        <v>5921</v>
      </c>
      <c r="HDX3" t="s">
        <v>5922</v>
      </c>
      <c r="HDY3" t="s">
        <v>5923</v>
      </c>
      <c r="HDZ3" t="s">
        <v>5924</v>
      </c>
      <c r="HEA3" t="s">
        <v>5925</v>
      </c>
      <c r="HEB3" t="s">
        <v>5926</v>
      </c>
      <c r="HEC3" t="s">
        <v>5927</v>
      </c>
      <c r="HED3" t="s">
        <v>5928</v>
      </c>
      <c r="HEE3" t="s">
        <v>5929</v>
      </c>
      <c r="HEF3" t="s">
        <v>5930</v>
      </c>
      <c r="HEG3" t="s">
        <v>5931</v>
      </c>
      <c r="HEH3" t="s">
        <v>5932</v>
      </c>
      <c r="HEI3" t="s">
        <v>5933</v>
      </c>
      <c r="HEJ3" t="s">
        <v>5934</v>
      </c>
      <c r="HEK3" t="s">
        <v>5935</v>
      </c>
      <c r="HEL3" t="s">
        <v>5936</v>
      </c>
      <c r="HEM3" t="s">
        <v>5937</v>
      </c>
      <c r="HEN3" t="s">
        <v>5938</v>
      </c>
      <c r="HEO3" t="s">
        <v>5939</v>
      </c>
      <c r="HEP3" t="s">
        <v>5940</v>
      </c>
      <c r="HEQ3" t="s">
        <v>5941</v>
      </c>
      <c r="HER3" t="s">
        <v>5942</v>
      </c>
      <c r="HES3" t="s">
        <v>5943</v>
      </c>
      <c r="HET3" t="s">
        <v>5944</v>
      </c>
      <c r="HEU3" t="s">
        <v>5945</v>
      </c>
      <c r="HEV3" t="s">
        <v>5946</v>
      </c>
      <c r="HEW3" t="s">
        <v>5947</v>
      </c>
      <c r="HEX3" t="s">
        <v>5948</v>
      </c>
      <c r="HEY3" t="s">
        <v>5949</v>
      </c>
      <c r="HEZ3" t="s">
        <v>5950</v>
      </c>
      <c r="HFA3" t="s">
        <v>5951</v>
      </c>
      <c r="HFB3" t="s">
        <v>5952</v>
      </c>
      <c r="HFC3" t="s">
        <v>5953</v>
      </c>
      <c r="HFD3" t="s">
        <v>5954</v>
      </c>
      <c r="HFE3" t="s">
        <v>5955</v>
      </c>
      <c r="HFF3" t="s">
        <v>5956</v>
      </c>
      <c r="HFG3" t="s">
        <v>5957</v>
      </c>
      <c r="HFH3" t="s">
        <v>5958</v>
      </c>
      <c r="HFI3" t="s">
        <v>5959</v>
      </c>
      <c r="HFJ3" t="s">
        <v>5960</v>
      </c>
      <c r="HFK3" t="s">
        <v>5961</v>
      </c>
      <c r="HFL3" t="s">
        <v>5962</v>
      </c>
      <c r="HFM3" t="s">
        <v>5963</v>
      </c>
      <c r="HFN3" t="s">
        <v>5964</v>
      </c>
      <c r="HFO3" t="s">
        <v>5965</v>
      </c>
      <c r="HFP3" t="s">
        <v>5966</v>
      </c>
      <c r="HFQ3" t="s">
        <v>5967</v>
      </c>
      <c r="HFR3" t="s">
        <v>5968</v>
      </c>
      <c r="HFS3" t="s">
        <v>5969</v>
      </c>
      <c r="HFT3" t="s">
        <v>5970</v>
      </c>
      <c r="HFU3" t="s">
        <v>5971</v>
      </c>
      <c r="HFV3" t="s">
        <v>5972</v>
      </c>
      <c r="HFW3" t="s">
        <v>5973</v>
      </c>
      <c r="HFX3" t="s">
        <v>5974</v>
      </c>
      <c r="HFY3" t="s">
        <v>5975</v>
      </c>
      <c r="HFZ3" t="s">
        <v>5976</v>
      </c>
      <c r="HGA3" t="s">
        <v>5977</v>
      </c>
      <c r="HGB3" t="s">
        <v>5978</v>
      </c>
      <c r="HGC3" t="s">
        <v>5979</v>
      </c>
      <c r="HGD3" t="s">
        <v>5980</v>
      </c>
      <c r="HGE3" t="s">
        <v>5981</v>
      </c>
      <c r="HGF3" t="s">
        <v>5982</v>
      </c>
      <c r="HGG3" t="s">
        <v>5983</v>
      </c>
      <c r="HGH3" t="s">
        <v>5984</v>
      </c>
      <c r="HGI3" t="s">
        <v>5985</v>
      </c>
      <c r="HGJ3" t="s">
        <v>5986</v>
      </c>
      <c r="HGK3" t="s">
        <v>5987</v>
      </c>
      <c r="HGL3" t="s">
        <v>5988</v>
      </c>
      <c r="HGM3" t="s">
        <v>5989</v>
      </c>
      <c r="HGN3" t="s">
        <v>5990</v>
      </c>
      <c r="HGO3" t="s">
        <v>5991</v>
      </c>
      <c r="HGP3" t="s">
        <v>5992</v>
      </c>
      <c r="HGQ3" t="s">
        <v>5993</v>
      </c>
      <c r="HGR3" t="s">
        <v>5994</v>
      </c>
      <c r="HGS3" t="s">
        <v>5995</v>
      </c>
      <c r="HGT3" t="s">
        <v>5996</v>
      </c>
      <c r="HGU3" t="s">
        <v>5997</v>
      </c>
      <c r="HGV3" t="s">
        <v>5998</v>
      </c>
      <c r="HGW3" t="s">
        <v>5999</v>
      </c>
      <c r="HGX3" t="s">
        <v>6000</v>
      </c>
      <c r="HGY3" t="s">
        <v>6001</v>
      </c>
      <c r="HGZ3" t="s">
        <v>6002</v>
      </c>
      <c r="HHA3" t="s">
        <v>6003</v>
      </c>
      <c r="HHB3" t="s">
        <v>6004</v>
      </c>
      <c r="HHC3" t="s">
        <v>6005</v>
      </c>
      <c r="HHD3" t="s">
        <v>6006</v>
      </c>
      <c r="HHE3" t="s">
        <v>6007</v>
      </c>
      <c r="HHF3" t="s">
        <v>6008</v>
      </c>
      <c r="HHG3" t="s">
        <v>6009</v>
      </c>
      <c r="HHH3" t="s">
        <v>6010</v>
      </c>
      <c r="HHI3" t="s">
        <v>6011</v>
      </c>
      <c r="HHJ3" t="s">
        <v>6012</v>
      </c>
      <c r="HHK3" t="s">
        <v>6013</v>
      </c>
      <c r="HHL3" t="s">
        <v>6014</v>
      </c>
      <c r="HHM3" t="s">
        <v>6015</v>
      </c>
      <c r="HHN3" t="s">
        <v>6016</v>
      </c>
      <c r="HHO3" t="s">
        <v>6017</v>
      </c>
      <c r="HHP3" t="s">
        <v>6018</v>
      </c>
      <c r="HHQ3" t="s">
        <v>6019</v>
      </c>
      <c r="HHR3" t="s">
        <v>6020</v>
      </c>
      <c r="HHS3" t="s">
        <v>6021</v>
      </c>
      <c r="HHT3" t="s">
        <v>6022</v>
      </c>
      <c r="HHU3" t="s">
        <v>6023</v>
      </c>
      <c r="HHV3" t="s">
        <v>6024</v>
      </c>
      <c r="HHW3" t="s">
        <v>6025</v>
      </c>
      <c r="HHX3" t="s">
        <v>6026</v>
      </c>
      <c r="HHY3" t="s">
        <v>6027</v>
      </c>
      <c r="HHZ3" t="s">
        <v>6028</v>
      </c>
      <c r="HIA3" t="s">
        <v>6029</v>
      </c>
      <c r="HIB3" t="s">
        <v>6030</v>
      </c>
      <c r="HIC3" t="s">
        <v>6031</v>
      </c>
      <c r="HID3" t="s">
        <v>6032</v>
      </c>
      <c r="HIE3" t="s">
        <v>6033</v>
      </c>
      <c r="HIF3" t="s">
        <v>6034</v>
      </c>
      <c r="HIG3" t="s">
        <v>6035</v>
      </c>
      <c r="HIH3" t="s">
        <v>6036</v>
      </c>
      <c r="HII3" t="s">
        <v>6037</v>
      </c>
      <c r="HIJ3" t="s">
        <v>6038</v>
      </c>
      <c r="HIK3" t="s">
        <v>6039</v>
      </c>
      <c r="HIL3" t="s">
        <v>6040</v>
      </c>
      <c r="HIM3" t="s">
        <v>6041</v>
      </c>
      <c r="HIN3" t="s">
        <v>6042</v>
      </c>
      <c r="HIO3" t="s">
        <v>6043</v>
      </c>
      <c r="HIP3" t="s">
        <v>6044</v>
      </c>
      <c r="HIQ3" t="s">
        <v>6045</v>
      </c>
      <c r="HIR3" t="s">
        <v>6046</v>
      </c>
      <c r="HIS3" t="s">
        <v>6047</v>
      </c>
      <c r="HIT3" t="s">
        <v>6048</v>
      </c>
      <c r="HIU3" t="s">
        <v>6049</v>
      </c>
      <c r="HIV3" t="s">
        <v>6050</v>
      </c>
      <c r="HIW3" t="s">
        <v>6051</v>
      </c>
      <c r="HIX3" t="s">
        <v>6052</v>
      </c>
      <c r="HIY3" t="s">
        <v>6053</v>
      </c>
      <c r="HIZ3" t="s">
        <v>6054</v>
      </c>
      <c r="HJA3" t="s">
        <v>6055</v>
      </c>
      <c r="HJB3" t="s">
        <v>6056</v>
      </c>
      <c r="HJC3" t="s">
        <v>6057</v>
      </c>
      <c r="HJD3" t="s">
        <v>6058</v>
      </c>
      <c r="HJE3" t="s">
        <v>6059</v>
      </c>
      <c r="HJF3" t="s">
        <v>6060</v>
      </c>
      <c r="HJG3" t="s">
        <v>6061</v>
      </c>
      <c r="HJH3" t="s">
        <v>6062</v>
      </c>
      <c r="HJI3" t="s">
        <v>6063</v>
      </c>
      <c r="HJJ3" t="s">
        <v>6064</v>
      </c>
      <c r="HJK3" t="s">
        <v>6065</v>
      </c>
      <c r="HJL3" t="s">
        <v>6066</v>
      </c>
      <c r="HJM3" t="s">
        <v>6067</v>
      </c>
      <c r="HJN3" t="s">
        <v>6068</v>
      </c>
      <c r="HJO3" t="s">
        <v>6069</v>
      </c>
      <c r="HJP3" t="s">
        <v>6070</v>
      </c>
      <c r="HJQ3" t="s">
        <v>6071</v>
      </c>
      <c r="HJR3" t="s">
        <v>6072</v>
      </c>
      <c r="HJS3" t="s">
        <v>6073</v>
      </c>
      <c r="HJT3" t="s">
        <v>6074</v>
      </c>
      <c r="HJU3" t="s">
        <v>6075</v>
      </c>
      <c r="HJV3" t="s">
        <v>6076</v>
      </c>
      <c r="HJW3" t="s">
        <v>6077</v>
      </c>
      <c r="HJX3" t="s">
        <v>6078</v>
      </c>
      <c r="HJY3" t="s">
        <v>6079</v>
      </c>
      <c r="HJZ3" t="s">
        <v>6080</v>
      </c>
      <c r="HKA3" t="s">
        <v>6081</v>
      </c>
      <c r="HKB3" t="s">
        <v>6082</v>
      </c>
      <c r="HKC3" t="s">
        <v>6083</v>
      </c>
      <c r="HKD3" t="s">
        <v>6084</v>
      </c>
      <c r="HKE3" t="s">
        <v>6085</v>
      </c>
      <c r="HKF3" t="s">
        <v>6086</v>
      </c>
      <c r="HKG3" t="s">
        <v>6087</v>
      </c>
      <c r="HKH3" t="s">
        <v>6088</v>
      </c>
      <c r="HKI3" t="s">
        <v>6089</v>
      </c>
      <c r="HKJ3" t="s">
        <v>6090</v>
      </c>
      <c r="HKK3" t="s">
        <v>6091</v>
      </c>
      <c r="HKL3" t="s">
        <v>6092</v>
      </c>
      <c r="HKM3" t="s">
        <v>6093</v>
      </c>
      <c r="HKN3" t="s">
        <v>6094</v>
      </c>
      <c r="HKO3" t="s">
        <v>6095</v>
      </c>
      <c r="HKP3" t="s">
        <v>6096</v>
      </c>
      <c r="HKQ3" t="s">
        <v>6097</v>
      </c>
      <c r="HKR3" t="s">
        <v>6098</v>
      </c>
      <c r="HKS3" t="s">
        <v>6099</v>
      </c>
      <c r="HKT3" t="s">
        <v>6100</v>
      </c>
      <c r="HKU3" t="s">
        <v>6101</v>
      </c>
      <c r="HKV3" t="s">
        <v>6102</v>
      </c>
      <c r="HKW3" t="s">
        <v>6103</v>
      </c>
      <c r="HKX3" t="s">
        <v>6104</v>
      </c>
      <c r="HKY3" t="s">
        <v>6105</v>
      </c>
      <c r="HKZ3" t="s">
        <v>6106</v>
      </c>
      <c r="HLA3" t="s">
        <v>6107</v>
      </c>
      <c r="HLB3" t="s">
        <v>6108</v>
      </c>
      <c r="HLC3" t="s">
        <v>6109</v>
      </c>
      <c r="HLD3" t="s">
        <v>6110</v>
      </c>
      <c r="HLE3" t="s">
        <v>6111</v>
      </c>
      <c r="HLF3" t="s">
        <v>6112</v>
      </c>
      <c r="HLG3" t="s">
        <v>6113</v>
      </c>
      <c r="HLH3" t="s">
        <v>6114</v>
      </c>
      <c r="HLI3" t="s">
        <v>6115</v>
      </c>
      <c r="HLJ3" t="s">
        <v>6116</v>
      </c>
      <c r="HLK3" t="s">
        <v>6117</v>
      </c>
      <c r="HLL3" t="s">
        <v>6118</v>
      </c>
      <c r="HLM3" t="s">
        <v>6119</v>
      </c>
      <c r="HLN3" t="s">
        <v>6120</v>
      </c>
      <c r="HLO3" t="s">
        <v>6121</v>
      </c>
      <c r="HLP3" t="s">
        <v>6122</v>
      </c>
      <c r="HLQ3" t="s">
        <v>6123</v>
      </c>
      <c r="HLR3" t="s">
        <v>6124</v>
      </c>
      <c r="HLS3" t="s">
        <v>6125</v>
      </c>
      <c r="HLT3" t="s">
        <v>6126</v>
      </c>
      <c r="HLU3" t="s">
        <v>6127</v>
      </c>
      <c r="HLV3" t="s">
        <v>6128</v>
      </c>
      <c r="HLW3" t="s">
        <v>6129</v>
      </c>
      <c r="HLX3" t="s">
        <v>6130</v>
      </c>
      <c r="HLY3" t="s">
        <v>6131</v>
      </c>
      <c r="HLZ3" t="s">
        <v>6132</v>
      </c>
      <c r="HMA3" t="s">
        <v>6133</v>
      </c>
      <c r="HMB3" t="s">
        <v>6134</v>
      </c>
      <c r="HMC3" t="s">
        <v>6135</v>
      </c>
      <c r="HMD3" t="s">
        <v>6136</v>
      </c>
      <c r="HME3" t="s">
        <v>6137</v>
      </c>
      <c r="HMF3" t="s">
        <v>6138</v>
      </c>
      <c r="HMG3" t="s">
        <v>6139</v>
      </c>
      <c r="HMH3" t="s">
        <v>6140</v>
      </c>
      <c r="HMI3" t="s">
        <v>6141</v>
      </c>
      <c r="HMJ3" t="s">
        <v>6142</v>
      </c>
      <c r="HMK3" t="s">
        <v>6143</v>
      </c>
      <c r="HML3" t="s">
        <v>6144</v>
      </c>
      <c r="HMM3" t="s">
        <v>6145</v>
      </c>
      <c r="HMN3" t="s">
        <v>6146</v>
      </c>
      <c r="HMO3" t="s">
        <v>6147</v>
      </c>
      <c r="HMP3" t="s">
        <v>6148</v>
      </c>
      <c r="HMQ3" t="s">
        <v>6149</v>
      </c>
      <c r="HMR3" t="s">
        <v>6150</v>
      </c>
      <c r="HMS3" t="s">
        <v>6151</v>
      </c>
      <c r="HMT3" t="s">
        <v>6152</v>
      </c>
      <c r="HMU3" t="s">
        <v>6153</v>
      </c>
      <c r="HMV3" t="s">
        <v>6154</v>
      </c>
      <c r="HMW3" t="s">
        <v>6155</v>
      </c>
      <c r="HMX3" t="s">
        <v>6156</v>
      </c>
      <c r="HMY3" t="s">
        <v>6157</v>
      </c>
      <c r="HMZ3" t="s">
        <v>6158</v>
      </c>
      <c r="HNA3" t="s">
        <v>6159</v>
      </c>
      <c r="HNB3" t="s">
        <v>6160</v>
      </c>
      <c r="HNC3" t="s">
        <v>6161</v>
      </c>
      <c r="HND3" t="s">
        <v>6162</v>
      </c>
      <c r="HNE3" t="s">
        <v>6163</v>
      </c>
      <c r="HNF3" t="s">
        <v>6164</v>
      </c>
      <c r="HNG3" t="s">
        <v>6165</v>
      </c>
      <c r="HNH3" t="s">
        <v>6166</v>
      </c>
      <c r="HNI3" t="s">
        <v>6167</v>
      </c>
      <c r="HNJ3" t="s">
        <v>6168</v>
      </c>
      <c r="HNK3" t="s">
        <v>6169</v>
      </c>
      <c r="HNL3" t="s">
        <v>6170</v>
      </c>
      <c r="HNM3" t="s">
        <v>6171</v>
      </c>
      <c r="HNN3" t="s">
        <v>6172</v>
      </c>
      <c r="HNO3" t="s">
        <v>6173</v>
      </c>
      <c r="HNP3" t="s">
        <v>6174</v>
      </c>
      <c r="HNQ3" t="s">
        <v>6175</v>
      </c>
      <c r="HNR3" t="s">
        <v>6176</v>
      </c>
      <c r="HNS3" t="s">
        <v>6177</v>
      </c>
      <c r="HNT3" t="s">
        <v>6178</v>
      </c>
      <c r="HNU3" t="s">
        <v>6179</v>
      </c>
      <c r="HNV3" t="s">
        <v>6180</v>
      </c>
      <c r="HNW3" t="s">
        <v>6181</v>
      </c>
      <c r="HNX3" t="s">
        <v>6182</v>
      </c>
      <c r="HNY3" t="s">
        <v>6183</v>
      </c>
      <c r="HNZ3" t="s">
        <v>6184</v>
      </c>
      <c r="HOA3" t="s">
        <v>6185</v>
      </c>
      <c r="HOB3" t="s">
        <v>6186</v>
      </c>
      <c r="HOC3" t="s">
        <v>6187</v>
      </c>
      <c r="HOD3" t="s">
        <v>6188</v>
      </c>
      <c r="HOE3" t="s">
        <v>6189</v>
      </c>
      <c r="HOF3" t="s">
        <v>6190</v>
      </c>
      <c r="HOG3" t="s">
        <v>6191</v>
      </c>
      <c r="HOH3" t="s">
        <v>6192</v>
      </c>
      <c r="HOI3" t="s">
        <v>6193</v>
      </c>
      <c r="HOJ3" t="s">
        <v>6194</v>
      </c>
      <c r="HOK3" t="s">
        <v>6195</v>
      </c>
      <c r="HOL3" t="s">
        <v>6196</v>
      </c>
      <c r="HOM3" t="s">
        <v>6197</v>
      </c>
      <c r="HON3" t="s">
        <v>6198</v>
      </c>
      <c r="HOO3" t="s">
        <v>6199</v>
      </c>
      <c r="HOP3" t="s">
        <v>6200</v>
      </c>
      <c r="HOQ3" t="s">
        <v>6201</v>
      </c>
      <c r="HOR3" t="s">
        <v>6202</v>
      </c>
      <c r="HOS3" t="s">
        <v>6203</v>
      </c>
      <c r="HOT3" t="s">
        <v>6204</v>
      </c>
      <c r="HOU3" t="s">
        <v>6205</v>
      </c>
      <c r="HOV3" t="s">
        <v>6206</v>
      </c>
      <c r="HOW3" t="s">
        <v>6207</v>
      </c>
      <c r="HOX3" t="s">
        <v>6208</v>
      </c>
      <c r="HOY3" t="s">
        <v>6209</v>
      </c>
      <c r="HOZ3" t="s">
        <v>6210</v>
      </c>
      <c r="HPA3" t="s">
        <v>6211</v>
      </c>
      <c r="HPB3" t="s">
        <v>6212</v>
      </c>
      <c r="HPC3" t="s">
        <v>6213</v>
      </c>
      <c r="HPD3" t="s">
        <v>6214</v>
      </c>
      <c r="HPE3" t="s">
        <v>6215</v>
      </c>
      <c r="HPF3" t="s">
        <v>6216</v>
      </c>
      <c r="HPG3" t="s">
        <v>6217</v>
      </c>
      <c r="HPH3" t="s">
        <v>6218</v>
      </c>
      <c r="HPI3" t="s">
        <v>6219</v>
      </c>
      <c r="HPJ3" t="s">
        <v>6220</v>
      </c>
      <c r="HPK3" t="s">
        <v>6221</v>
      </c>
      <c r="HPL3" t="s">
        <v>6222</v>
      </c>
      <c r="HPM3" t="s">
        <v>6223</v>
      </c>
      <c r="HPN3" t="s">
        <v>6224</v>
      </c>
      <c r="HPO3" t="s">
        <v>6225</v>
      </c>
      <c r="HPP3" t="s">
        <v>6226</v>
      </c>
      <c r="HPQ3" t="s">
        <v>6227</v>
      </c>
      <c r="HPR3" t="s">
        <v>6228</v>
      </c>
      <c r="HPS3" t="s">
        <v>6229</v>
      </c>
      <c r="HPT3" t="s">
        <v>6230</v>
      </c>
      <c r="HPU3" t="s">
        <v>6231</v>
      </c>
      <c r="HPV3" t="s">
        <v>6232</v>
      </c>
      <c r="HPW3" t="s">
        <v>6233</v>
      </c>
      <c r="HPX3" t="s">
        <v>6234</v>
      </c>
      <c r="HPY3" t="s">
        <v>6235</v>
      </c>
      <c r="HPZ3" t="s">
        <v>6236</v>
      </c>
      <c r="HQA3" t="s">
        <v>6237</v>
      </c>
      <c r="HQB3" t="s">
        <v>6238</v>
      </c>
      <c r="HQC3" t="s">
        <v>6239</v>
      </c>
      <c r="HQD3" t="s">
        <v>6240</v>
      </c>
      <c r="HQE3" t="s">
        <v>6241</v>
      </c>
      <c r="HQF3" t="s">
        <v>6242</v>
      </c>
      <c r="HQG3" t="s">
        <v>6243</v>
      </c>
      <c r="HQH3" t="s">
        <v>6244</v>
      </c>
      <c r="HQI3" t="s">
        <v>6245</v>
      </c>
      <c r="HQJ3" t="s">
        <v>6246</v>
      </c>
      <c r="HQK3" t="s">
        <v>6247</v>
      </c>
      <c r="HQL3" t="s">
        <v>6248</v>
      </c>
      <c r="HQM3" t="s">
        <v>6249</v>
      </c>
      <c r="HQN3" t="s">
        <v>6250</v>
      </c>
      <c r="HQO3" t="s">
        <v>6251</v>
      </c>
      <c r="HQP3" t="s">
        <v>6252</v>
      </c>
      <c r="HQQ3" t="s">
        <v>6253</v>
      </c>
      <c r="HQR3" t="s">
        <v>6254</v>
      </c>
      <c r="HQS3" t="s">
        <v>6255</v>
      </c>
      <c r="HQT3" t="s">
        <v>6256</v>
      </c>
      <c r="HQU3" t="s">
        <v>6257</v>
      </c>
      <c r="HQV3" t="s">
        <v>6258</v>
      </c>
      <c r="HQW3" t="s">
        <v>6259</v>
      </c>
      <c r="HQX3" t="s">
        <v>6260</v>
      </c>
      <c r="HQY3" t="s">
        <v>6261</v>
      </c>
      <c r="HQZ3" t="s">
        <v>6262</v>
      </c>
      <c r="HRA3" t="s">
        <v>6263</v>
      </c>
      <c r="HRB3" t="s">
        <v>6264</v>
      </c>
      <c r="HRC3" t="s">
        <v>6265</v>
      </c>
      <c r="HRD3" t="s">
        <v>6266</v>
      </c>
      <c r="HRE3" t="s">
        <v>6267</v>
      </c>
      <c r="HRF3" t="s">
        <v>6268</v>
      </c>
      <c r="HRG3" t="s">
        <v>6269</v>
      </c>
      <c r="HRH3" t="s">
        <v>6270</v>
      </c>
      <c r="HRI3" t="s">
        <v>6271</v>
      </c>
      <c r="HRJ3" t="s">
        <v>6272</v>
      </c>
      <c r="HRK3" t="s">
        <v>6273</v>
      </c>
      <c r="HRL3" t="s">
        <v>6274</v>
      </c>
      <c r="HRM3" t="s">
        <v>6275</v>
      </c>
      <c r="HRN3" t="s">
        <v>6276</v>
      </c>
      <c r="HRO3" t="s">
        <v>6277</v>
      </c>
      <c r="HRP3" t="s">
        <v>6278</v>
      </c>
      <c r="HRQ3" t="s">
        <v>6279</v>
      </c>
      <c r="HRR3" t="s">
        <v>6280</v>
      </c>
      <c r="HRS3" t="s">
        <v>6281</v>
      </c>
      <c r="HRT3" t="s">
        <v>6282</v>
      </c>
      <c r="HRU3" t="s">
        <v>6283</v>
      </c>
      <c r="HRV3" t="s">
        <v>6284</v>
      </c>
      <c r="HRW3" t="s">
        <v>6285</v>
      </c>
      <c r="HRX3" t="s">
        <v>6286</v>
      </c>
      <c r="HRY3" t="s">
        <v>6287</v>
      </c>
      <c r="HRZ3" t="s">
        <v>6288</v>
      </c>
      <c r="HSA3" t="s">
        <v>6289</v>
      </c>
      <c r="HSB3" t="s">
        <v>6290</v>
      </c>
      <c r="HSC3" t="s">
        <v>6291</v>
      </c>
      <c r="HSD3" t="s">
        <v>6292</v>
      </c>
      <c r="HSE3" t="s">
        <v>6293</v>
      </c>
      <c r="HSF3" t="s">
        <v>6294</v>
      </c>
      <c r="HSG3" t="s">
        <v>6295</v>
      </c>
      <c r="HSH3" t="s">
        <v>6296</v>
      </c>
      <c r="HSI3" t="s">
        <v>6297</v>
      </c>
      <c r="HSJ3" t="s">
        <v>6298</v>
      </c>
      <c r="HSK3" t="s">
        <v>6299</v>
      </c>
      <c r="HSL3" t="s">
        <v>6300</v>
      </c>
      <c r="HSM3" t="s">
        <v>6301</v>
      </c>
      <c r="HSN3" t="s">
        <v>6302</v>
      </c>
      <c r="HSO3" t="s">
        <v>6303</v>
      </c>
      <c r="HSP3" t="s">
        <v>6304</v>
      </c>
      <c r="HSQ3" t="s">
        <v>6305</v>
      </c>
      <c r="HSR3" t="s">
        <v>6306</v>
      </c>
      <c r="HSS3" t="s">
        <v>6307</v>
      </c>
      <c r="HST3" t="s">
        <v>6308</v>
      </c>
      <c r="HSU3" t="s">
        <v>6309</v>
      </c>
      <c r="HSV3" t="s">
        <v>6310</v>
      </c>
      <c r="HSW3" t="s">
        <v>6311</v>
      </c>
      <c r="HSX3" t="s">
        <v>6312</v>
      </c>
      <c r="HSY3" t="s">
        <v>6313</v>
      </c>
      <c r="HSZ3" t="s">
        <v>6314</v>
      </c>
      <c r="HTA3" t="s">
        <v>6315</v>
      </c>
      <c r="HTB3" t="s">
        <v>6316</v>
      </c>
      <c r="HTC3" t="s">
        <v>6317</v>
      </c>
      <c r="HTD3" t="s">
        <v>6318</v>
      </c>
      <c r="HTE3" t="s">
        <v>6319</v>
      </c>
      <c r="HTF3" t="s">
        <v>6320</v>
      </c>
      <c r="HTG3" t="s">
        <v>6321</v>
      </c>
      <c r="HTH3" t="s">
        <v>6322</v>
      </c>
      <c r="HTI3" t="s">
        <v>6323</v>
      </c>
      <c r="HTJ3" t="s">
        <v>6324</v>
      </c>
      <c r="HTK3" t="s">
        <v>6325</v>
      </c>
      <c r="HTL3" t="s">
        <v>6326</v>
      </c>
      <c r="HTM3" t="s">
        <v>6327</v>
      </c>
      <c r="HTN3" t="s">
        <v>6328</v>
      </c>
      <c r="HTO3" t="s">
        <v>6329</v>
      </c>
      <c r="HTP3" t="s">
        <v>6330</v>
      </c>
      <c r="HTQ3" t="s">
        <v>6331</v>
      </c>
      <c r="HTR3" t="s">
        <v>6332</v>
      </c>
      <c r="HTS3" t="s">
        <v>6333</v>
      </c>
      <c r="HTT3" t="s">
        <v>6334</v>
      </c>
      <c r="HTU3" t="s">
        <v>6335</v>
      </c>
      <c r="HTV3" t="s">
        <v>6336</v>
      </c>
      <c r="HTW3" t="s">
        <v>6337</v>
      </c>
      <c r="HTX3" t="s">
        <v>6338</v>
      </c>
      <c r="HTY3" t="s">
        <v>6339</v>
      </c>
      <c r="HTZ3" t="s">
        <v>6340</v>
      </c>
      <c r="HUA3" t="s">
        <v>6341</v>
      </c>
      <c r="HUB3" t="s">
        <v>6342</v>
      </c>
      <c r="HUC3" t="s">
        <v>6343</v>
      </c>
      <c r="HUD3" t="s">
        <v>6344</v>
      </c>
      <c r="HUE3" t="s">
        <v>6345</v>
      </c>
      <c r="HUF3" t="s">
        <v>6346</v>
      </c>
      <c r="HUG3" t="s">
        <v>6347</v>
      </c>
      <c r="HUH3" t="s">
        <v>6348</v>
      </c>
      <c r="HUI3" t="s">
        <v>6349</v>
      </c>
      <c r="HUJ3" t="s">
        <v>6350</v>
      </c>
      <c r="HUK3" t="s">
        <v>6351</v>
      </c>
      <c r="HUL3" t="s">
        <v>6352</v>
      </c>
      <c r="HUM3" t="s">
        <v>6353</v>
      </c>
      <c r="HUN3" t="s">
        <v>6354</v>
      </c>
      <c r="HUO3" t="s">
        <v>6355</v>
      </c>
      <c r="HUP3" t="s">
        <v>6356</v>
      </c>
      <c r="HUQ3" t="s">
        <v>6357</v>
      </c>
      <c r="HUR3" t="s">
        <v>6358</v>
      </c>
      <c r="HUS3" t="s">
        <v>6359</v>
      </c>
      <c r="HUT3" t="s">
        <v>6360</v>
      </c>
      <c r="HUU3" t="s">
        <v>6361</v>
      </c>
      <c r="HUV3" t="s">
        <v>6362</v>
      </c>
      <c r="HUW3" t="s">
        <v>6363</v>
      </c>
      <c r="HUX3" t="s">
        <v>6364</v>
      </c>
      <c r="HUY3" t="s">
        <v>6365</v>
      </c>
      <c r="HUZ3" t="s">
        <v>6366</v>
      </c>
      <c r="HVA3" t="s">
        <v>6367</v>
      </c>
      <c r="HVB3" t="s">
        <v>6368</v>
      </c>
      <c r="HVC3" t="s">
        <v>6369</v>
      </c>
      <c r="HVD3" t="s">
        <v>6370</v>
      </c>
      <c r="HVE3" t="s">
        <v>6371</v>
      </c>
      <c r="HVF3" t="s">
        <v>6372</v>
      </c>
      <c r="HVG3" t="s">
        <v>6373</v>
      </c>
      <c r="HVH3" t="s">
        <v>6374</v>
      </c>
      <c r="HVI3" t="s">
        <v>6375</v>
      </c>
      <c r="HVJ3" t="s">
        <v>6376</v>
      </c>
      <c r="HVK3" t="s">
        <v>6377</v>
      </c>
      <c r="HVL3" t="s">
        <v>6378</v>
      </c>
      <c r="HVM3" t="s">
        <v>6379</v>
      </c>
      <c r="HVN3" t="s">
        <v>6380</v>
      </c>
      <c r="HVO3" t="s">
        <v>6381</v>
      </c>
      <c r="HVP3" t="s">
        <v>6382</v>
      </c>
      <c r="HVQ3" t="s">
        <v>6383</v>
      </c>
      <c r="HVR3" t="s">
        <v>6384</v>
      </c>
      <c r="HVS3" t="s">
        <v>6385</v>
      </c>
      <c r="HVT3" t="s">
        <v>6386</v>
      </c>
      <c r="HVU3" t="s">
        <v>6387</v>
      </c>
      <c r="HVV3" t="s">
        <v>6388</v>
      </c>
      <c r="HVW3" t="s">
        <v>6389</v>
      </c>
      <c r="HVX3" t="s">
        <v>6390</v>
      </c>
      <c r="HVY3" t="s">
        <v>6391</v>
      </c>
      <c r="HVZ3" t="s">
        <v>6392</v>
      </c>
      <c r="HWA3" t="s">
        <v>6393</v>
      </c>
      <c r="HWB3" t="s">
        <v>6394</v>
      </c>
      <c r="HWC3" t="s">
        <v>6395</v>
      </c>
      <c r="HWD3" t="s">
        <v>6396</v>
      </c>
      <c r="HWE3" t="s">
        <v>6397</v>
      </c>
      <c r="HWF3" t="s">
        <v>6398</v>
      </c>
      <c r="HWG3" t="s">
        <v>6399</v>
      </c>
      <c r="HWH3" t="s">
        <v>6400</v>
      </c>
      <c r="HWI3" t="s">
        <v>6401</v>
      </c>
      <c r="HWJ3" t="s">
        <v>6402</v>
      </c>
      <c r="HWK3" t="s">
        <v>6403</v>
      </c>
      <c r="HWL3" t="s">
        <v>6404</v>
      </c>
      <c r="HWM3" t="s">
        <v>6405</v>
      </c>
      <c r="HWN3" t="s">
        <v>6406</v>
      </c>
      <c r="HWO3" t="s">
        <v>6407</v>
      </c>
      <c r="HWP3" t="s">
        <v>6408</v>
      </c>
      <c r="HWQ3" t="s">
        <v>6409</v>
      </c>
      <c r="HWR3" t="s">
        <v>6410</v>
      </c>
      <c r="HWS3" t="s">
        <v>6411</v>
      </c>
      <c r="HWT3" t="s">
        <v>6412</v>
      </c>
      <c r="HWU3" t="s">
        <v>6413</v>
      </c>
      <c r="HWV3" t="s">
        <v>6414</v>
      </c>
      <c r="HWW3" t="s">
        <v>6415</v>
      </c>
      <c r="HWX3" t="s">
        <v>6416</v>
      </c>
      <c r="HWY3" t="s">
        <v>6417</v>
      </c>
      <c r="HWZ3" t="s">
        <v>6418</v>
      </c>
      <c r="HXA3" t="s">
        <v>6419</v>
      </c>
      <c r="HXB3" t="s">
        <v>6420</v>
      </c>
      <c r="HXC3" t="s">
        <v>6421</v>
      </c>
      <c r="HXD3" t="s">
        <v>6422</v>
      </c>
      <c r="HXE3" t="s">
        <v>6423</v>
      </c>
      <c r="HXF3" t="s">
        <v>6424</v>
      </c>
      <c r="HXG3" t="s">
        <v>6425</v>
      </c>
      <c r="HXH3" t="s">
        <v>6426</v>
      </c>
      <c r="HXI3" t="s">
        <v>6427</v>
      </c>
      <c r="HXJ3" t="s">
        <v>6428</v>
      </c>
      <c r="HXK3" t="s">
        <v>6429</v>
      </c>
      <c r="HXL3" t="s">
        <v>6430</v>
      </c>
      <c r="HXM3" t="s">
        <v>6431</v>
      </c>
      <c r="HXN3" t="s">
        <v>6432</v>
      </c>
      <c r="HXO3" t="s">
        <v>6433</v>
      </c>
      <c r="HXP3" t="s">
        <v>6434</v>
      </c>
      <c r="HXQ3" t="s">
        <v>6435</v>
      </c>
      <c r="HXR3" t="s">
        <v>6436</v>
      </c>
      <c r="HXS3" t="s">
        <v>6437</v>
      </c>
      <c r="HXT3" t="s">
        <v>6438</v>
      </c>
      <c r="HXU3" t="s">
        <v>6439</v>
      </c>
      <c r="HXV3" t="s">
        <v>6440</v>
      </c>
      <c r="HXW3" t="s">
        <v>6441</v>
      </c>
      <c r="HXX3" t="s">
        <v>6442</v>
      </c>
      <c r="HXY3" t="s">
        <v>6443</v>
      </c>
      <c r="HXZ3" t="s">
        <v>6444</v>
      </c>
      <c r="HYA3" t="s">
        <v>6445</v>
      </c>
      <c r="HYB3" t="s">
        <v>6446</v>
      </c>
      <c r="HYC3" t="s">
        <v>6447</v>
      </c>
      <c r="HYD3" t="s">
        <v>6448</v>
      </c>
      <c r="HYE3" t="s">
        <v>6449</v>
      </c>
      <c r="HYF3" t="s">
        <v>6450</v>
      </c>
      <c r="HYG3" t="s">
        <v>6451</v>
      </c>
      <c r="HYH3" t="s">
        <v>6452</v>
      </c>
      <c r="HYI3" t="s">
        <v>6453</v>
      </c>
      <c r="HYJ3" t="s">
        <v>6454</v>
      </c>
      <c r="HYK3" t="s">
        <v>6455</v>
      </c>
      <c r="HYL3" t="s">
        <v>6456</v>
      </c>
      <c r="HYM3" t="s">
        <v>6457</v>
      </c>
      <c r="HYN3" t="s">
        <v>6458</v>
      </c>
      <c r="HYO3" t="s">
        <v>6459</v>
      </c>
      <c r="HYP3" t="s">
        <v>6460</v>
      </c>
      <c r="HYQ3" t="s">
        <v>6461</v>
      </c>
      <c r="HYR3" t="s">
        <v>6462</v>
      </c>
      <c r="HYS3" t="s">
        <v>6463</v>
      </c>
      <c r="HYT3" t="s">
        <v>6464</v>
      </c>
      <c r="HYU3" t="s">
        <v>6465</v>
      </c>
      <c r="HYV3" t="s">
        <v>6466</v>
      </c>
      <c r="HYW3" t="s">
        <v>6467</v>
      </c>
      <c r="HYX3" t="s">
        <v>6468</v>
      </c>
      <c r="HYY3" t="s">
        <v>6469</v>
      </c>
      <c r="HYZ3" t="s">
        <v>6470</v>
      </c>
      <c r="HZA3" t="s">
        <v>6471</v>
      </c>
      <c r="HZB3" t="s">
        <v>6472</v>
      </c>
      <c r="HZC3" t="s">
        <v>6473</v>
      </c>
      <c r="HZD3" t="s">
        <v>6474</v>
      </c>
      <c r="HZE3" t="s">
        <v>6475</v>
      </c>
      <c r="HZF3" t="s">
        <v>6476</v>
      </c>
      <c r="HZG3" t="s">
        <v>6477</v>
      </c>
      <c r="HZH3" t="s">
        <v>6478</v>
      </c>
      <c r="HZI3" t="s">
        <v>6479</v>
      </c>
      <c r="HZJ3" t="s">
        <v>6480</v>
      </c>
      <c r="HZK3" t="s">
        <v>6481</v>
      </c>
      <c r="HZL3" t="s">
        <v>6482</v>
      </c>
      <c r="HZM3" t="s">
        <v>6483</v>
      </c>
      <c r="HZN3" t="s">
        <v>6484</v>
      </c>
      <c r="HZO3" t="s">
        <v>6485</v>
      </c>
      <c r="HZP3" t="s">
        <v>6486</v>
      </c>
      <c r="HZQ3" t="s">
        <v>6487</v>
      </c>
      <c r="HZR3" t="s">
        <v>6488</v>
      </c>
      <c r="HZS3" t="s">
        <v>6489</v>
      </c>
      <c r="HZT3" t="s">
        <v>6490</v>
      </c>
      <c r="HZU3" t="s">
        <v>6491</v>
      </c>
      <c r="HZV3" t="s">
        <v>6492</v>
      </c>
      <c r="HZW3" t="s">
        <v>6493</v>
      </c>
      <c r="HZX3" t="s">
        <v>6494</v>
      </c>
      <c r="HZY3" t="s">
        <v>6495</v>
      </c>
      <c r="HZZ3" t="s">
        <v>6496</v>
      </c>
      <c r="IAA3" t="s">
        <v>6497</v>
      </c>
      <c r="IAB3" t="s">
        <v>6498</v>
      </c>
      <c r="IAC3" t="s">
        <v>6499</v>
      </c>
      <c r="IAD3" t="s">
        <v>6500</v>
      </c>
      <c r="IAE3" t="s">
        <v>6501</v>
      </c>
      <c r="IAF3" t="s">
        <v>6502</v>
      </c>
      <c r="IAG3" t="s">
        <v>6503</v>
      </c>
      <c r="IAH3" t="s">
        <v>6504</v>
      </c>
      <c r="IAI3" t="s">
        <v>6505</v>
      </c>
      <c r="IAJ3" t="s">
        <v>6506</v>
      </c>
      <c r="IAK3" t="s">
        <v>6507</v>
      </c>
      <c r="IAL3" t="s">
        <v>6508</v>
      </c>
      <c r="IAM3" t="s">
        <v>6509</v>
      </c>
      <c r="IAN3" t="s">
        <v>6510</v>
      </c>
      <c r="IAO3" t="s">
        <v>6511</v>
      </c>
      <c r="IAP3" t="s">
        <v>6512</v>
      </c>
      <c r="IAQ3" t="s">
        <v>6513</v>
      </c>
      <c r="IAR3" t="s">
        <v>6514</v>
      </c>
      <c r="IAS3" t="s">
        <v>6515</v>
      </c>
      <c r="IAT3" t="s">
        <v>6516</v>
      </c>
      <c r="IAU3" t="s">
        <v>6517</v>
      </c>
      <c r="IAV3" t="s">
        <v>6518</v>
      </c>
      <c r="IAW3" t="s">
        <v>6519</v>
      </c>
      <c r="IAX3" t="s">
        <v>6520</v>
      </c>
      <c r="IAY3" t="s">
        <v>6521</v>
      </c>
      <c r="IAZ3" t="s">
        <v>6522</v>
      </c>
      <c r="IBA3" t="s">
        <v>6523</v>
      </c>
      <c r="IBB3" t="s">
        <v>6524</v>
      </c>
      <c r="IBC3" t="s">
        <v>6525</v>
      </c>
      <c r="IBD3" t="s">
        <v>6526</v>
      </c>
      <c r="IBE3" t="s">
        <v>6527</v>
      </c>
      <c r="IBF3" t="s">
        <v>6528</v>
      </c>
      <c r="IBG3" t="s">
        <v>6529</v>
      </c>
      <c r="IBH3" t="s">
        <v>6530</v>
      </c>
      <c r="IBI3" t="s">
        <v>6531</v>
      </c>
      <c r="IBJ3" t="s">
        <v>6532</v>
      </c>
      <c r="IBK3" t="s">
        <v>6533</v>
      </c>
      <c r="IBL3" t="s">
        <v>6534</v>
      </c>
      <c r="IBM3" t="s">
        <v>6535</v>
      </c>
      <c r="IBN3" t="s">
        <v>6536</v>
      </c>
      <c r="IBO3" t="s">
        <v>6537</v>
      </c>
      <c r="IBP3" t="s">
        <v>6538</v>
      </c>
      <c r="IBQ3" t="s">
        <v>6539</v>
      </c>
      <c r="IBR3" t="s">
        <v>6540</v>
      </c>
      <c r="IBS3" t="s">
        <v>6541</v>
      </c>
      <c r="IBT3" t="s">
        <v>6542</v>
      </c>
      <c r="IBU3" t="s">
        <v>6543</v>
      </c>
      <c r="IBV3" t="s">
        <v>6544</v>
      </c>
      <c r="IBW3" t="s">
        <v>6545</v>
      </c>
      <c r="IBX3" t="s">
        <v>6546</v>
      </c>
      <c r="IBY3" t="s">
        <v>6547</v>
      </c>
      <c r="IBZ3" t="s">
        <v>6548</v>
      </c>
      <c r="ICA3" t="s">
        <v>6549</v>
      </c>
      <c r="ICB3" t="s">
        <v>6550</v>
      </c>
      <c r="ICC3" t="s">
        <v>6551</v>
      </c>
      <c r="ICD3" t="s">
        <v>6552</v>
      </c>
      <c r="ICE3" t="s">
        <v>6553</v>
      </c>
      <c r="ICF3" t="s">
        <v>6554</v>
      </c>
      <c r="ICG3" t="s">
        <v>6555</v>
      </c>
      <c r="ICH3" t="s">
        <v>6556</v>
      </c>
      <c r="ICI3" t="s">
        <v>6557</v>
      </c>
      <c r="ICJ3" t="s">
        <v>6558</v>
      </c>
      <c r="ICK3" t="s">
        <v>6559</v>
      </c>
      <c r="ICL3" t="s">
        <v>6560</v>
      </c>
      <c r="ICM3" t="s">
        <v>6561</v>
      </c>
      <c r="ICN3" t="s">
        <v>6562</v>
      </c>
      <c r="ICO3" t="s">
        <v>6563</v>
      </c>
      <c r="ICP3" t="s">
        <v>6564</v>
      </c>
      <c r="ICQ3" t="s">
        <v>6565</v>
      </c>
      <c r="ICR3" t="s">
        <v>6566</v>
      </c>
      <c r="ICS3" t="s">
        <v>6567</v>
      </c>
      <c r="ICT3" t="s">
        <v>6568</v>
      </c>
      <c r="ICU3" t="s">
        <v>6569</v>
      </c>
      <c r="ICV3" t="s">
        <v>6570</v>
      </c>
      <c r="ICW3" t="s">
        <v>6571</v>
      </c>
      <c r="ICX3" t="s">
        <v>6572</v>
      </c>
      <c r="ICY3" t="s">
        <v>6573</v>
      </c>
      <c r="ICZ3" t="s">
        <v>6574</v>
      </c>
      <c r="IDA3" t="s">
        <v>6575</v>
      </c>
      <c r="IDB3" t="s">
        <v>6576</v>
      </c>
      <c r="IDC3" t="s">
        <v>6577</v>
      </c>
      <c r="IDD3" t="s">
        <v>6578</v>
      </c>
      <c r="IDE3" t="s">
        <v>6579</v>
      </c>
      <c r="IDF3" t="s">
        <v>6580</v>
      </c>
      <c r="IDG3" t="s">
        <v>6581</v>
      </c>
      <c r="IDH3" t="s">
        <v>6582</v>
      </c>
      <c r="IDI3" t="s">
        <v>6583</v>
      </c>
      <c r="IDJ3" t="s">
        <v>6584</v>
      </c>
      <c r="IDK3" t="s">
        <v>6585</v>
      </c>
      <c r="IDL3" t="s">
        <v>6586</v>
      </c>
      <c r="IDM3" t="s">
        <v>6587</v>
      </c>
      <c r="IDN3" t="s">
        <v>6588</v>
      </c>
      <c r="IDO3" t="s">
        <v>6589</v>
      </c>
      <c r="IDP3" t="s">
        <v>6590</v>
      </c>
      <c r="IDQ3" t="s">
        <v>6591</v>
      </c>
      <c r="IDR3" t="s">
        <v>6592</v>
      </c>
      <c r="IDS3" t="s">
        <v>6593</v>
      </c>
      <c r="IDT3" t="s">
        <v>6594</v>
      </c>
      <c r="IDU3" t="s">
        <v>6595</v>
      </c>
      <c r="IDV3" t="s">
        <v>6596</v>
      </c>
      <c r="IDW3" t="s">
        <v>6597</v>
      </c>
      <c r="IDX3" t="s">
        <v>6598</v>
      </c>
      <c r="IDY3" t="s">
        <v>6599</v>
      </c>
      <c r="IDZ3" t="s">
        <v>6600</v>
      </c>
      <c r="IEA3" t="s">
        <v>6601</v>
      </c>
      <c r="IEB3" t="s">
        <v>6602</v>
      </c>
      <c r="IEC3" t="s">
        <v>6603</v>
      </c>
      <c r="IED3" t="s">
        <v>6604</v>
      </c>
      <c r="IEE3" t="s">
        <v>6605</v>
      </c>
      <c r="IEF3" t="s">
        <v>6606</v>
      </c>
      <c r="IEG3" t="s">
        <v>6607</v>
      </c>
      <c r="IEH3" t="s">
        <v>6608</v>
      </c>
      <c r="IEI3" t="s">
        <v>6609</v>
      </c>
      <c r="IEJ3" t="s">
        <v>6610</v>
      </c>
      <c r="IEK3" t="s">
        <v>6611</v>
      </c>
      <c r="IEL3" t="s">
        <v>6612</v>
      </c>
      <c r="IEM3" t="s">
        <v>6613</v>
      </c>
      <c r="IEN3" t="s">
        <v>6614</v>
      </c>
      <c r="IEO3" t="s">
        <v>6615</v>
      </c>
      <c r="IEP3" t="s">
        <v>6616</v>
      </c>
      <c r="IEQ3" t="s">
        <v>6617</v>
      </c>
      <c r="IER3" t="s">
        <v>6618</v>
      </c>
      <c r="IES3" t="s">
        <v>6619</v>
      </c>
      <c r="IET3" t="s">
        <v>6620</v>
      </c>
      <c r="IEU3" t="s">
        <v>6621</v>
      </c>
      <c r="IEV3" t="s">
        <v>6622</v>
      </c>
      <c r="IEW3" t="s">
        <v>6623</v>
      </c>
      <c r="IEX3" t="s">
        <v>6624</v>
      </c>
      <c r="IEY3" t="s">
        <v>6625</v>
      </c>
      <c r="IEZ3" t="s">
        <v>6626</v>
      </c>
      <c r="IFA3" t="s">
        <v>6627</v>
      </c>
      <c r="IFB3" t="s">
        <v>6628</v>
      </c>
      <c r="IFC3" t="s">
        <v>6629</v>
      </c>
      <c r="IFD3" t="s">
        <v>6630</v>
      </c>
      <c r="IFE3" t="s">
        <v>6631</v>
      </c>
      <c r="IFF3" t="s">
        <v>6632</v>
      </c>
      <c r="IFG3" t="s">
        <v>6633</v>
      </c>
      <c r="IFH3" t="s">
        <v>6634</v>
      </c>
      <c r="IFI3" t="s">
        <v>6635</v>
      </c>
      <c r="IFJ3" t="s">
        <v>6636</v>
      </c>
      <c r="IFK3" t="s">
        <v>6637</v>
      </c>
      <c r="IFL3" t="s">
        <v>6638</v>
      </c>
      <c r="IFM3" t="s">
        <v>6639</v>
      </c>
      <c r="IFN3" t="s">
        <v>6640</v>
      </c>
      <c r="IFO3" t="s">
        <v>6641</v>
      </c>
      <c r="IFP3" t="s">
        <v>6642</v>
      </c>
      <c r="IFQ3" t="s">
        <v>6643</v>
      </c>
      <c r="IFR3" t="s">
        <v>6644</v>
      </c>
      <c r="IFS3" t="s">
        <v>6645</v>
      </c>
      <c r="IFT3" t="s">
        <v>6646</v>
      </c>
      <c r="IFU3" t="s">
        <v>6647</v>
      </c>
      <c r="IFV3" t="s">
        <v>6648</v>
      </c>
      <c r="IFW3" t="s">
        <v>6649</v>
      </c>
      <c r="IFX3" t="s">
        <v>6650</v>
      </c>
      <c r="IFY3" t="s">
        <v>6651</v>
      </c>
      <c r="IFZ3" t="s">
        <v>6652</v>
      </c>
      <c r="IGA3" t="s">
        <v>6653</v>
      </c>
      <c r="IGB3" t="s">
        <v>6654</v>
      </c>
      <c r="IGC3" t="s">
        <v>6655</v>
      </c>
      <c r="IGD3" t="s">
        <v>6656</v>
      </c>
      <c r="IGE3" t="s">
        <v>6657</v>
      </c>
      <c r="IGF3" t="s">
        <v>6658</v>
      </c>
      <c r="IGG3" t="s">
        <v>6659</v>
      </c>
      <c r="IGH3" t="s">
        <v>6660</v>
      </c>
      <c r="IGI3" t="s">
        <v>6661</v>
      </c>
      <c r="IGJ3" t="s">
        <v>6662</v>
      </c>
      <c r="IGK3" t="s">
        <v>6663</v>
      </c>
      <c r="IGL3" t="s">
        <v>6664</v>
      </c>
      <c r="IGM3" t="s">
        <v>6665</v>
      </c>
      <c r="IGN3" t="s">
        <v>6666</v>
      </c>
      <c r="IGO3" t="s">
        <v>6667</v>
      </c>
      <c r="IGP3" t="s">
        <v>6668</v>
      </c>
      <c r="IGQ3" t="s">
        <v>6669</v>
      </c>
      <c r="IGR3" t="s">
        <v>6670</v>
      </c>
      <c r="IGS3" t="s">
        <v>6671</v>
      </c>
      <c r="IGT3" t="s">
        <v>6672</v>
      </c>
      <c r="IGU3" t="s">
        <v>6673</v>
      </c>
      <c r="IGV3" t="s">
        <v>6674</v>
      </c>
      <c r="IGW3" t="s">
        <v>6675</v>
      </c>
      <c r="IGX3" t="s">
        <v>6676</v>
      </c>
      <c r="IGY3" t="s">
        <v>6677</v>
      </c>
      <c r="IGZ3" t="s">
        <v>6678</v>
      </c>
      <c r="IHA3" t="s">
        <v>6679</v>
      </c>
      <c r="IHB3" t="s">
        <v>6680</v>
      </c>
      <c r="IHC3" t="s">
        <v>6681</v>
      </c>
      <c r="IHD3" t="s">
        <v>6682</v>
      </c>
      <c r="IHE3" t="s">
        <v>6683</v>
      </c>
      <c r="IHF3" t="s">
        <v>6684</v>
      </c>
      <c r="IHG3" t="s">
        <v>6685</v>
      </c>
      <c r="IHH3" t="s">
        <v>6686</v>
      </c>
      <c r="IHI3" t="s">
        <v>6687</v>
      </c>
      <c r="IHJ3" t="s">
        <v>6688</v>
      </c>
      <c r="IHK3" t="s">
        <v>6689</v>
      </c>
      <c r="IHL3" t="s">
        <v>6690</v>
      </c>
      <c r="IHM3" t="s">
        <v>6691</v>
      </c>
      <c r="IHN3" t="s">
        <v>6692</v>
      </c>
      <c r="IHO3" t="s">
        <v>6693</v>
      </c>
      <c r="IHP3" t="s">
        <v>6694</v>
      </c>
      <c r="IHQ3" t="s">
        <v>6695</v>
      </c>
      <c r="IHR3" t="s">
        <v>6696</v>
      </c>
      <c r="IHS3" t="s">
        <v>6697</v>
      </c>
      <c r="IHT3" t="s">
        <v>6698</v>
      </c>
      <c r="IHU3" t="s">
        <v>6699</v>
      </c>
      <c r="IHV3" t="s">
        <v>6700</v>
      </c>
      <c r="IHW3" t="s">
        <v>6701</v>
      </c>
      <c r="IHX3" t="s">
        <v>6702</v>
      </c>
      <c r="IHY3" t="s">
        <v>6703</v>
      </c>
      <c r="IHZ3" t="s">
        <v>6704</v>
      </c>
      <c r="IIA3" t="s">
        <v>6705</v>
      </c>
      <c r="IIB3" t="s">
        <v>6706</v>
      </c>
      <c r="IIC3" t="s">
        <v>6707</v>
      </c>
      <c r="IID3" t="s">
        <v>6708</v>
      </c>
      <c r="IIE3" t="s">
        <v>6709</v>
      </c>
      <c r="IIF3" t="s">
        <v>6710</v>
      </c>
      <c r="IIG3" t="s">
        <v>6711</v>
      </c>
      <c r="IIH3" t="s">
        <v>6712</v>
      </c>
      <c r="III3" t="s">
        <v>6713</v>
      </c>
      <c r="IIJ3" t="s">
        <v>6714</v>
      </c>
      <c r="IIK3" t="s">
        <v>6715</v>
      </c>
      <c r="IIL3" t="s">
        <v>6716</v>
      </c>
      <c r="IIM3" t="s">
        <v>6717</v>
      </c>
      <c r="IIN3" t="s">
        <v>6718</v>
      </c>
      <c r="IIO3" t="s">
        <v>6719</v>
      </c>
      <c r="IIP3" t="s">
        <v>6720</v>
      </c>
      <c r="IIQ3" t="s">
        <v>6721</v>
      </c>
      <c r="IIR3" t="s">
        <v>6722</v>
      </c>
      <c r="IIS3" t="s">
        <v>6723</v>
      </c>
      <c r="IIT3" t="s">
        <v>6724</v>
      </c>
      <c r="IIU3" t="s">
        <v>6725</v>
      </c>
      <c r="IIV3" t="s">
        <v>6726</v>
      </c>
      <c r="IIW3" t="s">
        <v>6727</v>
      </c>
      <c r="IIX3" t="s">
        <v>6728</v>
      </c>
      <c r="IIY3" t="s">
        <v>6729</v>
      </c>
      <c r="IIZ3" t="s">
        <v>6730</v>
      </c>
      <c r="IJA3" t="s">
        <v>6731</v>
      </c>
      <c r="IJB3" t="s">
        <v>6732</v>
      </c>
      <c r="IJC3" t="s">
        <v>6733</v>
      </c>
      <c r="IJD3" t="s">
        <v>6734</v>
      </c>
      <c r="IJE3" t="s">
        <v>6735</v>
      </c>
      <c r="IJF3" t="s">
        <v>6736</v>
      </c>
      <c r="IJG3" t="s">
        <v>6737</v>
      </c>
      <c r="IJH3" t="s">
        <v>6738</v>
      </c>
      <c r="IJI3" t="s">
        <v>6739</v>
      </c>
      <c r="IJJ3" t="s">
        <v>6740</v>
      </c>
      <c r="IJK3" t="s">
        <v>6741</v>
      </c>
      <c r="IJL3" t="s">
        <v>6742</v>
      </c>
      <c r="IJM3" t="s">
        <v>6743</v>
      </c>
      <c r="IJN3" t="s">
        <v>6744</v>
      </c>
      <c r="IJO3" t="s">
        <v>6745</v>
      </c>
      <c r="IJP3" t="s">
        <v>6746</v>
      </c>
      <c r="IJQ3" t="s">
        <v>6747</v>
      </c>
      <c r="IJR3" t="s">
        <v>6748</v>
      </c>
      <c r="IJS3" t="s">
        <v>6749</v>
      </c>
      <c r="IJT3" t="s">
        <v>6750</v>
      </c>
      <c r="IJU3" t="s">
        <v>6751</v>
      </c>
      <c r="IJV3" t="s">
        <v>6752</v>
      </c>
      <c r="IJW3" t="s">
        <v>6753</v>
      </c>
      <c r="IJX3" t="s">
        <v>6754</v>
      </c>
      <c r="IJY3" t="s">
        <v>6755</v>
      </c>
      <c r="IJZ3" t="s">
        <v>6756</v>
      </c>
      <c r="IKA3" t="s">
        <v>6757</v>
      </c>
      <c r="IKB3" t="s">
        <v>6758</v>
      </c>
      <c r="IKC3" t="s">
        <v>6759</v>
      </c>
      <c r="IKD3" t="s">
        <v>6760</v>
      </c>
      <c r="IKE3" t="s">
        <v>6761</v>
      </c>
      <c r="IKF3" t="s">
        <v>6762</v>
      </c>
      <c r="IKG3" t="s">
        <v>6763</v>
      </c>
      <c r="IKH3" t="s">
        <v>6764</v>
      </c>
      <c r="IKI3" t="s">
        <v>6765</v>
      </c>
      <c r="IKJ3" t="s">
        <v>6766</v>
      </c>
      <c r="IKK3" t="s">
        <v>6767</v>
      </c>
      <c r="IKL3" t="s">
        <v>6768</v>
      </c>
      <c r="IKM3" t="s">
        <v>6769</v>
      </c>
      <c r="IKN3" t="s">
        <v>6770</v>
      </c>
      <c r="IKO3" t="s">
        <v>6771</v>
      </c>
      <c r="IKP3" t="s">
        <v>6772</v>
      </c>
      <c r="IKQ3" t="s">
        <v>6773</v>
      </c>
      <c r="IKR3" t="s">
        <v>6774</v>
      </c>
      <c r="IKS3" t="s">
        <v>6775</v>
      </c>
      <c r="IKT3" t="s">
        <v>6776</v>
      </c>
      <c r="IKU3" t="s">
        <v>6777</v>
      </c>
      <c r="IKV3" t="s">
        <v>6778</v>
      </c>
      <c r="IKW3" t="s">
        <v>6779</v>
      </c>
      <c r="IKX3" t="s">
        <v>6780</v>
      </c>
      <c r="IKY3" t="s">
        <v>6781</v>
      </c>
      <c r="IKZ3" t="s">
        <v>6782</v>
      </c>
      <c r="ILA3" t="s">
        <v>6783</v>
      </c>
      <c r="ILB3" t="s">
        <v>6784</v>
      </c>
      <c r="ILC3" t="s">
        <v>6785</v>
      </c>
      <c r="ILD3" t="s">
        <v>6786</v>
      </c>
      <c r="ILE3" t="s">
        <v>6787</v>
      </c>
      <c r="ILF3" t="s">
        <v>6788</v>
      </c>
      <c r="ILG3" t="s">
        <v>6789</v>
      </c>
      <c r="ILH3" t="s">
        <v>6790</v>
      </c>
      <c r="ILI3" t="s">
        <v>6791</v>
      </c>
      <c r="ILJ3" t="s">
        <v>6792</v>
      </c>
      <c r="ILK3" t="s">
        <v>6793</v>
      </c>
      <c r="ILL3" t="s">
        <v>6794</v>
      </c>
      <c r="ILM3" t="s">
        <v>6795</v>
      </c>
      <c r="ILN3" t="s">
        <v>6796</v>
      </c>
      <c r="ILO3" t="s">
        <v>6797</v>
      </c>
      <c r="ILP3" t="s">
        <v>6798</v>
      </c>
      <c r="ILQ3" t="s">
        <v>6799</v>
      </c>
      <c r="ILR3" t="s">
        <v>6800</v>
      </c>
      <c r="ILS3" t="s">
        <v>6801</v>
      </c>
      <c r="ILT3" t="s">
        <v>6802</v>
      </c>
      <c r="ILU3" t="s">
        <v>6803</v>
      </c>
      <c r="ILV3" t="s">
        <v>6804</v>
      </c>
      <c r="ILW3" t="s">
        <v>6805</v>
      </c>
      <c r="ILX3" t="s">
        <v>6806</v>
      </c>
      <c r="ILY3" t="s">
        <v>6807</v>
      </c>
      <c r="ILZ3" t="s">
        <v>6808</v>
      </c>
      <c r="IMA3" t="s">
        <v>6809</v>
      </c>
      <c r="IMB3" t="s">
        <v>6810</v>
      </c>
      <c r="IMC3" t="s">
        <v>6811</v>
      </c>
      <c r="IMD3" t="s">
        <v>6812</v>
      </c>
      <c r="IME3" t="s">
        <v>6813</v>
      </c>
      <c r="IMF3" t="s">
        <v>6814</v>
      </c>
      <c r="IMG3" t="s">
        <v>6815</v>
      </c>
      <c r="IMH3" t="s">
        <v>6816</v>
      </c>
      <c r="IMI3" t="s">
        <v>6817</v>
      </c>
      <c r="IMJ3" t="s">
        <v>6818</v>
      </c>
      <c r="IMK3" t="s">
        <v>6819</v>
      </c>
      <c r="IML3" t="s">
        <v>6820</v>
      </c>
      <c r="IMM3" t="s">
        <v>6821</v>
      </c>
      <c r="IMN3" t="s">
        <v>6822</v>
      </c>
      <c r="IMO3" t="s">
        <v>6823</v>
      </c>
      <c r="IMP3" t="s">
        <v>6824</v>
      </c>
      <c r="IMQ3" t="s">
        <v>6825</v>
      </c>
      <c r="IMR3" t="s">
        <v>6826</v>
      </c>
      <c r="IMS3" t="s">
        <v>6827</v>
      </c>
      <c r="IMT3" t="s">
        <v>6828</v>
      </c>
      <c r="IMU3" t="s">
        <v>6829</v>
      </c>
      <c r="IMV3" t="s">
        <v>6830</v>
      </c>
      <c r="IMW3" t="s">
        <v>6831</v>
      </c>
      <c r="IMX3" t="s">
        <v>6832</v>
      </c>
      <c r="IMY3" t="s">
        <v>6833</v>
      </c>
      <c r="IMZ3" t="s">
        <v>6834</v>
      </c>
      <c r="INA3" t="s">
        <v>6835</v>
      </c>
      <c r="INB3" t="s">
        <v>6836</v>
      </c>
      <c r="INC3" t="s">
        <v>6837</v>
      </c>
      <c r="IND3" t="s">
        <v>6838</v>
      </c>
      <c r="INE3" t="s">
        <v>6839</v>
      </c>
      <c r="INF3" t="s">
        <v>6840</v>
      </c>
      <c r="ING3" t="s">
        <v>6841</v>
      </c>
      <c r="INH3" t="s">
        <v>6842</v>
      </c>
      <c r="INI3" t="s">
        <v>6843</v>
      </c>
      <c r="INJ3" t="s">
        <v>6844</v>
      </c>
      <c r="INK3" t="s">
        <v>6845</v>
      </c>
      <c r="INL3" t="s">
        <v>6846</v>
      </c>
      <c r="INM3" t="s">
        <v>6847</v>
      </c>
      <c r="INN3" t="s">
        <v>6848</v>
      </c>
      <c r="INO3" t="s">
        <v>6849</v>
      </c>
      <c r="INP3" t="s">
        <v>6850</v>
      </c>
      <c r="INQ3" t="s">
        <v>6851</v>
      </c>
      <c r="INR3" t="s">
        <v>6852</v>
      </c>
      <c r="INS3" t="s">
        <v>6853</v>
      </c>
      <c r="INT3" t="s">
        <v>6854</v>
      </c>
      <c r="INU3" t="s">
        <v>6855</v>
      </c>
      <c r="INV3" t="s">
        <v>6856</v>
      </c>
      <c r="INW3" t="s">
        <v>6857</v>
      </c>
      <c r="INX3" t="s">
        <v>6858</v>
      </c>
      <c r="INY3" t="s">
        <v>6859</v>
      </c>
      <c r="INZ3" t="s">
        <v>6860</v>
      </c>
      <c r="IOA3" t="s">
        <v>6861</v>
      </c>
      <c r="IOB3" t="s">
        <v>6862</v>
      </c>
      <c r="IOC3" t="s">
        <v>6863</v>
      </c>
      <c r="IOD3" t="s">
        <v>6864</v>
      </c>
      <c r="IOE3" t="s">
        <v>6865</v>
      </c>
      <c r="IOF3" t="s">
        <v>6866</v>
      </c>
      <c r="IOG3" t="s">
        <v>6867</v>
      </c>
      <c r="IOH3" t="s">
        <v>6868</v>
      </c>
      <c r="IOI3" t="s">
        <v>6869</v>
      </c>
      <c r="IOJ3" t="s">
        <v>6870</v>
      </c>
      <c r="IOK3" t="s">
        <v>6871</v>
      </c>
      <c r="IOL3" t="s">
        <v>6872</v>
      </c>
      <c r="IOM3" t="s">
        <v>6873</v>
      </c>
      <c r="ION3" t="s">
        <v>6874</v>
      </c>
      <c r="IOO3" t="s">
        <v>6875</v>
      </c>
      <c r="IOP3" t="s">
        <v>6876</v>
      </c>
      <c r="IOQ3" t="s">
        <v>6877</v>
      </c>
      <c r="IOR3" t="s">
        <v>6878</v>
      </c>
      <c r="IOS3" t="s">
        <v>6879</v>
      </c>
      <c r="IOT3" t="s">
        <v>6880</v>
      </c>
      <c r="IOU3" t="s">
        <v>6881</v>
      </c>
      <c r="IOV3" t="s">
        <v>6882</v>
      </c>
      <c r="IOW3" t="s">
        <v>6883</v>
      </c>
      <c r="IOX3" t="s">
        <v>6884</v>
      </c>
      <c r="IOY3" t="s">
        <v>6885</v>
      </c>
      <c r="IOZ3" t="s">
        <v>6886</v>
      </c>
      <c r="IPA3" t="s">
        <v>6887</v>
      </c>
      <c r="IPB3" t="s">
        <v>6888</v>
      </c>
      <c r="IPC3" t="s">
        <v>6889</v>
      </c>
      <c r="IPD3" t="s">
        <v>6890</v>
      </c>
      <c r="IPE3" t="s">
        <v>6891</v>
      </c>
      <c r="IPF3" t="s">
        <v>6892</v>
      </c>
      <c r="IPG3" t="s">
        <v>6893</v>
      </c>
      <c r="IPH3" t="s">
        <v>6894</v>
      </c>
      <c r="IPI3" t="s">
        <v>6895</v>
      </c>
      <c r="IPJ3" t="s">
        <v>6896</v>
      </c>
      <c r="IPK3" t="s">
        <v>6897</v>
      </c>
      <c r="IPL3" t="s">
        <v>6898</v>
      </c>
      <c r="IPM3" t="s">
        <v>6899</v>
      </c>
      <c r="IPN3" t="s">
        <v>6900</v>
      </c>
      <c r="IPO3" t="s">
        <v>6901</v>
      </c>
      <c r="IPP3" t="s">
        <v>6902</v>
      </c>
      <c r="IPQ3" t="s">
        <v>6903</v>
      </c>
      <c r="IPR3" t="s">
        <v>6904</v>
      </c>
      <c r="IPS3" t="s">
        <v>6905</v>
      </c>
      <c r="IPT3" t="s">
        <v>6906</v>
      </c>
      <c r="IPU3" t="s">
        <v>6907</v>
      </c>
      <c r="IPV3" t="s">
        <v>6908</v>
      </c>
      <c r="IPW3" t="s">
        <v>6909</v>
      </c>
      <c r="IPX3" t="s">
        <v>6910</v>
      </c>
      <c r="IPY3" t="s">
        <v>6911</v>
      </c>
      <c r="IPZ3" t="s">
        <v>6912</v>
      </c>
      <c r="IQA3" t="s">
        <v>6913</v>
      </c>
      <c r="IQB3" t="s">
        <v>6914</v>
      </c>
      <c r="IQC3" t="s">
        <v>6915</v>
      </c>
      <c r="IQD3" t="s">
        <v>6916</v>
      </c>
      <c r="IQE3" t="s">
        <v>6917</v>
      </c>
      <c r="IQF3" t="s">
        <v>6918</v>
      </c>
      <c r="IQG3" t="s">
        <v>6919</v>
      </c>
      <c r="IQH3" t="s">
        <v>6920</v>
      </c>
      <c r="IQI3" t="s">
        <v>6921</v>
      </c>
      <c r="IQJ3" t="s">
        <v>6922</v>
      </c>
      <c r="IQK3" t="s">
        <v>6923</v>
      </c>
      <c r="IQL3" t="s">
        <v>6924</v>
      </c>
      <c r="IQM3" t="s">
        <v>6925</v>
      </c>
      <c r="IQN3" t="s">
        <v>6926</v>
      </c>
      <c r="IQO3" t="s">
        <v>6927</v>
      </c>
      <c r="IQP3" t="s">
        <v>6928</v>
      </c>
      <c r="IQQ3" t="s">
        <v>6929</v>
      </c>
      <c r="IQR3" t="s">
        <v>6930</v>
      </c>
      <c r="IQS3" t="s">
        <v>6931</v>
      </c>
      <c r="IQT3" t="s">
        <v>6932</v>
      </c>
      <c r="IQU3" t="s">
        <v>6933</v>
      </c>
      <c r="IQV3" t="s">
        <v>6934</v>
      </c>
      <c r="IQW3" t="s">
        <v>6935</v>
      </c>
      <c r="IQX3" t="s">
        <v>6936</v>
      </c>
      <c r="IQY3" t="s">
        <v>6937</v>
      </c>
      <c r="IQZ3" t="s">
        <v>6938</v>
      </c>
      <c r="IRA3" t="s">
        <v>6939</v>
      </c>
      <c r="IRB3" t="s">
        <v>6940</v>
      </c>
      <c r="IRC3" t="s">
        <v>6941</v>
      </c>
      <c r="IRD3" t="s">
        <v>6942</v>
      </c>
      <c r="IRE3" t="s">
        <v>6943</v>
      </c>
      <c r="IRF3" t="s">
        <v>6944</v>
      </c>
      <c r="IRG3" t="s">
        <v>6945</v>
      </c>
      <c r="IRH3" t="s">
        <v>6946</v>
      </c>
      <c r="IRI3" t="s">
        <v>6947</v>
      </c>
      <c r="IRJ3" t="s">
        <v>6948</v>
      </c>
      <c r="IRK3" t="s">
        <v>6949</v>
      </c>
      <c r="IRL3" t="s">
        <v>6950</v>
      </c>
      <c r="IRM3" t="s">
        <v>6951</v>
      </c>
      <c r="IRN3" t="s">
        <v>6952</v>
      </c>
      <c r="IRO3" t="s">
        <v>6953</v>
      </c>
      <c r="IRP3" t="s">
        <v>6954</v>
      </c>
      <c r="IRQ3" t="s">
        <v>6955</v>
      </c>
      <c r="IRR3" t="s">
        <v>6956</v>
      </c>
      <c r="IRS3" t="s">
        <v>6957</v>
      </c>
      <c r="IRT3" t="s">
        <v>6958</v>
      </c>
      <c r="IRU3" t="s">
        <v>6959</v>
      </c>
      <c r="IRV3" t="s">
        <v>6960</v>
      </c>
      <c r="IRW3" t="s">
        <v>6961</v>
      </c>
      <c r="IRX3" t="s">
        <v>6962</v>
      </c>
      <c r="IRY3" t="s">
        <v>6963</v>
      </c>
      <c r="IRZ3" t="s">
        <v>6964</v>
      </c>
      <c r="ISA3" t="s">
        <v>6965</v>
      </c>
      <c r="ISB3" t="s">
        <v>6966</v>
      </c>
      <c r="ISC3" t="s">
        <v>6967</v>
      </c>
      <c r="ISD3" t="s">
        <v>6968</v>
      </c>
      <c r="ISE3" t="s">
        <v>6969</v>
      </c>
      <c r="ISF3" t="s">
        <v>6970</v>
      </c>
      <c r="ISG3" t="s">
        <v>6971</v>
      </c>
      <c r="ISH3" t="s">
        <v>6972</v>
      </c>
      <c r="ISI3" t="s">
        <v>6973</v>
      </c>
      <c r="ISJ3" t="s">
        <v>6974</v>
      </c>
      <c r="ISK3" t="s">
        <v>6975</v>
      </c>
      <c r="ISL3" t="s">
        <v>6976</v>
      </c>
      <c r="ISM3" t="s">
        <v>6977</v>
      </c>
      <c r="ISN3" t="s">
        <v>6978</v>
      </c>
      <c r="ISO3" t="s">
        <v>6979</v>
      </c>
      <c r="ISP3" t="s">
        <v>6980</v>
      </c>
      <c r="ISQ3" t="s">
        <v>6981</v>
      </c>
      <c r="ISR3" t="s">
        <v>6982</v>
      </c>
      <c r="ISS3" t="s">
        <v>6983</v>
      </c>
      <c r="IST3" t="s">
        <v>6984</v>
      </c>
      <c r="ISU3" t="s">
        <v>6985</v>
      </c>
      <c r="ISV3" t="s">
        <v>6986</v>
      </c>
      <c r="ISW3" t="s">
        <v>6987</v>
      </c>
      <c r="ISX3" t="s">
        <v>6988</v>
      </c>
      <c r="ISY3" t="s">
        <v>6989</v>
      </c>
      <c r="ISZ3" t="s">
        <v>6990</v>
      </c>
      <c r="ITA3" t="s">
        <v>6991</v>
      </c>
      <c r="ITB3" t="s">
        <v>6992</v>
      </c>
      <c r="ITC3" t="s">
        <v>6993</v>
      </c>
      <c r="ITD3" t="s">
        <v>6994</v>
      </c>
      <c r="ITE3" t="s">
        <v>6995</v>
      </c>
      <c r="ITF3" t="s">
        <v>6996</v>
      </c>
      <c r="ITG3" t="s">
        <v>6997</v>
      </c>
      <c r="ITH3" t="s">
        <v>6998</v>
      </c>
      <c r="ITI3" t="s">
        <v>6999</v>
      </c>
      <c r="ITJ3" t="s">
        <v>7000</v>
      </c>
      <c r="ITK3" t="s">
        <v>7001</v>
      </c>
      <c r="ITL3" t="s">
        <v>7002</v>
      </c>
      <c r="ITM3" t="s">
        <v>7003</v>
      </c>
      <c r="ITN3" t="s">
        <v>7004</v>
      </c>
      <c r="ITO3" t="s">
        <v>7005</v>
      </c>
      <c r="ITP3" t="s">
        <v>7006</v>
      </c>
      <c r="ITQ3" t="s">
        <v>7007</v>
      </c>
      <c r="ITR3" t="s">
        <v>7008</v>
      </c>
      <c r="ITS3" t="s">
        <v>7009</v>
      </c>
      <c r="ITT3" t="s">
        <v>7010</v>
      </c>
      <c r="ITU3" t="s">
        <v>7011</v>
      </c>
      <c r="ITV3" t="s">
        <v>7012</v>
      </c>
      <c r="ITW3" t="s">
        <v>7013</v>
      </c>
      <c r="ITX3" t="s">
        <v>7014</v>
      </c>
      <c r="ITY3" t="s">
        <v>7015</v>
      </c>
      <c r="ITZ3" t="s">
        <v>7016</v>
      </c>
      <c r="IUA3" t="s">
        <v>7017</v>
      </c>
      <c r="IUB3" t="s">
        <v>7018</v>
      </c>
      <c r="IUC3" t="s">
        <v>7019</v>
      </c>
      <c r="IUD3" t="s">
        <v>7020</v>
      </c>
      <c r="IUE3" t="s">
        <v>7021</v>
      </c>
      <c r="IUF3" t="s">
        <v>7022</v>
      </c>
      <c r="IUG3" t="s">
        <v>7023</v>
      </c>
      <c r="IUH3" t="s">
        <v>7024</v>
      </c>
      <c r="IUI3" t="s">
        <v>7025</v>
      </c>
      <c r="IUJ3" t="s">
        <v>7026</v>
      </c>
      <c r="IUK3" t="s">
        <v>7027</v>
      </c>
      <c r="IUL3" t="s">
        <v>7028</v>
      </c>
      <c r="IUM3" t="s">
        <v>7029</v>
      </c>
      <c r="IUN3" t="s">
        <v>7030</v>
      </c>
      <c r="IUO3" t="s">
        <v>7031</v>
      </c>
      <c r="IUP3" t="s">
        <v>7032</v>
      </c>
      <c r="IUQ3" t="s">
        <v>7033</v>
      </c>
      <c r="IUR3" t="s">
        <v>7034</v>
      </c>
      <c r="IUS3" t="s">
        <v>7035</v>
      </c>
      <c r="IUT3" t="s">
        <v>7036</v>
      </c>
      <c r="IUU3" t="s">
        <v>7037</v>
      </c>
      <c r="IUV3" t="s">
        <v>7038</v>
      </c>
      <c r="IUW3" t="s">
        <v>7039</v>
      </c>
      <c r="IUX3" t="s">
        <v>7040</v>
      </c>
      <c r="IUY3" t="s">
        <v>7041</v>
      </c>
      <c r="IUZ3" t="s">
        <v>7042</v>
      </c>
      <c r="IVA3" t="s">
        <v>7043</v>
      </c>
      <c r="IVB3" t="s">
        <v>7044</v>
      </c>
      <c r="IVC3" t="s">
        <v>7045</v>
      </c>
      <c r="IVD3" t="s">
        <v>7046</v>
      </c>
      <c r="IVE3" t="s">
        <v>7047</v>
      </c>
      <c r="IVF3" t="s">
        <v>7048</v>
      </c>
      <c r="IVG3" t="s">
        <v>7049</v>
      </c>
      <c r="IVH3" t="s">
        <v>7050</v>
      </c>
      <c r="IVI3" t="s">
        <v>7051</v>
      </c>
      <c r="IVJ3" t="s">
        <v>7052</v>
      </c>
      <c r="IVK3" t="s">
        <v>7053</v>
      </c>
      <c r="IVL3" t="s">
        <v>7054</v>
      </c>
      <c r="IVM3" t="s">
        <v>7055</v>
      </c>
      <c r="IVN3" t="s">
        <v>7056</v>
      </c>
      <c r="IVO3" t="s">
        <v>7057</v>
      </c>
      <c r="IVP3" t="s">
        <v>7058</v>
      </c>
      <c r="IVQ3" t="s">
        <v>7059</v>
      </c>
      <c r="IVR3" t="s">
        <v>7060</v>
      </c>
      <c r="IVS3" t="s">
        <v>7061</v>
      </c>
      <c r="IVT3" t="s">
        <v>7062</v>
      </c>
      <c r="IVU3" t="s">
        <v>7063</v>
      </c>
      <c r="IVV3" t="s">
        <v>7064</v>
      </c>
      <c r="IVW3" t="s">
        <v>7065</v>
      </c>
      <c r="IVX3" t="s">
        <v>7066</v>
      </c>
      <c r="IVY3" t="s">
        <v>7067</v>
      </c>
      <c r="IVZ3" t="s">
        <v>7068</v>
      </c>
      <c r="IWA3" t="s">
        <v>7069</v>
      </c>
      <c r="IWB3" t="s">
        <v>7070</v>
      </c>
      <c r="IWC3" t="s">
        <v>7071</v>
      </c>
      <c r="IWD3" t="s">
        <v>7072</v>
      </c>
      <c r="IWE3" t="s">
        <v>7073</v>
      </c>
      <c r="IWF3" t="s">
        <v>7074</v>
      </c>
      <c r="IWG3" t="s">
        <v>7075</v>
      </c>
      <c r="IWH3" t="s">
        <v>7076</v>
      </c>
      <c r="IWI3" t="s">
        <v>7077</v>
      </c>
      <c r="IWJ3" t="s">
        <v>7078</v>
      </c>
      <c r="IWK3" t="s">
        <v>7079</v>
      </c>
      <c r="IWL3" t="s">
        <v>7080</v>
      </c>
      <c r="IWM3" t="s">
        <v>7081</v>
      </c>
      <c r="IWN3" t="s">
        <v>7082</v>
      </c>
      <c r="IWO3" t="s">
        <v>7083</v>
      </c>
      <c r="IWP3" t="s">
        <v>7084</v>
      </c>
      <c r="IWQ3" t="s">
        <v>7085</v>
      </c>
      <c r="IWR3" t="s">
        <v>7086</v>
      </c>
      <c r="IWS3" t="s">
        <v>7087</v>
      </c>
      <c r="IWT3" t="s">
        <v>7088</v>
      </c>
      <c r="IWU3" t="s">
        <v>7089</v>
      </c>
      <c r="IWV3" t="s">
        <v>7090</v>
      </c>
      <c r="IWW3" t="s">
        <v>7091</v>
      </c>
      <c r="IWX3" t="s">
        <v>7092</v>
      </c>
      <c r="IWY3" t="s">
        <v>7093</v>
      </c>
      <c r="IWZ3" t="s">
        <v>7094</v>
      </c>
      <c r="IXA3" t="s">
        <v>7095</v>
      </c>
      <c r="IXB3" t="s">
        <v>7096</v>
      </c>
      <c r="IXC3" t="s">
        <v>7097</v>
      </c>
      <c r="IXD3" t="s">
        <v>7098</v>
      </c>
      <c r="IXE3" t="s">
        <v>7099</v>
      </c>
      <c r="IXF3" t="s">
        <v>7100</v>
      </c>
      <c r="IXG3" t="s">
        <v>7101</v>
      </c>
      <c r="IXH3" t="s">
        <v>7102</v>
      </c>
      <c r="IXI3" t="s">
        <v>7103</v>
      </c>
      <c r="IXJ3" t="s">
        <v>7104</v>
      </c>
      <c r="IXK3" t="s">
        <v>7105</v>
      </c>
      <c r="IXL3" t="s">
        <v>7106</v>
      </c>
      <c r="IXM3" t="s">
        <v>7107</v>
      </c>
      <c r="IXN3" t="s">
        <v>7108</v>
      </c>
      <c r="IXO3" t="s">
        <v>7109</v>
      </c>
      <c r="IXP3" t="s">
        <v>7110</v>
      </c>
      <c r="IXQ3" t="s">
        <v>7111</v>
      </c>
      <c r="IXR3" t="s">
        <v>7112</v>
      </c>
      <c r="IXS3" t="s">
        <v>7113</v>
      </c>
      <c r="IXT3" t="s">
        <v>7114</v>
      </c>
      <c r="IXU3" t="s">
        <v>7115</v>
      </c>
      <c r="IXV3" t="s">
        <v>7116</v>
      </c>
      <c r="IXW3" t="s">
        <v>7117</v>
      </c>
      <c r="IXX3" t="s">
        <v>7118</v>
      </c>
      <c r="IXY3" t="s">
        <v>7119</v>
      </c>
      <c r="IXZ3" t="s">
        <v>7120</v>
      </c>
      <c r="IYA3" t="s">
        <v>7121</v>
      </c>
      <c r="IYB3" t="s">
        <v>7122</v>
      </c>
      <c r="IYC3" t="s">
        <v>7123</v>
      </c>
      <c r="IYD3" t="s">
        <v>7124</v>
      </c>
      <c r="IYE3" t="s">
        <v>7125</v>
      </c>
      <c r="IYF3" t="s">
        <v>7126</v>
      </c>
      <c r="IYG3" t="s">
        <v>7127</v>
      </c>
      <c r="IYH3" t="s">
        <v>7128</v>
      </c>
      <c r="IYI3" t="s">
        <v>7129</v>
      </c>
      <c r="IYJ3" t="s">
        <v>7130</v>
      </c>
      <c r="IYK3" t="s">
        <v>7131</v>
      </c>
      <c r="IYL3" t="s">
        <v>7132</v>
      </c>
      <c r="IYM3" t="s">
        <v>7133</v>
      </c>
      <c r="IYN3" t="s">
        <v>7134</v>
      </c>
      <c r="IYO3" t="s">
        <v>7135</v>
      </c>
      <c r="IYP3" t="s">
        <v>7136</v>
      </c>
      <c r="IYQ3" t="s">
        <v>7137</v>
      </c>
      <c r="IYR3" t="s">
        <v>7138</v>
      </c>
      <c r="IYS3" t="s">
        <v>7139</v>
      </c>
      <c r="IYT3" t="s">
        <v>7140</v>
      </c>
      <c r="IYU3" t="s">
        <v>7141</v>
      </c>
      <c r="IYV3" t="s">
        <v>7142</v>
      </c>
      <c r="IYW3" t="s">
        <v>7143</v>
      </c>
      <c r="IYX3" t="s">
        <v>7144</v>
      </c>
      <c r="IYY3" t="s">
        <v>7145</v>
      </c>
      <c r="IYZ3" t="s">
        <v>7146</v>
      </c>
      <c r="IZA3" t="s">
        <v>7147</v>
      </c>
      <c r="IZB3" t="s">
        <v>7148</v>
      </c>
      <c r="IZC3" t="s">
        <v>7149</v>
      </c>
      <c r="IZD3" t="s">
        <v>7150</v>
      </c>
      <c r="IZE3" t="s">
        <v>7151</v>
      </c>
      <c r="IZF3" t="s">
        <v>7152</v>
      </c>
      <c r="IZG3" t="s">
        <v>7153</v>
      </c>
      <c r="IZH3" t="s">
        <v>7154</v>
      </c>
      <c r="IZI3" t="s">
        <v>7155</v>
      </c>
      <c r="IZJ3" t="s">
        <v>7156</v>
      </c>
      <c r="IZK3" t="s">
        <v>7157</v>
      </c>
      <c r="IZL3" t="s">
        <v>7158</v>
      </c>
      <c r="IZM3" t="s">
        <v>7159</v>
      </c>
      <c r="IZN3" t="s">
        <v>7160</v>
      </c>
      <c r="IZO3" t="s">
        <v>7161</v>
      </c>
      <c r="IZP3" t="s">
        <v>7162</v>
      </c>
      <c r="IZQ3" t="s">
        <v>7163</v>
      </c>
      <c r="IZR3" t="s">
        <v>7164</v>
      </c>
      <c r="IZS3" t="s">
        <v>7165</v>
      </c>
      <c r="IZT3" t="s">
        <v>7166</v>
      </c>
      <c r="IZU3" t="s">
        <v>7167</v>
      </c>
      <c r="IZV3" t="s">
        <v>7168</v>
      </c>
      <c r="IZW3" t="s">
        <v>7169</v>
      </c>
      <c r="IZX3" t="s">
        <v>7170</v>
      </c>
      <c r="IZY3" t="s">
        <v>7171</v>
      </c>
      <c r="IZZ3" t="s">
        <v>7172</v>
      </c>
      <c r="JAA3" t="s">
        <v>7173</v>
      </c>
      <c r="JAB3" t="s">
        <v>7174</v>
      </c>
      <c r="JAC3" t="s">
        <v>7175</v>
      </c>
      <c r="JAD3" t="s">
        <v>7176</v>
      </c>
      <c r="JAE3" t="s">
        <v>7177</v>
      </c>
      <c r="JAF3" t="s">
        <v>7178</v>
      </c>
      <c r="JAG3" t="s">
        <v>7179</v>
      </c>
      <c r="JAH3" t="s">
        <v>7180</v>
      </c>
      <c r="JAI3" t="s">
        <v>7181</v>
      </c>
      <c r="JAJ3" t="s">
        <v>7182</v>
      </c>
      <c r="JAK3" t="s">
        <v>7183</v>
      </c>
      <c r="JAL3" t="s">
        <v>7184</v>
      </c>
      <c r="JAM3" t="s">
        <v>7185</v>
      </c>
      <c r="JAN3" t="s">
        <v>7186</v>
      </c>
      <c r="JAO3" t="s">
        <v>7187</v>
      </c>
      <c r="JAP3" t="s">
        <v>7188</v>
      </c>
      <c r="JAQ3" t="s">
        <v>7189</v>
      </c>
      <c r="JAR3" t="s">
        <v>7190</v>
      </c>
      <c r="JAS3" t="s">
        <v>7191</v>
      </c>
      <c r="JAT3" t="s">
        <v>7192</v>
      </c>
      <c r="JAU3" t="s">
        <v>7193</v>
      </c>
      <c r="JAV3" t="s">
        <v>7194</v>
      </c>
      <c r="JAW3" t="s">
        <v>7195</v>
      </c>
      <c r="JAX3" t="s">
        <v>7196</v>
      </c>
      <c r="JAY3" t="s">
        <v>7197</v>
      </c>
      <c r="JAZ3" t="s">
        <v>7198</v>
      </c>
      <c r="JBA3" t="s">
        <v>7199</v>
      </c>
      <c r="JBB3" t="s">
        <v>7200</v>
      </c>
      <c r="JBC3" t="s">
        <v>7201</v>
      </c>
      <c r="JBD3" t="s">
        <v>7202</v>
      </c>
      <c r="JBE3" t="s">
        <v>7203</v>
      </c>
      <c r="JBF3" t="s">
        <v>7204</v>
      </c>
      <c r="JBG3" t="s">
        <v>7205</v>
      </c>
      <c r="JBH3" t="s">
        <v>7206</v>
      </c>
      <c r="JBI3" t="s">
        <v>7207</v>
      </c>
      <c r="JBJ3" t="s">
        <v>7208</v>
      </c>
      <c r="JBK3" t="s">
        <v>7209</v>
      </c>
      <c r="JBL3" t="s">
        <v>7210</v>
      </c>
      <c r="JBM3" t="s">
        <v>7211</v>
      </c>
      <c r="JBN3" t="s">
        <v>7212</v>
      </c>
      <c r="JBO3" t="s">
        <v>7213</v>
      </c>
      <c r="JBP3" t="s">
        <v>7214</v>
      </c>
      <c r="JBQ3" t="s">
        <v>7215</v>
      </c>
      <c r="JBR3" t="s">
        <v>7216</v>
      </c>
      <c r="JBS3" t="s">
        <v>7217</v>
      </c>
      <c r="JBT3" t="s">
        <v>7218</v>
      </c>
      <c r="JBU3" t="s">
        <v>7219</v>
      </c>
      <c r="JBV3" t="s">
        <v>7220</v>
      </c>
      <c r="JBW3" t="s">
        <v>7221</v>
      </c>
      <c r="JBX3" t="s">
        <v>7222</v>
      </c>
      <c r="JBY3" t="s">
        <v>7223</v>
      </c>
      <c r="JBZ3" t="s">
        <v>7224</v>
      </c>
      <c r="JCA3" t="s">
        <v>7225</v>
      </c>
      <c r="JCB3" t="s">
        <v>7226</v>
      </c>
      <c r="JCC3" t="s">
        <v>7227</v>
      </c>
      <c r="JCD3" t="s">
        <v>7228</v>
      </c>
      <c r="JCE3" t="s">
        <v>7229</v>
      </c>
      <c r="JCF3" t="s">
        <v>7230</v>
      </c>
      <c r="JCG3" t="s">
        <v>7231</v>
      </c>
      <c r="JCH3" t="s">
        <v>7232</v>
      </c>
      <c r="JCI3" t="s">
        <v>7233</v>
      </c>
      <c r="JCJ3" t="s">
        <v>7234</v>
      </c>
      <c r="JCK3" t="s">
        <v>7235</v>
      </c>
      <c r="JCL3" t="s">
        <v>7236</v>
      </c>
      <c r="JCM3" t="s">
        <v>7237</v>
      </c>
      <c r="JCN3" t="s">
        <v>7238</v>
      </c>
      <c r="JCO3" t="s">
        <v>7239</v>
      </c>
      <c r="JCP3" t="s">
        <v>7240</v>
      </c>
      <c r="JCQ3" t="s">
        <v>7241</v>
      </c>
      <c r="JCR3" t="s">
        <v>7242</v>
      </c>
      <c r="JCS3" t="s">
        <v>7243</v>
      </c>
      <c r="JCT3" t="s">
        <v>7244</v>
      </c>
      <c r="JCU3" t="s">
        <v>7245</v>
      </c>
      <c r="JCV3" t="s">
        <v>7246</v>
      </c>
      <c r="JCW3" t="s">
        <v>7247</v>
      </c>
      <c r="JCX3" t="s">
        <v>7248</v>
      </c>
      <c r="JCY3" t="s">
        <v>7249</v>
      </c>
      <c r="JCZ3" t="s">
        <v>7250</v>
      </c>
      <c r="JDA3" t="s">
        <v>7251</v>
      </c>
      <c r="JDB3" t="s">
        <v>7252</v>
      </c>
      <c r="JDC3" t="s">
        <v>7253</v>
      </c>
      <c r="JDD3" t="s">
        <v>7254</v>
      </c>
      <c r="JDE3" t="s">
        <v>7255</v>
      </c>
      <c r="JDF3" t="s">
        <v>7256</v>
      </c>
      <c r="JDG3" t="s">
        <v>7257</v>
      </c>
      <c r="JDH3" t="s">
        <v>7258</v>
      </c>
      <c r="JDI3" t="s">
        <v>7259</v>
      </c>
      <c r="JDJ3" t="s">
        <v>7260</v>
      </c>
      <c r="JDK3" t="s">
        <v>7261</v>
      </c>
      <c r="JDL3" t="s">
        <v>7262</v>
      </c>
      <c r="JDM3" t="s">
        <v>7263</v>
      </c>
      <c r="JDN3" t="s">
        <v>7264</v>
      </c>
      <c r="JDO3" t="s">
        <v>7265</v>
      </c>
      <c r="JDP3" t="s">
        <v>7266</v>
      </c>
      <c r="JDQ3" t="s">
        <v>7267</v>
      </c>
      <c r="JDR3" t="s">
        <v>7268</v>
      </c>
      <c r="JDS3" t="s">
        <v>7269</v>
      </c>
      <c r="JDT3" t="s">
        <v>7270</v>
      </c>
      <c r="JDU3" t="s">
        <v>7271</v>
      </c>
      <c r="JDV3" t="s">
        <v>7272</v>
      </c>
      <c r="JDW3" t="s">
        <v>7273</v>
      </c>
      <c r="JDX3" t="s">
        <v>7274</v>
      </c>
      <c r="JDY3" t="s">
        <v>7275</v>
      </c>
      <c r="JDZ3" t="s">
        <v>7276</v>
      </c>
      <c r="JEA3" t="s">
        <v>7277</v>
      </c>
      <c r="JEB3" t="s">
        <v>7278</v>
      </c>
      <c r="JEC3" t="s">
        <v>7279</v>
      </c>
      <c r="JED3" t="s">
        <v>7280</v>
      </c>
      <c r="JEE3" t="s">
        <v>7281</v>
      </c>
      <c r="JEF3" t="s">
        <v>7282</v>
      </c>
      <c r="JEG3" t="s">
        <v>7283</v>
      </c>
      <c r="JEH3" t="s">
        <v>7284</v>
      </c>
      <c r="JEI3" t="s">
        <v>7285</v>
      </c>
      <c r="JEJ3" t="s">
        <v>7286</v>
      </c>
      <c r="JEK3" t="s">
        <v>7287</v>
      </c>
      <c r="JEL3" t="s">
        <v>7288</v>
      </c>
      <c r="JEM3" t="s">
        <v>7289</v>
      </c>
      <c r="JEN3" t="s">
        <v>7290</v>
      </c>
      <c r="JEO3" t="s">
        <v>7291</v>
      </c>
      <c r="JEP3" t="s">
        <v>7292</v>
      </c>
      <c r="JEQ3" t="s">
        <v>7293</v>
      </c>
      <c r="JER3" t="s">
        <v>7294</v>
      </c>
      <c r="JES3" t="s">
        <v>7295</v>
      </c>
      <c r="JET3" t="s">
        <v>7296</v>
      </c>
      <c r="JEU3" t="s">
        <v>7297</v>
      </c>
      <c r="JEV3" t="s">
        <v>7298</v>
      </c>
      <c r="JEW3" t="s">
        <v>7299</v>
      </c>
      <c r="JEX3" t="s">
        <v>7300</v>
      </c>
      <c r="JEY3" t="s">
        <v>7301</v>
      </c>
      <c r="JEZ3" t="s">
        <v>7302</v>
      </c>
      <c r="JFA3" t="s">
        <v>7303</v>
      </c>
      <c r="JFB3" t="s">
        <v>7304</v>
      </c>
      <c r="JFC3" t="s">
        <v>7305</v>
      </c>
      <c r="JFD3" t="s">
        <v>7306</v>
      </c>
      <c r="JFE3" t="s">
        <v>7307</v>
      </c>
      <c r="JFF3" t="s">
        <v>7308</v>
      </c>
      <c r="JFG3" t="s">
        <v>7309</v>
      </c>
      <c r="JFH3" t="s">
        <v>7310</v>
      </c>
      <c r="JFI3" t="s">
        <v>7311</v>
      </c>
      <c r="JFJ3" t="s">
        <v>7312</v>
      </c>
      <c r="JFK3" t="s">
        <v>7313</v>
      </c>
      <c r="JFL3" t="s">
        <v>7314</v>
      </c>
      <c r="JFM3" t="s">
        <v>7315</v>
      </c>
      <c r="JFN3" t="s">
        <v>7316</v>
      </c>
      <c r="JFO3" t="s">
        <v>7317</v>
      </c>
      <c r="JFP3" t="s">
        <v>7318</v>
      </c>
      <c r="JFQ3" t="s">
        <v>7319</v>
      </c>
      <c r="JFR3" t="s">
        <v>7320</v>
      </c>
      <c r="JFS3" t="s">
        <v>7321</v>
      </c>
      <c r="JFT3" t="s">
        <v>7322</v>
      </c>
      <c r="JFU3" t="s">
        <v>7323</v>
      </c>
      <c r="JFV3" t="s">
        <v>7324</v>
      </c>
      <c r="JFW3" t="s">
        <v>7325</v>
      </c>
      <c r="JFX3" t="s">
        <v>7326</v>
      </c>
      <c r="JFY3" t="s">
        <v>7327</v>
      </c>
      <c r="JFZ3" t="s">
        <v>7328</v>
      </c>
      <c r="JGA3" t="s">
        <v>7329</v>
      </c>
      <c r="JGB3" t="s">
        <v>7330</v>
      </c>
      <c r="JGC3" t="s">
        <v>7331</v>
      </c>
      <c r="JGD3" t="s">
        <v>7332</v>
      </c>
      <c r="JGE3" t="s">
        <v>7333</v>
      </c>
      <c r="JGF3" t="s">
        <v>7334</v>
      </c>
      <c r="JGG3" t="s">
        <v>7335</v>
      </c>
      <c r="JGH3" t="s">
        <v>7336</v>
      </c>
      <c r="JGI3" t="s">
        <v>7337</v>
      </c>
      <c r="JGJ3" t="s">
        <v>7338</v>
      </c>
      <c r="JGK3" t="s">
        <v>7339</v>
      </c>
      <c r="JGL3" t="s">
        <v>7340</v>
      </c>
      <c r="JGM3" t="s">
        <v>7341</v>
      </c>
      <c r="JGN3" t="s">
        <v>7342</v>
      </c>
      <c r="JGO3" t="s">
        <v>7343</v>
      </c>
      <c r="JGP3" t="s">
        <v>7344</v>
      </c>
      <c r="JGQ3" t="s">
        <v>7345</v>
      </c>
      <c r="JGR3" t="s">
        <v>7346</v>
      </c>
      <c r="JGS3" t="s">
        <v>7347</v>
      </c>
      <c r="JGT3" t="s">
        <v>7348</v>
      </c>
      <c r="JGU3" t="s">
        <v>7349</v>
      </c>
      <c r="JGV3" t="s">
        <v>7350</v>
      </c>
      <c r="JGW3" t="s">
        <v>7351</v>
      </c>
      <c r="JGX3" t="s">
        <v>7352</v>
      </c>
      <c r="JGY3" t="s">
        <v>7353</v>
      </c>
      <c r="JGZ3" t="s">
        <v>7354</v>
      </c>
      <c r="JHA3" t="s">
        <v>7355</v>
      </c>
      <c r="JHB3" t="s">
        <v>7356</v>
      </c>
      <c r="JHC3" t="s">
        <v>7357</v>
      </c>
      <c r="JHD3" t="s">
        <v>7358</v>
      </c>
      <c r="JHE3" t="s">
        <v>7359</v>
      </c>
      <c r="JHF3" t="s">
        <v>7360</v>
      </c>
      <c r="JHG3" t="s">
        <v>7361</v>
      </c>
      <c r="JHH3" t="s">
        <v>7362</v>
      </c>
      <c r="JHI3" t="s">
        <v>7363</v>
      </c>
      <c r="JHJ3" t="s">
        <v>7364</v>
      </c>
      <c r="JHK3" t="s">
        <v>7365</v>
      </c>
      <c r="JHL3" t="s">
        <v>7366</v>
      </c>
      <c r="JHM3" t="s">
        <v>7367</v>
      </c>
      <c r="JHN3" t="s">
        <v>7368</v>
      </c>
      <c r="JHO3" t="s">
        <v>7369</v>
      </c>
      <c r="JHP3" t="s">
        <v>7370</v>
      </c>
      <c r="JHQ3" t="s">
        <v>7371</v>
      </c>
      <c r="JHR3" t="s">
        <v>7372</v>
      </c>
      <c r="JHS3" t="s">
        <v>7373</v>
      </c>
      <c r="JHT3" t="s">
        <v>7374</v>
      </c>
      <c r="JHU3" t="s">
        <v>7375</v>
      </c>
      <c r="JHV3" t="s">
        <v>7376</v>
      </c>
      <c r="JHW3" t="s">
        <v>7377</v>
      </c>
      <c r="JHX3" t="s">
        <v>7378</v>
      </c>
      <c r="JHY3" t="s">
        <v>7379</v>
      </c>
      <c r="JHZ3" t="s">
        <v>7380</v>
      </c>
      <c r="JIA3" t="s">
        <v>7381</v>
      </c>
      <c r="JIB3" t="s">
        <v>7382</v>
      </c>
      <c r="JIC3" t="s">
        <v>7383</v>
      </c>
      <c r="JID3" t="s">
        <v>7384</v>
      </c>
      <c r="JIE3" t="s">
        <v>7385</v>
      </c>
      <c r="JIF3" t="s">
        <v>7386</v>
      </c>
      <c r="JIG3" t="s">
        <v>7387</v>
      </c>
      <c r="JIH3" t="s">
        <v>7388</v>
      </c>
      <c r="JII3" t="s">
        <v>7389</v>
      </c>
      <c r="JIJ3" t="s">
        <v>7390</v>
      </c>
      <c r="JIK3" t="s">
        <v>7391</v>
      </c>
      <c r="JIL3" t="s">
        <v>7392</v>
      </c>
      <c r="JIM3" t="s">
        <v>7393</v>
      </c>
      <c r="JIN3" t="s">
        <v>7394</v>
      </c>
      <c r="JIO3" t="s">
        <v>7395</v>
      </c>
      <c r="JIP3" t="s">
        <v>7396</v>
      </c>
      <c r="JIQ3" t="s">
        <v>7397</v>
      </c>
      <c r="JIR3" t="s">
        <v>7398</v>
      </c>
      <c r="JIS3" t="s">
        <v>7399</v>
      </c>
      <c r="JIT3" t="s">
        <v>7400</v>
      </c>
      <c r="JIU3" t="s">
        <v>7401</v>
      </c>
      <c r="JIV3" t="s">
        <v>7402</v>
      </c>
      <c r="JIW3" t="s">
        <v>7403</v>
      </c>
      <c r="JIX3" t="s">
        <v>7404</v>
      </c>
      <c r="JIY3" t="s">
        <v>7405</v>
      </c>
      <c r="JIZ3" t="s">
        <v>7406</v>
      </c>
      <c r="JJA3" t="s">
        <v>7407</v>
      </c>
      <c r="JJB3" t="s">
        <v>7408</v>
      </c>
      <c r="JJC3" t="s">
        <v>7409</v>
      </c>
      <c r="JJD3" t="s">
        <v>7410</v>
      </c>
      <c r="JJE3" t="s">
        <v>7411</v>
      </c>
      <c r="JJF3" t="s">
        <v>7412</v>
      </c>
      <c r="JJG3" t="s">
        <v>7413</v>
      </c>
      <c r="JJH3" t="s">
        <v>7414</v>
      </c>
      <c r="JJI3" t="s">
        <v>7415</v>
      </c>
      <c r="JJJ3" t="s">
        <v>7416</v>
      </c>
      <c r="JJK3" t="s">
        <v>7417</v>
      </c>
      <c r="JJL3" t="s">
        <v>7418</v>
      </c>
      <c r="JJM3" t="s">
        <v>7419</v>
      </c>
      <c r="JJN3" t="s">
        <v>7420</v>
      </c>
      <c r="JJO3" t="s">
        <v>7421</v>
      </c>
      <c r="JJP3" t="s">
        <v>7422</v>
      </c>
      <c r="JJQ3" t="s">
        <v>7423</v>
      </c>
      <c r="JJR3" t="s">
        <v>7424</v>
      </c>
      <c r="JJS3" t="s">
        <v>7425</v>
      </c>
      <c r="JJT3" t="s">
        <v>7426</v>
      </c>
      <c r="JJU3" t="s">
        <v>7427</v>
      </c>
      <c r="JJV3" t="s">
        <v>7428</v>
      </c>
      <c r="JJW3" t="s">
        <v>7429</v>
      </c>
      <c r="JJX3" t="s">
        <v>7430</v>
      </c>
      <c r="JJY3" t="s">
        <v>7431</v>
      </c>
      <c r="JJZ3" t="s">
        <v>7432</v>
      </c>
      <c r="JKA3" t="s">
        <v>7433</v>
      </c>
      <c r="JKB3" t="s">
        <v>7434</v>
      </c>
      <c r="JKC3" t="s">
        <v>7435</v>
      </c>
      <c r="JKD3" t="s">
        <v>7436</v>
      </c>
      <c r="JKE3" t="s">
        <v>7437</v>
      </c>
      <c r="JKF3" t="s">
        <v>7438</v>
      </c>
      <c r="JKG3" t="s">
        <v>7439</v>
      </c>
      <c r="JKH3" t="s">
        <v>7440</v>
      </c>
      <c r="JKI3" t="s">
        <v>7441</v>
      </c>
      <c r="JKJ3" t="s">
        <v>7442</v>
      </c>
      <c r="JKK3" t="s">
        <v>7443</v>
      </c>
      <c r="JKL3" t="s">
        <v>7444</v>
      </c>
      <c r="JKM3" t="s">
        <v>7445</v>
      </c>
      <c r="JKN3" t="s">
        <v>7446</v>
      </c>
      <c r="JKO3" t="s">
        <v>7447</v>
      </c>
      <c r="JKP3" t="s">
        <v>7448</v>
      </c>
      <c r="JKQ3" t="s">
        <v>7449</v>
      </c>
      <c r="JKR3" t="s">
        <v>7450</v>
      </c>
      <c r="JKS3" t="s">
        <v>7451</v>
      </c>
      <c r="JKT3" t="s">
        <v>7452</v>
      </c>
      <c r="JKU3" t="s">
        <v>7453</v>
      </c>
      <c r="JKV3" t="s">
        <v>7454</v>
      </c>
      <c r="JKW3" t="s">
        <v>7455</v>
      </c>
      <c r="JKX3" t="s">
        <v>7456</v>
      </c>
      <c r="JKY3" t="s">
        <v>7457</v>
      </c>
      <c r="JKZ3" t="s">
        <v>7458</v>
      </c>
      <c r="JLA3" t="s">
        <v>7459</v>
      </c>
      <c r="JLB3" t="s">
        <v>7460</v>
      </c>
      <c r="JLC3" t="s">
        <v>7461</v>
      </c>
      <c r="JLD3" t="s">
        <v>7462</v>
      </c>
      <c r="JLE3" t="s">
        <v>7463</v>
      </c>
      <c r="JLF3" t="s">
        <v>7464</v>
      </c>
      <c r="JLG3" t="s">
        <v>7465</v>
      </c>
      <c r="JLH3" t="s">
        <v>7466</v>
      </c>
      <c r="JLI3" t="s">
        <v>7467</v>
      </c>
      <c r="JLJ3" t="s">
        <v>7468</v>
      </c>
      <c r="JLK3" t="s">
        <v>7469</v>
      </c>
      <c r="JLL3" t="s">
        <v>7470</v>
      </c>
      <c r="JLM3" t="s">
        <v>7471</v>
      </c>
      <c r="JLN3" t="s">
        <v>7472</v>
      </c>
      <c r="JLO3" t="s">
        <v>7473</v>
      </c>
      <c r="JLP3" t="s">
        <v>7474</v>
      </c>
      <c r="JLQ3" t="s">
        <v>7475</v>
      </c>
      <c r="JLR3" t="s">
        <v>7476</v>
      </c>
      <c r="JLS3" t="s">
        <v>7477</v>
      </c>
      <c r="JLT3" t="s">
        <v>7478</v>
      </c>
      <c r="JLU3" t="s">
        <v>7479</v>
      </c>
      <c r="JLV3" t="s">
        <v>7480</v>
      </c>
      <c r="JLW3" t="s">
        <v>7481</v>
      </c>
      <c r="JLX3" t="s">
        <v>7482</v>
      </c>
      <c r="JLY3" t="s">
        <v>7483</v>
      </c>
      <c r="JLZ3" t="s">
        <v>7484</v>
      </c>
      <c r="JMA3" t="s">
        <v>7485</v>
      </c>
      <c r="JMB3" t="s">
        <v>7486</v>
      </c>
      <c r="JMC3" t="s">
        <v>7487</v>
      </c>
      <c r="JMD3" t="s">
        <v>7488</v>
      </c>
      <c r="JME3" t="s">
        <v>7489</v>
      </c>
      <c r="JMF3" t="s">
        <v>7490</v>
      </c>
      <c r="JMG3" t="s">
        <v>7491</v>
      </c>
      <c r="JMH3" t="s">
        <v>7492</v>
      </c>
      <c r="JMI3" t="s">
        <v>7493</v>
      </c>
      <c r="JMJ3" t="s">
        <v>7494</v>
      </c>
      <c r="JMK3" t="s">
        <v>7495</v>
      </c>
      <c r="JML3" t="s">
        <v>7496</v>
      </c>
      <c r="JMM3" t="s">
        <v>7497</v>
      </c>
      <c r="JMN3" t="s">
        <v>7498</v>
      </c>
      <c r="JMO3" t="s">
        <v>7499</v>
      </c>
      <c r="JMP3" t="s">
        <v>7500</v>
      </c>
      <c r="JMQ3" t="s">
        <v>7501</v>
      </c>
      <c r="JMR3" t="s">
        <v>7502</v>
      </c>
      <c r="JMS3" t="s">
        <v>7503</v>
      </c>
      <c r="JMT3" t="s">
        <v>7504</v>
      </c>
      <c r="JMU3" t="s">
        <v>7505</v>
      </c>
      <c r="JMV3" t="s">
        <v>7506</v>
      </c>
      <c r="JMW3" t="s">
        <v>7507</v>
      </c>
      <c r="JMX3" t="s">
        <v>7508</v>
      </c>
      <c r="JMY3" t="s">
        <v>7509</v>
      </c>
      <c r="JMZ3" t="s">
        <v>7510</v>
      </c>
      <c r="JNA3" t="s">
        <v>7511</v>
      </c>
      <c r="JNB3" t="s">
        <v>7512</v>
      </c>
      <c r="JNC3" t="s">
        <v>7513</v>
      </c>
      <c r="JND3" t="s">
        <v>7514</v>
      </c>
      <c r="JNE3" t="s">
        <v>7515</v>
      </c>
      <c r="JNF3" t="s">
        <v>7516</v>
      </c>
      <c r="JNG3" t="s">
        <v>7517</v>
      </c>
      <c r="JNH3" t="s">
        <v>7518</v>
      </c>
      <c r="JNI3" t="s">
        <v>7519</v>
      </c>
      <c r="JNJ3" t="s">
        <v>7520</v>
      </c>
      <c r="JNK3" t="s">
        <v>7521</v>
      </c>
      <c r="JNL3" t="s">
        <v>7522</v>
      </c>
      <c r="JNM3" t="s">
        <v>7523</v>
      </c>
      <c r="JNN3" t="s">
        <v>7524</v>
      </c>
      <c r="JNO3" t="s">
        <v>7525</v>
      </c>
      <c r="JNP3" t="s">
        <v>7526</v>
      </c>
      <c r="JNQ3" t="s">
        <v>7527</v>
      </c>
      <c r="JNR3" t="s">
        <v>7528</v>
      </c>
      <c r="JNS3" t="s">
        <v>7529</v>
      </c>
      <c r="JNT3" t="s">
        <v>7530</v>
      </c>
      <c r="JNU3" t="s">
        <v>7531</v>
      </c>
      <c r="JNV3" t="s">
        <v>7532</v>
      </c>
      <c r="JNW3" t="s">
        <v>7533</v>
      </c>
      <c r="JNX3" t="s">
        <v>7534</v>
      </c>
      <c r="JNY3" t="s">
        <v>7535</v>
      </c>
      <c r="JNZ3" t="s">
        <v>7536</v>
      </c>
      <c r="JOA3" t="s">
        <v>7537</v>
      </c>
      <c r="JOB3" t="s">
        <v>7538</v>
      </c>
      <c r="JOC3" t="s">
        <v>7539</v>
      </c>
      <c r="JOD3" t="s">
        <v>7540</v>
      </c>
      <c r="JOE3" t="s">
        <v>7541</v>
      </c>
      <c r="JOF3" t="s">
        <v>7542</v>
      </c>
      <c r="JOG3" t="s">
        <v>7543</v>
      </c>
      <c r="JOH3" t="s">
        <v>7544</v>
      </c>
      <c r="JOI3" t="s">
        <v>7545</v>
      </c>
      <c r="JOJ3" t="s">
        <v>7546</v>
      </c>
      <c r="JOK3" t="s">
        <v>7547</v>
      </c>
      <c r="JOL3" t="s">
        <v>7548</v>
      </c>
      <c r="JOM3" t="s">
        <v>7549</v>
      </c>
      <c r="JON3" t="s">
        <v>7550</v>
      </c>
      <c r="JOO3" t="s">
        <v>7551</v>
      </c>
      <c r="JOP3" t="s">
        <v>7552</v>
      </c>
      <c r="JOQ3" t="s">
        <v>7553</v>
      </c>
      <c r="JOR3" t="s">
        <v>7554</v>
      </c>
      <c r="JOS3" t="s">
        <v>7555</v>
      </c>
      <c r="JOT3" t="s">
        <v>7556</v>
      </c>
      <c r="JOU3" t="s">
        <v>7557</v>
      </c>
      <c r="JOV3" t="s">
        <v>7558</v>
      </c>
      <c r="JOW3" t="s">
        <v>7559</v>
      </c>
      <c r="JOX3" t="s">
        <v>7560</v>
      </c>
      <c r="JOY3" t="s">
        <v>7561</v>
      </c>
      <c r="JOZ3" t="s">
        <v>7562</v>
      </c>
      <c r="JPA3" t="s">
        <v>7563</v>
      </c>
      <c r="JPB3" t="s">
        <v>7564</v>
      </c>
      <c r="JPC3" t="s">
        <v>7565</v>
      </c>
      <c r="JPD3" t="s">
        <v>7566</v>
      </c>
      <c r="JPE3" t="s">
        <v>7567</v>
      </c>
      <c r="JPF3" t="s">
        <v>7568</v>
      </c>
      <c r="JPG3" t="s">
        <v>7569</v>
      </c>
      <c r="JPH3" t="s">
        <v>7570</v>
      </c>
      <c r="JPI3" t="s">
        <v>7571</v>
      </c>
      <c r="JPJ3" t="s">
        <v>7572</v>
      </c>
      <c r="JPK3" t="s">
        <v>7573</v>
      </c>
      <c r="JPL3" t="s">
        <v>7574</v>
      </c>
      <c r="JPM3" t="s">
        <v>7575</v>
      </c>
      <c r="JPN3" t="s">
        <v>7576</v>
      </c>
      <c r="JPO3" t="s">
        <v>7577</v>
      </c>
      <c r="JPP3" t="s">
        <v>7578</v>
      </c>
      <c r="JPQ3" t="s">
        <v>7579</v>
      </c>
      <c r="JPR3" t="s">
        <v>7580</v>
      </c>
      <c r="JPS3" t="s">
        <v>7581</v>
      </c>
      <c r="JPT3" t="s">
        <v>7582</v>
      </c>
      <c r="JPU3" t="s">
        <v>7583</v>
      </c>
      <c r="JPV3" t="s">
        <v>7584</v>
      </c>
      <c r="JPW3" t="s">
        <v>7585</v>
      </c>
      <c r="JPX3" t="s">
        <v>7586</v>
      </c>
      <c r="JPY3" t="s">
        <v>7587</v>
      </c>
      <c r="JPZ3" t="s">
        <v>7588</v>
      </c>
      <c r="JQA3" t="s">
        <v>7589</v>
      </c>
      <c r="JQB3" t="s">
        <v>7590</v>
      </c>
      <c r="JQC3" t="s">
        <v>7591</v>
      </c>
      <c r="JQD3" t="s">
        <v>7592</v>
      </c>
      <c r="JQE3" t="s">
        <v>7593</v>
      </c>
      <c r="JQF3" t="s">
        <v>7594</v>
      </c>
      <c r="JQG3" t="s">
        <v>7595</v>
      </c>
      <c r="JQH3" t="s">
        <v>7596</v>
      </c>
      <c r="JQI3" t="s">
        <v>7597</v>
      </c>
      <c r="JQJ3" t="s">
        <v>7598</v>
      </c>
      <c r="JQK3" t="s">
        <v>7599</v>
      </c>
      <c r="JQL3" t="s">
        <v>7600</v>
      </c>
      <c r="JQM3" t="s">
        <v>7601</v>
      </c>
      <c r="JQN3" t="s">
        <v>7602</v>
      </c>
      <c r="JQO3" t="s">
        <v>7603</v>
      </c>
      <c r="JQP3" t="s">
        <v>7604</v>
      </c>
      <c r="JQQ3" t="s">
        <v>7605</v>
      </c>
      <c r="JQR3" t="s">
        <v>7606</v>
      </c>
      <c r="JQS3" t="s">
        <v>7607</v>
      </c>
      <c r="JQT3" t="s">
        <v>7608</v>
      </c>
      <c r="JQU3" t="s">
        <v>7609</v>
      </c>
      <c r="JQV3" t="s">
        <v>7610</v>
      </c>
      <c r="JQW3" t="s">
        <v>7611</v>
      </c>
      <c r="JQX3" t="s">
        <v>7612</v>
      </c>
      <c r="JQY3" t="s">
        <v>7613</v>
      </c>
      <c r="JQZ3" t="s">
        <v>7614</v>
      </c>
      <c r="JRA3" t="s">
        <v>7615</v>
      </c>
      <c r="JRB3" t="s">
        <v>7616</v>
      </c>
      <c r="JRC3" t="s">
        <v>7617</v>
      </c>
      <c r="JRD3" t="s">
        <v>7618</v>
      </c>
      <c r="JRE3" t="s">
        <v>7619</v>
      </c>
      <c r="JRF3" t="s">
        <v>7620</v>
      </c>
      <c r="JRG3" t="s">
        <v>7621</v>
      </c>
      <c r="JRH3" t="s">
        <v>7622</v>
      </c>
      <c r="JRI3" t="s">
        <v>7623</v>
      </c>
      <c r="JRJ3" t="s">
        <v>7624</v>
      </c>
      <c r="JRK3" t="s">
        <v>7625</v>
      </c>
      <c r="JRL3" t="s">
        <v>7626</v>
      </c>
      <c r="JRM3" t="s">
        <v>7627</v>
      </c>
      <c r="JRN3" t="s">
        <v>7628</v>
      </c>
      <c r="JRO3" t="s">
        <v>7629</v>
      </c>
      <c r="JRP3" t="s">
        <v>7630</v>
      </c>
      <c r="JRQ3" t="s">
        <v>7631</v>
      </c>
      <c r="JRR3" t="s">
        <v>7632</v>
      </c>
      <c r="JRS3" t="s">
        <v>7633</v>
      </c>
      <c r="JRT3" t="s">
        <v>7634</v>
      </c>
      <c r="JRU3" t="s">
        <v>7635</v>
      </c>
      <c r="JRV3" t="s">
        <v>7636</v>
      </c>
      <c r="JRW3" t="s">
        <v>7637</v>
      </c>
      <c r="JRX3" t="s">
        <v>7638</v>
      </c>
      <c r="JRY3" t="s">
        <v>7639</v>
      </c>
      <c r="JRZ3" t="s">
        <v>7640</v>
      </c>
      <c r="JSA3" t="s">
        <v>7641</v>
      </c>
      <c r="JSB3" t="s">
        <v>7642</v>
      </c>
      <c r="JSC3" t="s">
        <v>7643</v>
      </c>
      <c r="JSD3" t="s">
        <v>7644</v>
      </c>
      <c r="JSE3" t="s">
        <v>7645</v>
      </c>
      <c r="JSF3" t="s">
        <v>7646</v>
      </c>
      <c r="JSG3" t="s">
        <v>7647</v>
      </c>
      <c r="JSH3" t="s">
        <v>7648</v>
      </c>
      <c r="JSI3" t="s">
        <v>7649</v>
      </c>
      <c r="JSJ3" t="s">
        <v>7650</v>
      </c>
      <c r="JSK3" t="s">
        <v>7651</v>
      </c>
      <c r="JSL3" t="s">
        <v>7652</v>
      </c>
      <c r="JSM3" t="s">
        <v>7653</v>
      </c>
      <c r="JSN3" t="s">
        <v>7654</v>
      </c>
      <c r="JSO3" t="s">
        <v>7655</v>
      </c>
      <c r="JSP3" t="s">
        <v>7656</v>
      </c>
      <c r="JSQ3" t="s">
        <v>7657</v>
      </c>
      <c r="JSR3" t="s">
        <v>7658</v>
      </c>
      <c r="JSS3" t="s">
        <v>7659</v>
      </c>
      <c r="JST3" t="s">
        <v>7660</v>
      </c>
      <c r="JSU3" t="s">
        <v>7661</v>
      </c>
      <c r="JSV3" t="s">
        <v>7662</v>
      </c>
      <c r="JSW3" t="s">
        <v>7663</v>
      </c>
      <c r="JSX3" t="s">
        <v>7664</v>
      </c>
      <c r="JSY3" t="s">
        <v>7665</v>
      </c>
      <c r="JSZ3" t="s">
        <v>7666</v>
      </c>
      <c r="JTA3" t="s">
        <v>7667</v>
      </c>
      <c r="JTB3" t="s">
        <v>7668</v>
      </c>
      <c r="JTC3" t="s">
        <v>7669</v>
      </c>
      <c r="JTD3" t="s">
        <v>7670</v>
      </c>
      <c r="JTE3" t="s">
        <v>7671</v>
      </c>
      <c r="JTF3" t="s">
        <v>7672</v>
      </c>
      <c r="JTG3" t="s">
        <v>7673</v>
      </c>
      <c r="JTH3" t="s">
        <v>7674</v>
      </c>
      <c r="JTI3" t="s">
        <v>7675</v>
      </c>
      <c r="JTJ3" t="s">
        <v>7676</v>
      </c>
      <c r="JTK3" t="s">
        <v>7677</v>
      </c>
      <c r="JTL3" t="s">
        <v>7678</v>
      </c>
      <c r="JTM3" t="s">
        <v>7679</v>
      </c>
      <c r="JTN3" t="s">
        <v>7680</v>
      </c>
      <c r="JTO3" t="s">
        <v>7681</v>
      </c>
      <c r="JTP3" t="s">
        <v>7682</v>
      </c>
      <c r="JTQ3" t="s">
        <v>7683</v>
      </c>
      <c r="JTR3" t="s">
        <v>7684</v>
      </c>
      <c r="JTS3" t="s">
        <v>7685</v>
      </c>
      <c r="JTT3" t="s">
        <v>7686</v>
      </c>
      <c r="JTU3" t="s">
        <v>7687</v>
      </c>
      <c r="JTV3" t="s">
        <v>7688</v>
      </c>
      <c r="JTW3" t="s">
        <v>7689</v>
      </c>
      <c r="JTX3" t="s">
        <v>7690</v>
      </c>
      <c r="JTY3" t="s">
        <v>7691</v>
      </c>
      <c r="JTZ3" t="s">
        <v>7692</v>
      </c>
      <c r="JUA3" t="s">
        <v>7693</v>
      </c>
      <c r="JUB3" t="s">
        <v>7694</v>
      </c>
      <c r="JUC3" t="s">
        <v>7695</v>
      </c>
      <c r="JUD3" t="s">
        <v>7696</v>
      </c>
      <c r="JUE3" t="s">
        <v>7697</v>
      </c>
      <c r="JUF3" t="s">
        <v>7698</v>
      </c>
      <c r="JUG3" t="s">
        <v>7699</v>
      </c>
      <c r="JUH3" t="s">
        <v>7700</v>
      </c>
      <c r="JUI3" t="s">
        <v>7701</v>
      </c>
      <c r="JUJ3" t="s">
        <v>7702</v>
      </c>
      <c r="JUK3" t="s">
        <v>7703</v>
      </c>
      <c r="JUL3" t="s">
        <v>7704</v>
      </c>
      <c r="JUM3" t="s">
        <v>7705</v>
      </c>
      <c r="JUN3" t="s">
        <v>7706</v>
      </c>
      <c r="JUO3" t="s">
        <v>7707</v>
      </c>
      <c r="JUP3" t="s">
        <v>7708</v>
      </c>
      <c r="JUQ3" t="s">
        <v>7709</v>
      </c>
      <c r="JUR3" t="s">
        <v>7710</v>
      </c>
      <c r="JUS3" t="s">
        <v>7711</v>
      </c>
      <c r="JUT3" t="s">
        <v>7712</v>
      </c>
      <c r="JUU3" t="s">
        <v>7713</v>
      </c>
      <c r="JUV3" t="s">
        <v>7714</v>
      </c>
      <c r="JUW3" t="s">
        <v>7715</v>
      </c>
      <c r="JUX3" t="s">
        <v>7716</v>
      </c>
      <c r="JUY3" t="s">
        <v>7717</v>
      </c>
      <c r="JUZ3" t="s">
        <v>7718</v>
      </c>
      <c r="JVA3" t="s">
        <v>7719</v>
      </c>
      <c r="JVB3" t="s">
        <v>7720</v>
      </c>
      <c r="JVC3" t="s">
        <v>7721</v>
      </c>
      <c r="JVD3" t="s">
        <v>7722</v>
      </c>
      <c r="JVE3" t="s">
        <v>7723</v>
      </c>
      <c r="JVF3" t="s">
        <v>7724</v>
      </c>
      <c r="JVG3" t="s">
        <v>7725</v>
      </c>
      <c r="JVH3" t="s">
        <v>7726</v>
      </c>
      <c r="JVI3" t="s">
        <v>7727</v>
      </c>
      <c r="JVJ3" t="s">
        <v>7728</v>
      </c>
      <c r="JVK3" t="s">
        <v>7729</v>
      </c>
      <c r="JVL3" t="s">
        <v>7730</v>
      </c>
      <c r="JVM3" t="s">
        <v>7731</v>
      </c>
      <c r="JVN3" t="s">
        <v>7732</v>
      </c>
      <c r="JVO3" t="s">
        <v>7733</v>
      </c>
      <c r="JVP3" t="s">
        <v>7734</v>
      </c>
      <c r="JVQ3" t="s">
        <v>7735</v>
      </c>
      <c r="JVR3" t="s">
        <v>7736</v>
      </c>
      <c r="JVS3" t="s">
        <v>7737</v>
      </c>
      <c r="JVT3" t="s">
        <v>7738</v>
      </c>
      <c r="JVU3" t="s">
        <v>7739</v>
      </c>
      <c r="JVV3" t="s">
        <v>7740</v>
      </c>
      <c r="JVW3" t="s">
        <v>7741</v>
      </c>
      <c r="JVX3" t="s">
        <v>7742</v>
      </c>
      <c r="JVY3" t="s">
        <v>7743</v>
      </c>
      <c r="JVZ3" t="s">
        <v>7744</v>
      </c>
      <c r="JWA3" t="s">
        <v>7745</v>
      </c>
      <c r="JWB3" t="s">
        <v>7746</v>
      </c>
      <c r="JWC3" t="s">
        <v>7747</v>
      </c>
      <c r="JWD3" t="s">
        <v>7748</v>
      </c>
      <c r="JWE3" t="s">
        <v>7749</v>
      </c>
      <c r="JWF3" t="s">
        <v>7750</v>
      </c>
      <c r="JWG3" t="s">
        <v>7751</v>
      </c>
      <c r="JWH3" t="s">
        <v>7752</v>
      </c>
      <c r="JWI3" t="s">
        <v>7753</v>
      </c>
      <c r="JWJ3" t="s">
        <v>7754</v>
      </c>
      <c r="JWK3" t="s">
        <v>7755</v>
      </c>
      <c r="JWL3" t="s">
        <v>7756</v>
      </c>
      <c r="JWM3" t="s">
        <v>7757</v>
      </c>
      <c r="JWN3" t="s">
        <v>7758</v>
      </c>
      <c r="JWO3" t="s">
        <v>7759</v>
      </c>
      <c r="JWP3" t="s">
        <v>7760</v>
      </c>
      <c r="JWQ3" t="s">
        <v>7761</v>
      </c>
      <c r="JWR3" t="s">
        <v>7762</v>
      </c>
      <c r="JWS3" t="s">
        <v>7763</v>
      </c>
      <c r="JWT3" t="s">
        <v>7764</v>
      </c>
      <c r="JWU3" t="s">
        <v>7765</v>
      </c>
      <c r="JWV3" t="s">
        <v>7766</v>
      </c>
      <c r="JWW3" t="s">
        <v>7767</v>
      </c>
      <c r="JWX3" t="s">
        <v>7768</v>
      </c>
      <c r="JWY3" t="s">
        <v>7769</v>
      </c>
      <c r="JWZ3" t="s">
        <v>7770</v>
      </c>
      <c r="JXA3" t="s">
        <v>7771</v>
      </c>
      <c r="JXB3" t="s">
        <v>7772</v>
      </c>
      <c r="JXC3" t="s">
        <v>7773</v>
      </c>
      <c r="JXD3" t="s">
        <v>7774</v>
      </c>
      <c r="JXE3" t="s">
        <v>7775</v>
      </c>
      <c r="JXF3" t="s">
        <v>7776</v>
      </c>
      <c r="JXG3" t="s">
        <v>7777</v>
      </c>
      <c r="JXH3" t="s">
        <v>7778</v>
      </c>
      <c r="JXI3" t="s">
        <v>7779</v>
      </c>
      <c r="JXJ3" t="s">
        <v>7780</v>
      </c>
      <c r="JXK3" t="s">
        <v>7781</v>
      </c>
      <c r="JXL3" t="s">
        <v>7782</v>
      </c>
      <c r="JXM3" t="s">
        <v>7783</v>
      </c>
      <c r="JXN3" t="s">
        <v>7784</v>
      </c>
      <c r="JXO3" t="s">
        <v>7785</v>
      </c>
      <c r="JXP3" t="s">
        <v>7786</v>
      </c>
      <c r="JXQ3" t="s">
        <v>7787</v>
      </c>
      <c r="JXR3" t="s">
        <v>7788</v>
      </c>
      <c r="JXS3" t="s">
        <v>7789</v>
      </c>
      <c r="JXT3" t="s">
        <v>7790</v>
      </c>
      <c r="JXU3" t="s">
        <v>7791</v>
      </c>
      <c r="JXV3" t="s">
        <v>7792</v>
      </c>
      <c r="JXW3" t="s">
        <v>7793</v>
      </c>
      <c r="JXX3" t="s">
        <v>7794</v>
      </c>
      <c r="JXY3" t="s">
        <v>7795</v>
      </c>
      <c r="JXZ3" t="s">
        <v>7796</v>
      </c>
      <c r="JYA3" t="s">
        <v>7797</v>
      </c>
      <c r="JYB3" t="s">
        <v>7798</v>
      </c>
      <c r="JYC3" t="s">
        <v>7799</v>
      </c>
      <c r="JYD3" t="s">
        <v>7800</v>
      </c>
      <c r="JYE3" t="s">
        <v>7801</v>
      </c>
      <c r="JYF3" t="s">
        <v>7802</v>
      </c>
      <c r="JYG3" t="s">
        <v>7803</v>
      </c>
      <c r="JYH3" t="s">
        <v>7804</v>
      </c>
      <c r="JYI3" t="s">
        <v>7805</v>
      </c>
      <c r="JYJ3" t="s">
        <v>7806</v>
      </c>
      <c r="JYK3" t="s">
        <v>7807</v>
      </c>
      <c r="JYL3" t="s">
        <v>7808</v>
      </c>
      <c r="JYM3" t="s">
        <v>7809</v>
      </c>
      <c r="JYN3" t="s">
        <v>7810</v>
      </c>
      <c r="JYO3" t="s">
        <v>7811</v>
      </c>
      <c r="JYP3" t="s">
        <v>7812</v>
      </c>
      <c r="JYQ3" t="s">
        <v>7813</v>
      </c>
      <c r="JYR3" t="s">
        <v>7814</v>
      </c>
      <c r="JYS3" t="s">
        <v>7815</v>
      </c>
      <c r="JYT3" t="s">
        <v>7816</v>
      </c>
      <c r="JYU3" t="s">
        <v>7817</v>
      </c>
      <c r="JYV3" t="s">
        <v>7818</v>
      </c>
      <c r="JYW3" t="s">
        <v>7819</v>
      </c>
      <c r="JYX3" t="s">
        <v>7820</v>
      </c>
      <c r="JYY3" t="s">
        <v>7821</v>
      </c>
      <c r="JYZ3" t="s">
        <v>7822</v>
      </c>
      <c r="JZA3" t="s">
        <v>7823</v>
      </c>
      <c r="JZB3" t="s">
        <v>7824</v>
      </c>
      <c r="JZC3" t="s">
        <v>7825</v>
      </c>
      <c r="JZD3" t="s">
        <v>7826</v>
      </c>
      <c r="JZE3" t="s">
        <v>7827</v>
      </c>
      <c r="JZF3" t="s">
        <v>7828</v>
      </c>
      <c r="JZG3" t="s">
        <v>7829</v>
      </c>
      <c r="JZH3" t="s">
        <v>7830</v>
      </c>
      <c r="JZI3" t="s">
        <v>7831</v>
      </c>
      <c r="JZJ3" t="s">
        <v>7832</v>
      </c>
      <c r="JZK3" t="s">
        <v>7833</v>
      </c>
      <c r="JZL3" t="s">
        <v>7834</v>
      </c>
      <c r="JZM3" t="s">
        <v>7835</v>
      </c>
      <c r="JZN3" t="s">
        <v>7836</v>
      </c>
      <c r="JZO3" t="s">
        <v>7837</v>
      </c>
      <c r="JZP3" t="s">
        <v>7838</v>
      </c>
      <c r="JZQ3" t="s">
        <v>7839</v>
      </c>
      <c r="JZR3" t="s">
        <v>7840</v>
      </c>
      <c r="JZS3" t="s">
        <v>7841</v>
      </c>
      <c r="JZT3" t="s">
        <v>7842</v>
      </c>
      <c r="JZU3" t="s">
        <v>7843</v>
      </c>
      <c r="JZV3" t="s">
        <v>7844</v>
      </c>
      <c r="JZW3" t="s">
        <v>7845</v>
      </c>
      <c r="JZX3" t="s">
        <v>7846</v>
      </c>
      <c r="JZY3" t="s">
        <v>7847</v>
      </c>
      <c r="JZZ3" t="s">
        <v>7848</v>
      </c>
      <c r="KAA3" t="s">
        <v>7849</v>
      </c>
      <c r="KAB3" t="s">
        <v>7850</v>
      </c>
      <c r="KAC3" t="s">
        <v>7851</v>
      </c>
      <c r="KAD3" t="s">
        <v>7852</v>
      </c>
      <c r="KAE3" t="s">
        <v>7853</v>
      </c>
      <c r="KAF3" t="s">
        <v>7854</v>
      </c>
      <c r="KAG3" t="s">
        <v>7855</v>
      </c>
      <c r="KAH3" t="s">
        <v>7856</v>
      </c>
      <c r="KAI3" t="s">
        <v>7857</v>
      </c>
      <c r="KAJ3" t="s">
        <v>7858</v>
      </c>
      <c r="KAK3" t="s">
        <v>7859</v>
      </c>
      <c r="KAL3" t="s">
        <v>7860</v>
      </c>
      <c r="KAM3" t="s">
        <v>7861</v>
      </c>
      <c r="KAN3" t="s">
        <v>7862</v>
      </c>
      <c r="KAO3" t="s">
        <v>7863</v>
      </c>
      <c r="KAP3" t="s">
        <v>7864</v>
      </c>
      <c r="KAQ3" t="s">
        <v>7865</v>
      </c>
      <c r="KAR3" t="s">
        <v>7866</v>
      </c>
      <c r="KAS3" t="s">
        <v>7867</v>
      </c>
      <c r="KAT3" t="s">
        <v>7868</v>
      </c>
      <c r="KAU3" t="s">
        <v>7869</v>
      </c>
      <c r="KAV3" t="s">
        <v>7870</v>
      </c>
      <c r="KAW3" t="s">
        <v>7871</v>
      </c>
      <c r="KAX3" t="s">
        <v>7872</v>
      </c>
      <c r="KAY3" t="s">
        <v>7873</v>
      </c>
      <c r="KAZ3" t="s">
        <v>7874</v>
      </c>
      <c r="KBA3" t="s">
        <v>7875</v>
      </c>
      <c r="KBB3" t="s">
        <v>7876</v>
      </c>
      <c r="KBC3" t="s">
        <v>7877</v>
      </c>
      <c r="KBD3" t="s">
        <v>7878</v>
      </c>
      <c r="KBE3" t="s">
        <v>7879</v>
      </c>
      <c r="KBF3" t="s">
        <v>7880</v>
      </c>
      <c r="KBG3" t="s">
        <v>7881</v>
      </c>
      <c r="KBH3" t="s">
        <v>7882</v>
      </c>
      <c r="KBI3" t="s">
        <v>7883</v>
      </c>
      <c r="KBJ3" t="s">
        <v>7884</v>
      </c>
      <c r="KBK3" t="s">
        <v>7885</v>
      </c>
      <c r="KBL3" t="s">
        <v>7886</v>
      </c>
      <c r="KBM3" t="s">
        <v>7887</v>
      </c>
      <c r="KBN3" t="s">
        <v>7888</v>
      </c>
      <c r="KBO3" t="s">
        <v>7889</v>
      </c>
      <c r="KBP3" t="s">
        <v>7890</v>
      </c>
      <c r="KBQ3" t="s">
        <v>7891</v>
      </c>
      <c r="KBR3" t="s">
        <v>7892</v>
      </c>
      <c r="KBS3" t="s">
        <v>7893</v>
      </c>
      <c r="KBT3" t="s">
        <v>7894</v>
      </c>
      <c r="KBU3" t="s">
        <v>7895</v>
      </c>
      <c r="KBV3" t="s">
        <v>7896</v>
      </c>
      <c r="KBW3" t="s">
        <v>7897</v>
      </c>
      <c r="KBX3" t="s">
        <v>7898</v>
      </c>
      <c r="KBY3" t="s">
        <v>7899</v>
      </c>
      <c r="KBZ3" t="s">
        <v>7900</v>
      </c>
      <c r="KCA3" t="s">
        <v>7901</v>
      </c>
      <c r="KCB3" t="s">
        <v>7902</v>
      </c>
      <c r="KCC3" t="s">
        <v>7903</v>
      </c>
      <c r="KCD3" t="s">
        <v>7904</v>
      </c>
      <c r="KCE3" t="s">
        <v>7905</v>
      </c>
      <c r="KCF3" t="s">
        <v>7906</v>
      </c>
      <c r="KCG3" t="s">
        <v>7907</v>
      </c>
      <c r="KCH3" t="s">
        <v>7908</v>
      </c>
      <c r="KCI3" t="s">
        <v>7909</v>
      </c>
      <c r="KCJ3" t="s">
        <v>7910</v>
      </c>
      <c r="KCK3" t="s">
        <v>7911</v>
      </c>
      <c r="KCL3" t="s">
        <v>7912</v>
      </c>
      <c r="KCM3" t="s">
        <v>7913</v>
      </c>
      <c r="KCN3" t="s">
        <v>7914</v>
      </c>
      <c r="KCO3" t="s">
        <v>7915</v>
      </c>
      <c r="KCP3" t="s">
        <v>7916</v>
      </c>
      <c r="KCQ3" t="s">
        <v>7917</v>
      </c>
      <c r="KCR3" t="s">
        <v>7918</v>
      </c>
      <c r="KCS3" t="s">
        <v>7919</v>
      </c>
      <c r="KCT3" t="s">
        <v>7920</v>
      </c>
      <c r="KCU3" t="s">
        <v>7921</v>
      </c>
      <c r="KCV3" t="s">
        <v>7922</v>
      </c>
      <c r="KCW3" t="s">
        <v>7923</v>
      </c>
      <c r="KCX3" t="s">
        <v>7924</v>
      </c>
      <c r="KCY3" t="s">
        <v>7925</v>
      </c>
      <c r="KCZ3" t="s">
        <v>7926</v>
      </c>
      <c r="KDA3" t="s">
        <v>7927</v>
      </c>
      <c r="KDB3" t="s">
        <v>7928</v>
      </c>
      <c r="KDC3" t="s">
        <v>7929</v>
      </c>
      <c r="KDD3" t="s">
        <v>7930</v>
      </c>
      <c r="KDE3" t="s">
        <v>7931</v>
      </c>
      <c r="KDF3" t="s">
        <v>7932</v>
      </c>
      <c r="KDG3" t="s">
        <v>7933</v>
      </c>
      <c r="KDH3" t="s">
        <v>7934</v>
      </c>
      <c r="KDI3" t="s">
        <v>7935</v>
      </c>
      <c r="KDJ3" t="s">
        <v>7936</v>
      </c>
      <c r="KDK3" t="s">
        <v>7937</v>
      </c>
      <c r="KDL3" t="s">
        <v>7938</v>
      </c>
      <c r="KDM3" t="s">
        <v>7939</v>
      </c>
      <c r="KDN3" t="s">
        <v>7940</v>
      </c>
      <c r="KDO3" t="s">
        <v>7941</v>
      </c>
      <c r="KDP3" t="s">
        <v>7942</v>
      </c>
      <c r="KDQ3" t="s">
        <v>7943</v>
      </c>
      <c r="KDR3" t="s">
        <v>7944</v>
      </c>
      <c r="KDS3" t="s">
        <v>7945</v>
      </c>
      <c r="KDT3" t="s">
        <v>7946</v>
      </c>
      <c r="KDU3" t="s">
        <v>7947</v>
      </c>
      <c r="KDV3" t="s">
        <v>7948</v>
      </c>
      <c r="KDW3" t="s">
        <v>7949</v>
      </c>
      <c r="KDX3" t="s">
        <v>7950</v>
      </c>
      <c r="KDY3" t="s">
        <v>7951</v>
      </c>
      <c r="KDZ3" t="s">
        <v>7952</v>
      </c>
      <c r="KEA3" t="s">
        <v>7953</v>
      </c>
      <c r="KEB3" t="s">
        <v>7954</v>
      </c>
      <c r="KEC3" t="s">
        <v>7955</v>
      </c>
      <c r="KED3" t="s">
        <v>7956</v>
      </c>
      <c r="KEE3" t="s">
        <v>7957</v>
      </c>
      <c r="KEF3" t="s">
        <v>7958</v>
      </c>
      <c r="KEG3" t="s">
        <v>7959</v>
      </c>
      <c r="KEH3" t="s">
        <v>7960</v>
      </c>
      <c r="KEI3" t="s">
        <v>7961</v>
      </c>
      <c r="KEJ3" t="s">
        <v>7962</v>
      </c>
      <c r="KEK3" t="s">
        <v>7963</v>
      </c>
      <c r="KEL3" t="s">
        <v>7964</v>
      </c>
      <c r="KEM3" t="s">
        <v>7965</v>
      </c>
      <c r="KEN3" t="s">
        <v>7966</v>
      </c>
      <c r="KEO3" t="s">
        <v>7967</v>
      </c>
      <c r="KEP3" t="s">
        <v>7968</v>
      </c>
      <c r="KEQ3" t="s">
        <v>7969</v>
      </c>
      <c r="KER3" t="s">
        <v>7970</v>
      </c>
      <c r="KES3" t="s">
        <v>7971</v>
      </c>
      <c r="KET3" t="s">
        <v>7972</v>
      </c>
      <c r="KEU3" t="s">
        <v>7973</v>
      </c>
      <c r="KEV3" t="s">
        <v>7974</v>
      </c>
      <c r="KEW3" t="s">
        <v>7975</v>
      </c>
      <c r="KEX3" t="s">
        <v>7976</v>
      </c>
      <c r="KEY3" t="s">
        <v>7977</v>
      </c>
      <c r="KEZ3" t="s">
        <v>7978</v>
      </c>
      <c r="KFA3" t="s">
        <v>7979</v>
      </c>
      <c r="KFB3" t="s">
        <v>7980</v>
      </c>
      <c r="KFC3" t="s">
        <v>7981</v>
      </c>
      <c r="KFD3" t="s">
        <v>7982</v>
      </c>
      <c r="KFE3" t="s">
        <v>7983</v>
      </c>
      <c r="KFF3" t="s">
        <v>7984</v>
      </c>
      <c r="KFG3" t="s">
        <v>7985</v>
      </c>
      <c r="KFH3" t="s">
        <v>7986</v>
      </c>
      <c r="KFI3" t="s">
        <v>7987</v>
      </c>
      <c r="KFJ3" t="s">
        <v>7988</v>
      </c>
      <c r="KFK3" t="s">
        <v>7989</v>
      </c>
      <c r="KFL3" t="s">
        <v>7990</v>
      </c>
      <c r="KFM3" t="s">
        <v>7991</v>
      </c>
      <c r="KFN3" t="s">
        <v>7992</v>
      </c>
      <c r="KFO3" t="s">
        <v>7993</v>
      </c>
      <c r="KFP3" t="s">
        <v>7994</v>
      </c>
      <c r="KFQ3" t="s">
        <v>7995</v>
      </c>
      <c r="KFR3" t="s">
        <v>7996</v>
      </c>
      <c r="KFS3" t="s">
        <v>7997</v>
      </c>
      <c r="KFT3" t="s">
        <v>7998</v>
      </c>
      <c r="KFU3" t="s">
        <v>7999</v>
      </c>
      <c r="KFV3" t="s">
        <v>8000</v>
      </c>
      <c r="KFW3" t="s">
        <v>8001</v>
      </c>
      <c r="KFX3" t="s">
        <v>8002</v>
      </c>
      <c r="KFY3" t="s">
        <v>8003</v>
      </c>
      <c r="KFZ3" t="s">
        <v>8004</v>
      </c>
      <c r="KGA3" t="s">
        <v>8005</v>
      </c>
      <c r="KGB3" t="s">
        <v>8006</v>
      </c>
      <c r="KGC3" t="s">
        <v>8007</v>
      </c>
      <c r="KGD3" t="s">
        <v>8008</v>
      </c>
      <c r="KGE3" t="s">
        <v>8009</v>
      </c>
      <c r="KGF3" t="s">
        <v>8010</v>
      </c>
      <c r="KGG3" t="s">
        <v>8011</v>
      </c>
      <c r="KGH3" t="s">
        <v>8012</v>
      </c>
      <c r="KGI3" t="s">
        <v>8013</v>
      </c>
      <c r="KGJ3" t="s">
        <v>8014</v>
      </c>
      <c r="KGK3" t="s">
        <v>8015</v>
      </c>
      <c r="KGL3" t="s">
        <v>8016</v>
      </c>
      <c r="KGM3" t="s">
        <v>8017</v>
      </c>
      <c r="KGN3" t="s">
        <v>8018</v>
      </c>
      <c r="KGO3" t="s">
        <v>8019</v>
      </c>
      <c r="KGP3" t="s">
        <v>8020</v>
      </c>
      <c r="KGQ3" t="s">
        <v>8021</v>
      </c>
      <c r="KGR3" t="s">
        <v>8022</v>
      </c>
      <c r="KGS3" t="s">
        <v>8023</v>
      </c>
      <c r="KGT3" t="s">
        <v>8024</v>
      </c>
      <c r="KGU3" t="s">
        <v>8025</v>
      </c>
      <c r="KGV3" t="s">
        <v>8026</v>
      </c>
      <c r="KGW3" t="s">
        <v>8027</v>
      </c>
      <c r="KGX3" t="s">
        <v>8028</v>
      </c>
      <c r="KGY3" t="s">
        <v>8029</v>
      </c>
      <c r="KGZ3" t="s">
        <v>8030</v>
      </c>
      <c r="KHA3" t="s">
        <v>8031</v>
      </c>
      <c r="KHB3" t="s">
        <v>8032</v>
      </c>
      <c r="KHC3" t="s">
        <v>8033</v>
      </c>
      <c r="KHD3" t="s">
        <v>8034</v>
      </c>
      <c r="KHE3" t="s">
        <v>8035</v>
      </c>
      <c r="KHF3" t="s">
        <v>8036</v>
      </c>
      <c r="KHG3" t="s">
        <v>8037</v>
      </c>
      <c r="KHH3" t="s">
        <v>8038</v>
      </c>
      <c r="KHI3" t="s">
        <v>8039</v>
      </c>
      <c r="KHJ3" t="s">
        <v>8040</v>
      </c>
      <c r="KHK3" t="s">
        <v>8041</v>
      </c>
      <c r="KHL3" t="s">
        <v>8042</v>
      </c>
      <c r="KHM3" t="s">
        <v>8043</v>
      </c>
      <c r="KHN3" t="s">
        <v>8044</v>
      </c>
      <c r="KHO3" t="s">
        <v>8045</v>
      </c>
      <c r="KHP3" t="s">
        <v>8046</v>
      </c>
      <c r="KHQ3" t="s">
        <v>8047</v>
      </c>
      <c r="KHR3" t="s">
        <v>8048</v>
      </c>
      <c r="KHS3" t="s">
        <v>8049</v>
      </c>
      <c r="KHT3" t="s">
        <v>8050</v>
      </c>
      <c r="KHU3" t="s">
        <v>8051</v>
      </c>
      <c r="KHV3" t="s">
        <v>8052</v>
      </c>
      <c r="KHW3" t="s">
        <v>8053</v>
      </c>
      <c r="KHX3" t="s">
        <v>8054</v>
      </c>
      <c r="KHY3" t="s">
        <v>8055</v>
      </c>
      <c r="KHZ3" t="s">
        <v>8056</v>
      </c>
      <c r="KIA3" t="s">
        <v>8057</v>
      </c>
      <c r="KIB3" t="s">
        <v>8058</v>
      </c>
      <c r="KIC3" t="s">
        <v>8059</v>
      </c>
      <c r="KID3" t="s">
        <v>8060</v>
      </c>
      <c r="KIE3" t="s">
        <v>8061</v>
      </c>
      <c r="KIF3" t="s">
        <v>8062</v>
      </c>
      <c r="KIG3" t="s">
        <v>8063</v>
      </c>
      <c r="KIH3" t="s">
        <v>8064</v>
      </c>
      <c r="KII3" t="s">
        <v>8065</v>
      </c>
      <c r="KIJ3" t="s">
        <v>8066</v>
      </c>
      <c r="KIK3" t="s">
        <v>8067</v>
      </c>
      <c r="KIL3" t="s">
        <v>8068</v>
      </c>
      <c r="KIM3" t="s">
        <v>8069</v>
      </c>
      <c r="KIN3" t="s">
        <v>8070</v>
      </c>
      <c r="KIO3" t="s">
        <v>8071</v>
      </c>
      <c r="KIP3" t="s">
        <v>8072</v>
      </c>
      <c r="KIQ3" t="s">
        <v>8073</v>
      </c>
      <c r="KIR3" t="s">
        <v>8074</v>
      </c>
      <c r="KIS3" t="s">
        <v>8075</v>
      </c>
      <c r="KIT3" t="s">
        <v>8076</v>
      </c>
      <c r="KIU3" t="s">
        <v>8077</v>
      </c>
      <c r="KIV3" t="s">
        <v>8078</v>
      </c>
      <c r="KIW3" t="s">
        <v>8079</v>
      </c>
      <c r="KIX3" t="s">
        <v>8080</v>
      </c>
      <c r="KIY3" t="s">
        <v>8081</v>
      </c>
      <c r="KIZ3" t="s">
        <v>8082</v>
      </c>
      <c r="KJA3" t="s">
        <v>8083</v>
      </c>
      <c r="KJB3" t="s">
        <v>8084</v>
      </c>
      <c r="KJC3" t="s">
        <v>8085</v>
      </c>
      <c r="KJD3" t="s">
        <v>8086</v>
      </c>
      <c r="KJE3" t="s">
        <v>8087</v>
      </c>
      <c r="KJF3" t="s">
        <v>8088</v>
      </c>
      <c r="KJG3" t="s">
        <v>8089</v>
      </c>
      <c r="KJH3" t="s">
        <v>8090</v>
      </c>
      <c r="KJI3" t="s">
        <v>8091</v>
      </c>
      <c r="KJJ3" t="s">
        <v>8092</v>
      </c>
      <c r="KJK3" t="s">
        <v>8093</v>
      </c>
      <c r="KJL3" t="s">
        <v>8094</v>
      </c>
      <c r="KJM3" t="s">
        <v>8095</v>
      </c>
      <c r="KJN3" t="s">
        <v>8096</v>
      </c>
      <c r="KJO3" t="s">
        <v>8097</v>
      </c>
      <c r="KJP3" t="s">
        <v>8098</v>
      </c>
      <c r="KJQ3" t="s">
        <v>8099</v>
      </c>
      <c r="KJR3" t="s">
        <v>8100</v>
      </c>
      <c r="KJS3" t="s">
        <v>8101</v>
      </c>
      <c r="KJT3" t="s">
        <v>8102</v>
      </c>
      <c r="KJU3" t="s">
        <v>8103</v>
      </c>
      <c r="KJV3" t="s">
        <v>8104</v>
      </c>
      <c r="KJW3" t="s">
        <v>8105</v>
      </c>
      <c r="KJX3" t="s">
        <v>8106</v>
      </c>
      <c r="KJY3" t="s">
        <v>8107</v>
      </c>
      <c r="KJZ3" t="s">
        <v>8108</v>
      </c>
      <c r="KKA3" t="s">
        <v>8109</v>
      </c>
      <c r="KKB3" t="s">
        <v>8110</v>
      </c>
      <c r="KKC3" t="s">
        <v>8111</v>
      </c>
      <c r="KKD3" t="s">
        <v>8112</v>
      </c>
      <c r="KKE3" t="s">
        <v>8113</v>
      </c>
      <c r="KKF3" t="s">
        <v>8114</v>
      </c>
      <c r="KKG3" t="s">
        <v>8115</v>
      </c>
      <c r="KKH3" t="s">
        <v>8116</v>
      </c>
      <c r="KKI3" t="s">
        <v>8117</v>
      </c>
      <c r="KKJ3" t="s">
        <v>8118</v>
      </c>
      <c r="KKK3" t="s">
        <v>8119</v>
      </c>
      <c r="KKL3" t="s">
        <v>8120</v>
      </c>
      <c r="KKM3" t="s">
        <v>8121</v>
      </c>
      <c r="KKN3" t="s">
        <v>8122</v>
      </c>
      <c r="KKO3" t="s">
        <v>8123</v>
      </c>
      <c r="KKP3" t="s">
        <v>8124</v>
      </c>
      <c r="KKQ3" t="s">
        <v>8125</v>
      </c>
      <c r="KKR3" t="s">
        <v>8126</v>
      </c>
      <c r="KKS3" t="s">
        <v>8127</v>
      </c>
      <c r="KKT3" t="s">
        <v>8128</v>
      </c>
      <c r="KKU3" t="s">
        <v>8129</v>
      </c>
      <c r="KKV3" t="s">
        <v>8130</v>
      </c>
      <c r="KKW3" t="s">
        <v>8131</v>
      </c>
      <c r="KKX3" t="s">
        <v>8132</v>
      </c>
      <c r="KKY3" t="s">
        <v>8133</v>
      </c>
      <c r="KKZ3" t="s">
        <v>8134</v>
      </c>
      <c r="KLA3" t="s">
        <v>8135</v>
      </c>
      <c r="KLB3" t="s">
        <v>8136</v>
      </c>
      <c r="KLC3" t="s">
        <v>8137</v>
      </c>
      <c r="KLD3" t="s">
        <v>8138</v>
      </c>
      <c r="KLE3" t="s">
        <v>8139</v>
      </c>
      <c r="KLF3" t="s">
        <v>8140</v>
      </c>
      <c r="KLG3" t="s">
        <v>8141</v>
      </c>
      <c r="KLH3" t="s">
        <v>8142</v>
      </c>
      <c r="KLI3" t="s">
        <v>8143</v>
      </c>
      <c r="KLJ3" t="s">
        <v>8144</v>
      </c>
      <c r="KLK3" t="s">
        <v>8145</v>
      </c>
      <c r="KLL3" t="s">
        <v>8146</v>
      </c>
      <c r="KLM3" t="s">
        <v>8147</v>
      </c>
      <c r="KLN3" t="s">
        <v>8148</v>
      </c>
      <c r="KLO3" t="s">
        <v>8149</v>
      </c>
      <c r="KLP3" t="s">
        <v>8150</v>
      </c>
      <c r="KLQ3" t="s">
        <v>8151</v>
      </c>
      <c r="KLR3" t="s">
        <v>8152</v>
      </c>
      <c r="KLS3" t="s">
        <v>8153</v>
      </c>
      <c r="KLT3" t="s">
        <v>8154</v>
      </c>
      <c r="KLU3" t="s">
        <v>8155</v>
      </c>
      <c r="KLV3" t="s">
        <v>8156</v>
      </c>
      <c r="KLW3" t="s">
        <v>8157</v>
      </c>
      <c r="KLX3" t="s">
        <v>8158</v>
      </c>
      <c r="KLY3" t="s">
        <v>8159</v>
      </c>
      <c r="KLZ3" t="s">
        <v>8160</v>
      </c>
      <c r="KMA3" t="s">
        <v>8161</v>
      </c>
      <c r="KMB3" t="s">
        <v>8162</v>
      </c>
      <c r="KMC3" t="s">
        <v>8163</v>
      </c>
      <c r="KMD3" t="s">
        <v>8164</v>
      </c>
      <c r="KME3" t="s">
        <v>8165</v>
      </c>
      <c r="KMF3" t="s">
        <v>8166</v>
      </c>
      <c r="KMG3" t="s">
        <v>8167</v>
      </c>
      <c r="KMH3" t="s">
        <v>8168</v>
      </c>
      <c r="KMI3" t="s">
        <v>8169</v>
      </c>
      <c r="KMJ3" t="s">
        <v>8170</v>
      </c>
      <c r="KMK3" t="s">
        <v>8171</v>
      </c>
      <c r="KML3" t="s">
        <v>8172</v>
      </c>
      <c r="KMM3" t="s">
        <v>8173</v>
      </c>
      <c r="KMN3" t="s">
        <v>8174</v>
      </c>
      <c r="KMO3" t="s">
        <v>8175</v>
      </c>
      <c r="KMP3" t="s">
        <v>8176</v>
      </c>
      <c r="KMQ3" t="s">
        <v>8177</v>
      </c>
      <c r="KMR3" t="s">
        <v>8178</v>
      </c>
      <c r="KMS3" t="s">
        <v>8179</v>
      </c>
      <c r="KMT3" t="s">
        <v>8180</v>
      </c>
      <c r="KMU3" t="s">
        <v>8181</v>
      </c>
      <c r="KMV3" t="s">
        <v>8182</v>
      </c>
      <c r="KMW3" t="s">
        <v>8183</v>
      </c>
      <c r="KMX3" t="s">
        <v>8184</v>
      </c>
      <c r="KMY3" t="s">
        <v>8185</v>
      </c>
      <c r="KMZ3" t="s">
        <v>8186</v>
      </c>
      <c r="KNA3" t="s">
        <v>8187</v>
      </c>
      <c r="KNB3" t="s">
        <v>8188</v>
      </c>
      <c r="KNC3" t="s">
        <v>8189</v>
      </c>
      <c r="KND3" t="s">
        <v>8190</v>
      </c>
      <c r="KNE3" t="s">
        <v>8191</v>
      </c>
      <c r="KNF3" t="s">
        <v>8192</v>
      </c>
      <c r="KNG3" t="s">
        <v>8193</v>
      </c>
      <c r="KNH3" t="s">
        <v>8194</v>
      </c>
      <c r="KNI3" t="s">
        <v>8195</v>
      </c>
      <c r="KNJ3" t="s">
        <v>8196</v>
      </c>
      <c r="KNK3" t="s">
        <v>8197</v>
      </c>
      <c r="KNL3" t="s">
        <v>8198</v>
      </c>
      <c r="KNM3" t="s">
        <v>8199</v>
      </c>
      <c r="KNN3" t="s">
        <v>8200</v>
      </c>
      <c r="KNO3" t="s">
        <v>8201</v>
      </c>
      <c r="KNP3" t="s">
        <v>8202</v>
      </c>
      <c r="KNQ3" t="s">
        <v>8203</v>
      </c>
      <c r="KNR3" t="s">
        <v>8204</v>
      </c>
      <c r="KNS3" t="s">
        <v>8205</v>
      </c>
      <c r="KNT3" t="s">
        <v>8206</v>
      </c>
      <c r="KNU3" t="s">
        <v>8207</v>
      </c>
      <c r="KNV3" t="s">
        <v>8208</v>
      </c>
      <c r="KNW3" t="s">
        <v>8209</v>
      </c>
      <c r="KNX3" t="s">
        <v>8210</v>
      </c>
      <c r="KNY3" t="s">
        <v>8211</v>
      </c>
      <c r="KNZ3" t="s">
        <v>8212</v>
      </c>
      <c r="KOA3" t="s">
        <v>8213</v>
      </c>
      <c r="KOB3" t="s">
        <v>8214</v>
      </c>
      <c r="KOC3" t="s">
        <v>8215</v>
      </c>
      <c r="KOD3" t="s">
        <v>8216</v>
      </c>
      <c r="KOE3" t="s">
        <v>8217</v>
      </c>
      <c r="KOF3" t="s">
        <v>8218</v>
      </c>
      <c r="KOG3" t="s">
        <v>8219</v>
      </c>
      <c r="KOH3" t="s">
        <v>8220</v>
      </c>
      <c r="KOI3" t="s">
        <v>8221</v>
      </c>
      <c r="KOJ3" t="s">
        <v>8222</v>
      </c>
      <c r="KOK3" t="s">
        <v>8223</v>
      </c>
      <c r="KOL3" t="s">
        <v>8224</v>
      </c>
      <c r="KOM3" t="s">
        <v>8225</v>
      </c>
      <c r="KON3" t="s">
        <v>8226</v>
      </c>
      <c r="KOO3" t="s">
        <v>8227</v>
      </c>
      <c r="KOP3" t="s">
        <v>8228</v>
      </c>
      <c r="KOQ3" t="s">
        <v>8229</v>
      </c>
      <c r="KOR3" t="s">
        <v>8230</v>
      </c>
      <c r="KOS3" t="s">
        <v>8231</v>
      </c>
      <c r="KOT3" t="s">
        <v>8232</v>
      </c>
      <c r="KOU3" t="s">
        <v>8233</v>
      </c>
      <c r="KOV3" t="s">
        <v>8234</v>
      </c>
      <c r="KOW3" t="s">
        <v>8235</v>
      </c>
      <c r="KOX3" t="s">
        <v>8236</v>
      </c>
      <c r="KOY3" t="s">
        <v>8237</v>
      </c>
      <c r="KOZ3" t="s">
        <v>8238</v>
      </c>
      <c r="KPA3" t="s">
        <v>8239</v>
      </c>
      <c r="KPB3" t="s">
        <v>8240</v>
      </c>
      <c r="KPC3" t="s">
        <v>8241</v>
      </c>
      <c r="KPD3" t="s">
        <v>8242</v>
      </c>
      <c r="KPE3" t="s">
        <v>8243</v>
      </c>
      <c r="KPF3" t="s">
        <v>8244</v>
      </c>
      <c r="KPG3" t="s">
        <v>8245</v>
      </c>
      <c r="KPH3" t="s">
        <v>8246</v>
      </c>
      <c r="KPI3" t="s">
        <v>8247</v>
      </c>
      <c r="KPJ3" t="s">
        <v>8248</v>
      </c>
      <c r="KPK3" t="s">
        <v>8249</v>
      </c>
      <c r="KPL3" t="s">
        <v>8250</v>
      </c>
      <c r="KPM3" t="s">
        <v>8251</v>
      </c>
      <c r="KPN3" t="s">
        <v>8252</v>
      </c>
      <c r="KPO3" t="s">
        <v>8253</v>
      </c>
      <c r="KPP3" t="s">
        <v>8254</v>
      </c>
      <c r="KPQ3" t="s">
        <v>8255</v>
      </c>
      <c r="KPR3" t="s">
        <v>8256</v>
      </c>
      <c r="KPS3" t="s">
        <v>8257</v>
      </c>
      <c r="KPT3" t="s">
        <v>8258</v>
      </c>
      <c r="KPU3" t="s">
        <v>8259</v>
      </c>
      <c r="KPV3" t="s">
        <v>8260</v>
      </c>
      <c r="KPW3" t="s">
        <v>8261</v>
      </c>
      <c r="KPX3" t="s">
        <v>8262</v>
      </c>
      <c r="KPY3" t="s">
        <v>8263</v>
      </c>
      <c r="KPZ3" t="s">
        <v>8264</v>
      </c>
      <c r="KQA3" t="s">
        <v>8265</v>
      </c>
      <c r="KQB3" t="s">
        <v>8266</v>
      </c>
      <c r="KQC3" t="s">
        <v>8267</v>
      </c>
      <c r="KQD3" t="s">
        <v>8268</v>
      </c>
      <c r="KQE3" t="s">
        <v>8269</v>
      </c>
      <c r="KQF3" t="s">
        <v>8270</v>
      </c>
      <c r="KQG3" t="s">
        <v>8271</v>
      </c>
      <c r="KQH3" t="s">
        <v>8272</v>
      </c>
      <c r="KQI3" t="s">
        <v>8273</v>
      </c>
      <c r="KQJ3" t="s">
        <v>8274</v>
      </c>
      <c r="KQK3" t="s">
        <v>8275</v>
      </c>
      <c r="KQL3" t="s">
        <v>8276</v>
      </c>
      <c r="KQM3" t="s">
        <v>8277</v>
      </c>
      <c r="KQN3" t="s">
        <v>8278</v>
      </c>
      <c r="KQO3" t="s">
        <v>8279</v>
      </c>
      <c r="KQP3" t="s">
        <v>8280</v>
      </c>
      <c r="KQQ3" t="s">
        <v>8281</v>
      </c>
      <c r="KQR3" t="s">
        <v>8282</v>
      </c>
      <c r="KQS3" t="s">
        <v>8283</v>
      </c>
      <c r="KQT3" t="s">
        <v>8284</v>
      </c>
      <c r="KQU3" t="s">
        <v>8285</v>
      </c>
      <c r="KQV3" t="s">
        <v>8286</v>
      </c>
      <c r="KQW3" t="s">
        <v>8287</v>
      </c>
      <c r="KQX3" t="s">
        <v>8288</v>
      </c>
      <c r="KQY3" t="s">
        <v>8289</v>
      </c>
      <c r="KQZ3" t="s">
        <v>8290</v>
      </c>
      <c r="KRA3" t="s">
        <v>8291</v>
      </c>
      <c r="KRB3" t="s">
        <v>8292</v>
      </c>
      <c r="KRC3" t="s">
        <v>8293</v>
      </c>
      <c r="KRD3" t="s">
        <v>8294</v>
      </c>
      <c r="KRE3" t="s">
        <v>8295</v>
      </c>
      <c r="KRF3" t="s">
        <v>8296</v>
      </c>
      <c r="KRG3" t="s">
        <v>8297</v>
      </c>
      <c r="KRH3" t="s">
        <v>8298</v>
      </c>
      <c r="KRI3" t="s">
        <v>8299</v>
      </c>
      <c r="KRJ3" t="s">
        <v>8300</v>
      </c>
      <c r="KRK3" t="s">
        <v>8301</v>
      </c>
      <c r="KRL3" t="s">
        <v>8302</v>
      </c>
      <c r="KRM3" t="s">
        <v>8303</v>
      </c>
      <c r="KRN3" t="s">
        <v>8304</v>
      </c>
      <c r="KRO3" t="s">
        <v>8305</v>
      </c>
      <c r="KRP3" t="s">
        <v>8306</v>
      </c>
      <c r="KRQ3" t="s">
        <v>8307</v>
      </c>
      <c r="KRR3" t="s">
        <v>8308</v>
      </c>
      <c r="KRS3" t="s">
        <v>8309</v>
      </c>
      <c r="KRT3" t="s">
        <v>8310</v>
      </c>
      <c r="KRU3" t="s">
        <v>8311</v>
      </c>
      <c r="KRV3" t="s">
        <v>8312</v>
      </c>
      <c r="KRW3" t="s">
        <v>8313</v>
      </c>
      <c r="KRX3" t="s">
        <v>8314</v>
      </c>
      <c r="KRY3" t="s">
        <v>8315</v>
      </c>
      <c r="KRZ3" t="s">
        <v>8316</v>
      </c>
      <c r="KSA3" t="s">
        <v>8317</v>
      </c>
      <c r="KSB3" t="s">
        <v>8318</v>
      </c>
      <c r="KSC3" t="s">
        <v>8319</v>
      </c>
      <c r="KSD3" t="s">
        <v>8320</v>
      </c>
      <c r="KSE3" t="s">
        <v>8321</v>
      </c>
      <c r="KSF3" t="s">
        <v>8322</v>
      </c>
      <c r="KSG3" t="s">
        <v>8323</v>
      </c>
      <c r="KSH3" t="s">
        <v>8324</v>
      </c>
      <c r="KSI3" t="s">
        <v>8325</v>
      </c>
      <c r="KSJ3" t="s">
        <v>8326</v>
      </c>
      <c r="KSK3" t="s">
        <v>8327</v>
      </c>
      <c r="KSL3" t="s">
        <v>8328</v>
      </c>
      <c r="KSM3" t="s">
        <v>8329</v>
      </c>
      <c r="KSN3" t="s">
        <v>8330</v>
      </c>
      <c r="KSO3" t="s">
        <v>8331</v>
      </c>
      <c r="KSP3" t="s">
        <v>8332</v>
      </c>
      <c r="KSQ3" t="s">
        <v>8333</v>
      </c>
      <c r="KSR3" t="s">
        <v>8334</v>
      </c>
      <c r="KSS3" t="s">
        <v>8335</v>
      </c>
      <c r="KST3" t="s">
        <v>8336</v>
      </c>
      <c r="KSU3" t="s">
        <v>8337</v>
      </c>
      <c r="KSV3" t="s">
        <v>8338</v>
      </c>
      <c r="KSW3" t="s">
        <v>8339</v>
      </c>
      <c r="KSX3" t="s">
        <v>8340</v>
      </c>
      <c r="KSY3" t="s">
        <v>8341</v>
      </c>
      <c r="KSZ3" t="s">
        <v>8342</v>
      </c>
      <c r="KTA3" t="s">
        <v>8343</v>
      </c>
      <c r="KTB3" t="s">
        <v>8344</v>
      </c>
      <c r="KTC3" t="s">
        <v>8345</v>
      </c>
      <c r="KTD3" t="s">
        <v>8346</v>
      </c>
      <c r="KTE3" t="s">
        <v>8347</v>
      </c>
      <c r="KTF3" t="s">
        <v>8348</v>
      </c>
      <c r="KTG3" t="s">
        <v>8349</v>
      </c>
      <c r="KTH3" t="s">
        <v>8350</v>
      </c>
      <c r="KTI3" t="s">
        <v>8351</v>
      </c>
      <c r="KTJ3" t="s">
        <v>8352</v>
      </c>
      <c r="KTK3" t="s">
        <v>8353</v>
      </c>
      <c r="KTL3" t="s">
        <v>8354</v>
      </c>
      <c r="KTM3" t="s">
        <v>8355</v>
      </c>
      <c r="KTN3" t="s">
        <v>8356</v>
      </c>
      <c r="KTO3" t="s">
        <v>8357</v>
      </c>
      <c r="KTP3" t="s">
        <v>8358</v>
      </c>
      <c r="KTQ3" t="s">
        <v>8359</v>
      </c>
      <c r="KTR3" t="s">
        <v>8360</v>
      </c>
      <c r="KTS3" t="s">
        <v>8361</v>
      </c>
      <c r="KTT3" t="s">
        <v>8362</v>
      </c>
      <c r="KTU3" t="s">
        <v>8363</v>
      </c>
      <c r="KTV3" t="s">
        <v>8364</v>
      </c>
      <c r="KTW3" t="s">
        <v>8365</v>
      </c>
      <c r="KTX3" t="s">
        <v>8366</v>
      </c>
      <c r="KTY3" t="s">
        <v>8367</v>
      </c>
      <c r="KTZ3" t="s">
        <v>8368</v>
      </c>
      <c r="KUA3" t="s">
        <v>8369</v>
      </c>
      <c r="KUB3" t="s">
        <v>8370</v>
      </c>
      <c r="KUC3" t="s">
        <v>8371</v>
      </c>
      <c r="KUD3" t="s">
        <v>8372</v>
      </c>
      <c r="KUE3" t="s">
        <v>8373</v>
      </c>
      <c r="KUF3" t="s">
        <v>8374</v>
      </c>
      <c r="KUG3" t="s">
        <v>8375</v>
      </c>
      <c r="KUH3" t="s">
        <v>8376</v>
      </c>
      <c r="KUI3" t="s">
        <v>8377</v>
      </c>
      <c r="KUJ3" t="s">
        <v>8378</v>
      </c>
      <c r="KUK3" t="s">
        <v>8379</v>
      </c>
      <c r="KUL3" t="s">
        <v>8380</v>
      </c>
      <c r="KUM3" t="s">
        <v>8381</v>
      </c>
      <c r="KUN3" t="s">
        <v>8382</v>
      </c>
      <c r="KUO3" t="s">
        <v>8383</v>
      </c>
      <c r="KUP3" t="s">
        <v>8384</v>
      </c>
      <c r="KUQ3" t="s">
        <v>8385</v>
      </c>
      <c r="KUR3" t="s">
        <v>8386</v>
      </c>
      <c r="KUS3" t="s">
        <v>8387</v>
      </c>
      <c r="KUT3" t="s">
        <v>8388</v>
      </c>
      <c r="KUU3" t="s">
        <v>8389</v>
      </c>
      <c r="KUV3" t="s">
        <v>8390</v>
      </c>
      <c r="KUW3" t="s">
        <v>8391</v>
      </c>
      <c r="KUX3" t="s">
        <v>8392</v>
      </c>
      <c r="KUY3" t="s">
        <v>8393</v>
      </c>
      <c r="KUZ3" t="s">
        <v>8394</v>
      </c>
      <c r="KVA3" t="s">
        <v>8395</v>
      </c>
      <c r="KVB3" t="s">
        <v>8396</v>
      </c>
      <c r="KVC3" t="s">
        <v>8397</v>
      </c>
      <c r="KVD3" t="s">
        <v>8398</v>
      </c>
      <c r="KVE3" t="s">
        <v>8399</v>
      </c>
      <c r="KVF3" t="s">
        <v>8400</v>
      </c>
      <c r="KVG3" t="s">
        <v>8401</v>
      </c>
      <c r="KVH3" t="s">
        <v>8402</v>
      </c>
      <c r="KVI3" t="s">
        <v>8403</v>
      </c>
      <c r="KVJ3" t="s">
        <v>8404</v>
      </c>
      <c r="KVK3" t="s">
        <v>8405</v>
      </c>
      <c r="KVL3" t="s">
        <v>8406</v>
      </c>
      <c r="KVM3" t="s">
        <v>8407</v>
      </c>
      <c r="KVN3" t="s">
        <v>8408</v>
      </c>
      <c r="KVO3" t="s">
        <v>8409</v>
      </c>
      <c r="KVP3" t="s">
        <v>8410</v>
      </c>
      <c r="KVQ3" t="s">
        <v>8411</v>
      </c>
      <c r="KVR3" t="s">
        <v>8412</v>
      </c>
      <c r="KVS3" t="s">
        <v>8413</v>
      </c>
      <c r="KVT3" t="s">
        <v>8414</v>
      </c>
      <c r="KVU3" t="s">
        <v>8415</v>
      </c>
      <c r="KVV3" t="s">
        <v>8416</v>
      </c>
      <c r="KVW3" t="s">
        <v>8417</v>
      </c>
      <c r="KVX3" t="s">
        <v>8418</v>
      </c>
      <c r="KVY3" t="s">
        <v>8419</v>
      </c>
      <c r="KVZ3" t="s">
        <v>8420</v>
      </c>
      <c r="KWA3" t="s">
        <v>8421</v>
      </c>
      <c r="KWB3" t="s">
        <v>8422</v>
      </c>
      <c r="KWC3" t="s">
        <v>8423</v>
      </c>
      <c r="KWD3" t="s">
        <v>8424</v>
      </c>
      <c r="KWE3" t="s">
        <v>8425</v>
      </c>
      <c r="KWF3" t="s">
        <v>8426</v>
      </c>
      <c r="KWG3" t="s">
        <v>8427</v>
      </c>
      <c r="KWH3" t="s">
        <v>8428</v>
      </c>
      <c r="KWI3" t="s">
        <v>8429</v>
      </c>
      <c r="KWJ3" t="s">
        <v>8430</v>
      </c>
      <c r="KWK3" t="s">
        <v>8431</v>
      </c>
      <c r="KWL3" t="s">
        <v>8432</v>
      </c>
      <c r="KWM3" t="s">
        <v>8433</v>
      </c>
      <c r="KWN3" t="s">
        <v>8434</v>
      </c>
      <c r="KWO3" t="s">
        <v>8435</v>
      </c>
      <c r="KWP3" t="s">
        <v>8436</v>
      </c>
      <c r="KWQ3" t="s">
        <v>8437</v>
      </c>
      <c r="KWR3" t="s">
        <v>8438</v>
      </c>
      <c r="KWS3" t="s">
        <v>8439</v>
      </c>
      <c r="KWT3" t="s">
        <v>8440</v>
      </c>
      <c r="KWU3" t="s">
        <v>8441</v>
      </c>
      <c r="KWV3" t="s">
        <v>8442</v>
      </c>
      <c r="KWW3" t="s">
        <v>8443</v>
      </c>
      <c r="KWX3" t="s">
        <v>8444</v>
      </c>
      <c r="KWY3" t="s">
        <v>8445</v>
      </c>
      <c r="KWZ3" t="s">
        <v>8446</v>
      </c>
      <c r="KXA3" t="s">
        <v>8447</v>
      </c>
      <c r="KXB3" t="s">
        <v>8448</v>
      </c>
      <c r="KXC3" t="s">
        <v>8449</v>
      </c>
      <c r="KXD3" t="s">
        <v>8450</v>
      </c>
      <c r="KXE3" t="s">
        <v>8451</v>
      </c>
      <c r="KXF3" t="s">
        <v>8452</v>
      </c>
      <c r="KXG3" t="s">
        <v>8453</v>
      </c>
      <c r="KXH3" t="s">
        <v>8454</v>
      </c>
      <c r="KXI3" t="s">
        <v>8455</v>
      </c>
      <c r="KXJ3" t="s">
        <v>8456</v>
      </c>
      <c r="KXK3" t="s">
        <v>8457</v>
      </c>
      <c r="KXL3" t="s">
        <v>8458</v>
      </c>
      <c r="KXM3" t="s">
        <v>8459</v>
      </c>
      <c r="KXN3" t="s">
        <v>8460</v>
      </c>
      <c r="KXO3" t="s">
        <v>8461</v>
      </c>
      <c r="KXP3" t="s">
        <v>8462</v>
      </c>
      <c r="KXQ3" t="s">
        <v>8463</v>
      </c>
      <c r="KXR3" t="s">
        <v>8464</v>
      </c>
      <c r="KXS3" t="s">
        <v>8465</v>
      </c>
      <c r="KXT3" t="s">
        <v>8466</v>
      </c>
      <c r="KXU3" t="s">
        <v>8467</v>
      </c>
      <c r="KXV3" t="s">
        <v>8468</v>
      </c>
      <c r="KXW3" t="s">
        <v>8469</v>
      </c>
      <c r="KXX3" t="s">
        <v>8470</v>
      </c>
      <c r="KXY3" t="s">
        <v>8471</v>
      </c>
      <c r="KXZ3" t="s">
        <v>8472</v>
      </c>
      <c r="KYA3" t="s">
        <v>8473</v>
      </c>
      <c r="KYB3" t="s">
        <v>8474</v>
      </c>
      <c r="KYC3" t="s">
        <v>8475</v>
      </c>
      <c r="KYD3" t="s">
        <v>8476</v>
      </c>
      <c r="KYE3" t="s">
        <v>8477</v>
      </c>
      <c r="KYF3" t="s">
        <v>8478</v>
      </c>
      <c r="KYG3" t="s">
        <v>8479</v>
      </c>
      <c r="KYH3" t="s">
        <v>8480</v>
      </c>
      <c r="KYI3" t="s">
        <v>8481</v>
      </c>
      <c r="KYJ3" t="s">
        <v>8482</v>
      </c>
      <c r="KYK3" t="s">
        <v>8483</v>
      </c>
      <c r="KYL3" t="s">
        <v>8484</v>
      </c>
      <c r="KYM3" t="s">
        <v>8485</v>
      </c>
      <c r="KYN3" t="s">
        <v>8486</v>
      </c>
      <c r="KYO3" t="s">
        <v>8487</v>
      </c>
      <c r="KYP3" t="s">
        <v>8488</v>
      </c>
      <c r="KYQ3" t="s">
        <v>8489</v>
      </c>
      <c r="KYR3" t="s">
        <v>8490</v>
      </c>
      <c r="KYS3" t="s">
        <v>8491</v>
      </c>
      <c r="KYT3" t="s">
        <v>8492</v>
      </c>
      <c r="KYU3" t="s">
        <v>8493</v>
      </c>
      <c r="KYV3" t="s">
        <v>8494</v>
      </c>
      <c r="KYW3" t="s">
        <v>8495</v>
      </c>
      <c r="KYX3" t="s">
        <v>8496</v>
      </c>
      <c r="KYY3" t="s">
        <v>8497</v>
      </c>
      <c r="KYZ3" t="s">
        <v>8498</v>
      </c>
      <c r="KZA3" t="s">
        <v>8499</v>
      </c>
      <c r="KZB3" t="s">
        <v>8500</v>
      </c>
      <c r="KZC3" t="s">
        <v>8501</v>
      </c>
      <c r="KZD3" t="s">
        <v>8502</v>
      </c>
      <c r="KZE3" t="s">
        <v>8503</v>
      </c>
      <c r="KZF3" t="s">
        <v>8504</v>
      </c>
      <c r="KZG3" t="s">
        <v>8505</v>
      </c>
      <c r="KZH3" t="s">
        <v>8506</v>
      </c>
      <c r="KZI3" t="s">
        <v>8507</v>
      </c>
      <c r="KZJ3" t="s">
        <v>8508</v>
      </c>
      <c r="KZK3" t="s">
        <v>8509</v>
      </c>
      <c r="KZL3" t="s">
        <v>8510</v>
      </c>
      <c r="KZM3" t="s">
        <v>8511</v>
      </c>
      <c r="KZN3" t="s">
        <v>8512</v>
      </c>
      <c r="KZO3" t="s">
        <v>8513</v>
      </c>
      <c r="KZP3" t="s">
        <v>8514</v>
      </c>
      <c r="KZQ3" t="s">
        <v>8515</v>
      </c>
      <c r="KZR3" t="s">
        <v>8516</v>
      </c>
      <c r="KZS3" t="s">
        <v>8517</v>
      </c>
      <c r="KZT3" t="s">
        <v>8518</v>
      </c>
      <c r="KZU3" t="s">
        <v>8519</v>
      </c>
      <c r="KZV3" t="s">
        <v>8520</v>
      </c>
      <c r="KZW3" t="s">
        <v>8521</v>
      </c>
      <c r="KZX3" t="s">
        <v>8522</v>
      </c>
      <c r="KZY3" t="s">
        <v>8523</v>
      </c>
      <c r="KZZ3" t="s">
        <v>8524</v>
      </c>
      <c r="LAA3" t="s">
        <v>8525</v>
      </c>
      <c r="LAB3" t="s">
        <v>8526</v>
      </c>
      <c r="LAC3" t="s">
        <v>8527</v>
      </c>
      <c r="LAD3" t="s">
        <v>8528</v>
      </c>
      <c r="LAE3" t="s">
        <v>8529</v>
      </c>
      <c r="LAF3" t="s">
        <v>8530</v>
      </c>
      <c r="LAG3" t="s">
        <v>8531</v>
      </c>
      <c r="LAH3" t="s">
        <v>8532</v>
      </c>
      <c r="LAI3" t="s">
        <v>8533</v>
      </c>
      <c r="LAJ3" t="s">
        <v>8534</v>
      </c>
      <c r="LAK3" t="s">
        <v>8535</v>
      </c>
      <c r="LAL3" t="s">
        <v>8536</v>
      </c>
      <c r="LAM3" t="s">
        <v>8537</v>
      </c>
      <c r="LAN3" t="s">
        <v>8538</v>
      </c>
      <c r="LAO3" t="s">
        <v>8539</v>
      </c>
      <c r="LAP3" t="s">
        <v>8540</v>
      </c>
      <c r="LAQ3" t="s">
        <v>8541</v>
      </c>
      <c r="LAR3" t="s">
        <v>8542</v>
      </c>
      <c r="LAS3" t="s">
        <v>8543</v>
      </c>
      <c r="LAT3" t="s">
        <v>8544</v>
      </c>
      <c r="LAU3" t="s">
        <v>8545</v>
      </c>
      <c r="LAV3" t="s">
        <v>8546</v>
      </c>
      <c r="LAW3" t="s">
        <v>8547</v>
      </c>
      <c r="LAX3" t="s">
        <v>8548</v>
      </c>
      <c r="LAY3" t="s">
        <v>8549</v>
      </c>
      <c r="LAZ3" t="s">
        <v>8550</v>
      </c>
      <c r="LBA3" t="s">
        <v>8551</v>
      </c>
      <c r="LBB3" t="s">
        <v>8552</v>
      </c>
      <c r="LBC3" t="s">
        <v>8553</v>
      </c>
      <c r="LBD3" t="s">
        <v>8554</v>
      </c>
      <c r="LBE3" t="s">
        <v>8555</v>
      </c>
      <c r="LBF3" t="s">
        <v>8556</v>
      </c>
      <c r="LBG3" t="s">
        <v>8557</v>
      </c>
      <c r="LBH3" t="s">
        <v>8558</v>
      </c>
      <c r="LBI3" t="s">
        <v>8559</v>
      </c>
      <c r="LBJ3" t="s">
        <v>8560</v>
      </c>
      <c r="LBK3" t="s">
        <v>8561</v>
      </c>
      <c r="LBL3" t="s">
        <v>8562</v>
      </c>
      <c r="LBM3" t="s">
        <v>8563</v>
      </c>
      <c r="LBN3" t="s">
        <v>8564</v>
      </c>
      <c r="LBO3" t="s">
        <v>8565</v>
      </c>
      <c r="LBP3" t="s">
        <v>8566</v>
      </c>
      <c r="LBQ3" t="s">
        <v>8567</v>
      </c>
      <c r="LBR3" t="s">
        <v>8568</v>
      </c>
      <c r="LBS3" t="s">
        <v>8569</v>
      </c>
      <c r="LBT3" t="s">
        <v>8570</v>
      </c>
      <c r="LBU3" t="s">
        <v>8571</v>
      </c>
      <c r="LBV3" t="s">
        <v>8572</v>
      </c>
      <c r="LBW3" t="s">
        <v>8573</v>
      </c>
      <c r="LBX3" t="s">
        <v>8574</v>
      </c>
      <c r="LBY3" t="s">
        <v>8575</v>
      </c>
      <c r="LBZ3" t="s">
        <v>8576</v>
      </c>
      <c r="LCA3" t="s">
        <v>8577</v>
      </c>
      <c r="LCB3" t="s">
        <v>8578</v>
      </c>
      <c r="LCC3" t="s">
        <v>8579</v>
      </c>
      <c r="LCD3" t="s">
        <v>8580</v>
      </c>
      <c r="LCE3" t="s">
        <v>8581</v>
      </c>
      <c r="LCF3" t="s">
        <v>8582</v>
      </c>
      <c r="LCG3" t="s">
        <v>8583</v>
      </c>
      <c r="LCH3" t="s">
        <v>8584</v>
      </c>
      <c r="LCI3" t="s">
        <v>8585</v>
      </c>
      <c r="LCJ3" t="s">
        <v>8586</v>
      </c>
      <c r="LCK3" t="s">
        <v>8587</v>
      </c>
      <c r="LCL3" t="s">
        <v>8588</v>
      </c>
      <c r="LCM3" t="s">
        <v>8589</v>
      </c>
      <c r="LCN3" t="s">
        <v>8590</v>
      </c>
      <c r="LCO3" t="s">
        <v>8591</v>
      </c>
      <c r="LCP3" t="s">
        <v>8592</v>
      </c>
      <c r="LCQ3" t="s">
        <v>8593</v>
      </c>
      <c r="LCR3" t="s">
        <v>8594</v>
      </c>
      <c r="LCS3" t="s">
        <v>8595</v>
      </c>
      <c r="LCT3" t="s">
        <v>8596</v>
      </c>
      <c r="LCU3" t="s">
        <v>8597</v>
      </c>
      <c r="LCV3" t="s">
        <v>8598</v>
      </c>
      <c r="LCW3" t="s">
        <v>8599</v>
      </c>
      <c r="LCX3" t="s">
        <v>8600</v>
      </c>
      <c r="LCY3" t="s">
        <v>8601</v>
      </c>
      <c r="LCZ3" t="s">
        <v>8602</v>
      </c>
      <c r="LDA3" t="s">
        <v>8603</v>
      </c>
      <c r="LDB3" t="s">
        <v>8604</v>
      </c>
      <c r="LDC3" t="s">
        <v>8605</v>
      </c>
      <c r="LDD3" t="s">
        <v>8606</v>
      </c>
      <c r="LDE3" t="s">
        <v>8607</v>
      </c>
      <c r="LDF3" t="s">
        <v>8608</v>
      </c>
      <c r="LDG3" t="s">
        <v>8609</v>
      </c>
      <c r="LDH3" t="s">
        <v>8610</v>
      </c>
      <c r="LDI3" t="s">
        <v>8611</v>
      </c>
      <c r="LDJ3" t="s">
        <v>8612</v>
      </c>
      <c r="LDK3" t="s">
        <v>8613</v>
      </c>
      <c r="LDL3" t="s">
        <v>8614</v>
      </c>
      <c r="LDM3" t="s">
        <v>8615</v>
      </c>
      <c r="LDN3" t="s">
        <v>8616</v>
      </c>
      <c r="LDO3" t="s">
        <v>8617</v>
      </c>
      <c r="LDP3" t="s">
        <v>8618</v>
      </c>
      <c r="LDQ3" t="s">
        <v>8619</v>
      </c>
      <c r="LDR3" t="s">
        <v>8620</v>
      </c>
      <c r="LDS3" t="s">
        <v>8621</v>
      </c>
      <c r="LDT3" t="s">
        <v>8622</v>
      </c>
      <c r="LDU3" t="s">
        <v>8623</v>
      </c>
      <c r="LDV3" t="s">
        <v>8624</v>
      </c>
      <c r="LDW3" t="s">
        <v>8625</v>
      </c>
      <c r="LDX3" t="s">
        <v>8626</v>
      </c>
      <c r="LDY3" t="s">
        <v>8627</v>
      </c>
      <c r="LDZ3" t="s">
        <v>8628</v>
      </c>
      <c r="LEA3" t="s">
        <v>8629</v>
      </c>
      <c r="LEB3" t="s">
        <v>8630</v>
      </c>
      <c r="LEC3" t="s">
        <v>8631</v>
      </c>
      <c r="LED3" t="s">
        <v>8632</v>
      </c>
      <c r="LEE3" t="s">
        <v>8633</v>
      </c>
      <c r="LEF3" t="s">
        <v>8634</v>
      </c>
      <c r="LEG3" t="s">
        <v>8635</v>
      </c>
      <c r="LEH3" t="s">
        <v>8636</v>
      </c>
      <c r="LEI3" t="s">
        <v>8637</v>
      </c>
      <c r="LEJ3" t="s">
        <v>8638</v>
      </c>
      <c r="LEK3" t="s">
        <v>8639</v>
      </c>
      <c r="LEL3" t="s">
        <v>8640</v>
      </c>
      <c r="LEM3" t="s">
        <v>8641</v>
      </c>
      <c r="LEN3" t="s">
        <v>8642</v>
      </c>
      <c r="LEO3" t="s">
        <v>8643</v>
      </c>
      <c r="LEP3" t="s">
        <v>8644</v>
      </c>
      <c r="LEQ3" t="s">
        <v>8645</v>
      </c>
      <c r="LER3" t="s">
        <v>8646</v>
      </c>
      <c r="LES3" t="s">
        <v>8647</v>
      </c>
      <c r="LET3" t="s">
        <v>8648</v>
      </c>
      <c r="LEU3" t="s">
        <v>8649</v>
      </c>
      <c r="LEV3" t="s">
        <v>8650</v>
      </c>
      <c r="LEW3" t="s">
        <v>8651</v>
      </c>
      <c r="LEX3" t="s">
        <v>8652</v>
      </c>
      <c r="LEY3" t="s">
        <v>8653</v>
      </c>
      <c r="LEZ3" t="s">
        <v>8654</v>
      </c>
      <c r="LFA3" t="s">
        <v>8655</v>
      </c>
      <c r="LFB3" t="s">
        <v>8656</v>
      </c>
      <c r="LFC3" t="s">
        <v>8657</v>
      </c>
      <c r="LFD3" t="s">
        <v>8658</v>
      </c>
      <c r="LFE3" t="s">
        <v>8659</v>
      </c>
      <c r="LFF3" t="s">
        <v>8660</v>
      </c>
      <c r="LFG3" t="s">
        <v>8661</v>
      </c>
      <c r="LFH3" t="s">
        <v>8662</v>
      </c>
      <c r="LFI3" t="s">
        <v>8663</v>
      </c>
      <c r="LFJ3" t="s">
        <v>8664</v>
      </c>
      <c r="LFK3" t="s">
        <v>8665</v>
      </c>
      <c r="LFL3" t="s">
        <v>8666</v>
      </c>
      <c r="LFM3" t="s">
        <v>8667</v>
      </c>
      <c r="LFN3" t="s">
        <v>8668</v>
      </c>
      <c r="LFO3" t="s">
        <v>8669</v>
      </c>
      <c r="LFP3" t="s">
        <v>8670</v>
      </c>
      <c r="LFQ3" t="s">
        <v>8671</v>
      </c>
      <c r="LFR3" t="s">
        <v>8672</v>
      </c>
      <c r="LFS3" t="s">
        <v>8673</v>
      </c>
      <c r="LFT3" t="s">
        <v>8674</v>
      </c>
      <c r="LFU3" t="s">
        <v>8675</v>
      </c>
      <c r="LFV3" t="s">
        <v>8676</v>
      </c>
      <c r="LFW3" t="s">
        <v>8677</v>
      </c>
      <c r="LFX3" t="s">
        <v>8678</v>
      </c>
      <c r="LFY3" t="s">
        <v>8679</v>
      </c>
      <c r="LFZ3" t="s">
        <v>8680</v>
      </c>
      <c r="LGA3" t="s">
        <v>8681</v>
      </c>
      <c r="LGB3" t="s">
        <v>8682</v>
      </c>
      <c r="LGC3" t="s">
        <v>8683</v>
      </c>
      <c r="LGD3" t="s">
        <v>8684</v>
      </c>
      <c r="LGE3" t="s">
        <v>8685</v>
      </c>
      <c r="LGF3" t="s">
        <v>8686</v>
      </c>
      <c r="LGG3" t="s">
        <v>8687</v>
      </c>
      <c r="LGH3" t="s">
        <v>8688</v>
      </c>
      <c r="LGI3" t="s">
        <v>8689</v>
      </c>
      <c r="LGJ3" t="s">
        <v>8690</v>
      </c>
      <c r="LGK3" t="s">
        <v>8691</v>
      </c>
      <c r="LGL3" t="s">
        <v>8692</v>
      </c>
      <c r="LGM3" t="s">
        <v>8693</v>
      </c>
      <c r="LGN3" t="s">
        <v>8694</v>
      </c>
      <c r="LGO3" t="s">
        <v>8695</v>
      </c>
      <c r="LGP3" t="s">
        <v>8696</v>
      </c>
      <c r="LGQ3" t="s">
        <v>8697</v>
      </c>
      <c r="LGR3" t="s">
        <v>8698</v>
      </c>
      <c r="LGS3" t="s">
        <v>8699</v>
      </c>
      <c r="LGT3" t="s">
        <v>8700</v>
      </c>
      <c r="LGU3" t="s">
        <v>8701</v>
      </c>
      <c r="LGV3" t="s">
        <v>8702</v>
      </c>
      <c r="LGW3" t="s">
        <v>8703</v>
      </c>
      <c r="LGX3" t="s">
        <v>8704</v>
      </c>
      <c r="LGY3" t="s">
        <v>8705</v>
      </c>
      <c r="LGZ3" t="s">
        <v>8706</v>
      </c>
      <c r="LHA3" t="s">
        <v>8707</v>
      </c>
      <c r="LHB3" t="s">
        <v>8708</v>
      </c>
      <c r="LHC3" t="s">
        <v>8709</v>
      </c>
      <c r="LHD3" t="s">
        <v>8710</v>
      </c>
      <c r="LHE3" t="s">
        <v>8711</v>
      </c>
      <c r="LHF3" t="s">
        <v>8712</v>
      </c>
      <c r="LHG3" t="s">
        <v>8713</v>
      </c>
      <c r="LHH3" t="s">
        <v>8714</v>
      </c>
      <c r="LHI3" t="s">
        <v>8715</v>
      </c>
      <c r="LHJ3" t="s">
        <v>8716</v>
      </c>
      <c r="LHK3" t="s">
        <v>8717</v>
      </c>
      <c r="LHL3" t="s">
        <v>8718</v>
      </c>
      <c r="LHM3" t="s">
        <v>8719</v>
      </c>
      <c r="LHN3" t="s">
        <v>8720</v>
      </c>
      <c r="LHO3" t="s">
        <v>8721</v>
      </c>
      <c r="LHP3" t="s">
        <v>8722</v>
      </c>
      <c r="LHQ3" t="s">
        <v>8723</v>
      </c>
      <c r="LHR3" t="s">
        <v>8724</v>
      </c>
      <c r="LHS3" t="s">
        <v>8725</v>
      </c>
      <c r="LHT3" t="s">
        <v>8726</v>
      </c>
      <c r="LHU3" t="s">
        <v>8727</v>
      </c>
      <c r="LHV3" t="s">
        <v>8728</v>
      </c>
      <c r="LHW3" t="s">
        <v>8729</v>
      </c>
      <c r="LHX3" t="s">
        <v>8730</v>
      </c>
      <c r="LHY3" t="s">
        <v>8731</v>
      </c>
      <c r="LHZ3" t="s">
        <v>8732</v>
      </c>
      <c r="LIA3" t="s">
        <v>8733</v>
      </c>
      <c r="LIB3" t="s">
        <v>8734</v>
      </c>
      <c r="LIC3" t="s">
        <v>8735</v>
      </c>
      <c r="LID3" t="s">
        <v>8736</v>
      </c>
      <c r="LIE3" t="s">
        <v>8737</v>
      </c>
      <c r="LIF3" t="s">
        <v>8738</v>
      </c>
      <c r="LIG3" t="s">
        <v>8739</v>
      </c>
      <c r="LIH3" t="s">
        <v>8740</v>
      </c>
      <c r="LII3" t="s">
        <v>8741</v>
      </c>
      <c r="LIJ3" t="s">
        <v>8742</v>
      </c>
      <c r="LIK3" t="s">
        <v>8743</v>
      </c>
      <c r="LIL3" t="s">
        <v>8744</v>
      </c>
      <c r="LIM3" t="s">
        <v>8745</v>
      </c>
      <c r="LIN3" t="s">
        <v>8746</v>
      </c>
      <c r="LIO3" t="s">
        <v>8747</v>
      </c>
      <c r="LIP3" t="s">
        <v>8748</v>
      </c>
      <c r="LIQ3" t="s">
        <v>8749</v>
      </c>
      <c r="LIR3" t="s">
        <v>8750</v>
      </c>
      <c r="LIS3" t="s">
        <v>8751</v>
      </c>
      <c r="LIT3" t="s">
        <v>8752</v>
      </c>
      <c r="LIU3" t="s">
        <v>8753</v>
      </c>
      <c r="LIV3" t="s">
        <v>8754</v>
      </c>
      <c r="LIW3" t="s">
        <v>8755</v>
      </c>
      <c r="LIX3" t="s">
        <v>8756</v>
      </c>
      <c r="LIY3" t="s">
        <v>8757</v>
      </c>
      <c r="LIZ3" t="s">
        <v>8758</v>
      </c>
      <c r="LJA3" t="s">
        <v>8759</v>
      </c>
      <c r="LJB3" t="s">
        <v>8760</v>
      </c>
      <c r="LJC3" t="s">
        <v>8761</v>
      </c>
      <c r="LJD3" t="s">
        <v>8762</v>
      </c>
      <c r="LJE3" t="s">
        <v>8763</v>
      </c>
      <c r="LJF3" t="s">
        <v>8764</v>
      </c>
      <c r="LJG3" t="s">
        <v>8765</v>
      </c>
      <c r="LJH3" t="s">
        <v>8766</v>
      </c>
      <c r="LJI3" t="s">
        <v>8767</v>
      </c>
      <c r="LJJ3" t="s">
        <v>8768</v>
      </c>
      <c r="LJK3" t="s">
        <v>8769</v>
      </c>
      <c r="LJL3" t="s">
        <v>8770</v>
      </c>
      <c r="LJM3" t="s">
        <v>8771</v>
      </c>
      <c r="LJN3" t="s">
        <v>8772</v>
      </c>
      <c r="LJO3" t="s">
        <v>8773</v>
      </c>
      <c r="LJP3" t="s">
        <v>8774</v>
      </c>
      <c r="LJQ3" t="s">
        <v>8775</v>
      </c>
      <c r="LJR3" t="s">
        <v>8776</v>
      </c>
      <c r="LJS3" t="s">
        <v>8777</v>
      </c>
      <c r="LJT3" t="s">
        <v>8778</v>
      </c>
      <c r="LJU3" t="s">
        <v>8779</v>
      </c>
      <c r="LJV3" t="s">
        <v>8780</v>
      </c>
      <c r="LJW3" t="s">
        <v>8781</v>
      </c>
      <c r="LJX3" t="s">
        <v>8782</v>
      </c>
      <c r="LJY3" t="s">
        <v>8783</v>
      </c>
      <c r="LJZ3" t="s">
        <v>8784</v>
      </c>
      <c r="LKA3" t="s">
        <v>8785</v>
      </c>
      <c r="LKB3" t="s">
        <v>8786</v>
      </c>
      <c r="LKC3" t="s">
        <v>8787</v>
      </c>
      <c r="LKD3" t="s">
        <v>8788</v>
      </c>
      <c r="LKE3" t="s">
        <v>8789</v>
      </c>
      <c r="LKF3" t="s">
        <v>8790</v>
      </c>
      <c r="LKG3" t="s">
        <v>8791</v>
      </c>
      <c r="LKH3" t="s">
        <v>8792</v>
      </c>
      <c r="LKI3" t="s">
        <v>8793</v>
      </c>
      <c r="LKJ3" t="s">
        <v>8794</v>
      </c>
      <c r="LKK3" t="s">
        <v>8795</v>
      </c>
      <c r="LKL3" t="s">
        <v>8796</v>
      </c>
      <c r="LKM3" t="s">
        <v>8797</v>
      </c>
      <c r="LKN3" t="s">
        <v>8798</v>
      </c>
      <c r="LKO3" t="s">
        <v>8799</v>
      </c>
      <c r="LKP3" t="s">
        <v>8800</v>
      </c>
      <c r="LKQ3" t="s">
        <v>8801</v>
      </c>
      <c r="LKR3" t="s">
        <v>8802</v>
      </c>
      <c r="LKS3" t="s">
        <v>8803</v>
      </c>
      <c r="LKT3" t="s">
        <v>8804</v>
      </c>
      <c r="LKU3" t="s">
        <v>8805</v>
      </c>
      <c r="LKV3" t="s">
        <v>8806</v>
      </c>
      <c r="LKW3" t="s">
        <v>8807</v>
      </c>
      <c r="LKX3" t="s">
        <v>8808</v>
      </c>
      <c r="LKY3" t="s">
        <v>8809</v>
      </c>
      <c r="LKZ3" t="s">
        <v>8810</v>
      </c>
      <c r="LLA3" t="s">
        <v>8811</v>
      </c>
      <c r="LLB3" t="s">
        <v>8812</v>
      </c>
      <c r="LLC3" t="s">
        <v>8813</v>
      </c>
      <c r="LLD3" t="s">
        <v>8814</v>
      </c>
      <c r="LLE3" t="s">
        <v>8815</v>
      </c>
      <c r="LLF3" t="s">
        <v>8816</v>
      </c>
      <c r="LLG3" t="s">
        <v>8817</v>
      </c>
      <c r="LLH3" t="s">
        <v>8818</v>
      </c>
      <c r="LLI3" t="s">
        <v>8819</v>
      </c>
      <c r="LLJ3" t="s">
        <v>8820</v>
      </c>
      <c r="LLK3" t="s">
        <v>8821</v>
      </c>
      <c r="LLL3" t="s">
        <v>8822</v>
      </c>
      <c r="LLM3" t="s">
        <v>8823</v>
      </c>
      <c r="LLN3" t="s">
        <v>8824</v>
      </c>
      <c r="LLO3" t="s">
        <v>8825</v>
      </c>
      <c r="LLP3" t="s">
        <v>8826</v>
      </c>
      <c r="LLQ3" t="s">
        <v>8827</v>
      </c>
      <c r="LLR3" t="s">
        <v>8828</v>
      </c>
      <c r="LLS3" t="s">
        <v>8829</v>
      </c>
      <c r="LLT3" t="s">
        <v>8830</v>
      </c>
      <c r="LLU3" t="s">
        <v>8831</v>
      </c>
      <c r="LLV3" t="s">
        <v>8832</v>
      </c>
      <c r="LLW3" t="s">
        <v>8833</v>
      </c>
      <c r="LLX3" t="s">
        <v>8834</v>
      </c>
      <c r="LLY3" t="s">
        <v>8835</v>
      </c>
      <c r="LLZ3" t="s">
        <v>8836</v>
      </c>
      <c r="LMA3" t="s">
        <v>8837</v>
      </c>
      <c r="LMB3" t="s">
        <v>8838</v>
      </c>
      <c r="LMC3" t="s">
        <v>8839</v>
      </c>
      <c r="LMD3" t="s">
        <v>8840</v>
      </c>
      <c r="LME3" t="s">
        <v>8841</v>
      </c>
      <c r="LMF3" t="s">
        <v>8842</v>
      </c>
      <c r="LMG3" t="s">
        <v>8843</v>
      </c>
      <c r="LMH3" t="s">
        <v>8844</v>
      </c>
      <c r="LMI3" t="s">
        <v>8845</v>
      </c>
      <c r="LMJ3" t="s">
        <v>8846</v>
      </c>
      <c r="LMK3" t="s">
        <v>8847</v>
      </c>
      <c r="LML3" t="s">
        <v>8848</v>
      </c>
      <c r="LMM3" t="s">
        <v>8849</v>
      </c>
      <c r="LMN3" t="s">
        <v>8850</v>
      </c>
      <c r="LMO3" t="s">
        <v>8851</v>
      </c>
      <c r="LMP3" t="s">
        <v>8852</v>
      </c>
      <c r="LMQ3" t="s">
        <v>8853</v>
      </c>
      <c r="LMR3" t="s">
        <v>8854</v>
      </c>
      <c r="LMS3" t="s">
        <v>8855</v>
      </c>
      <c r="LMT3" t="s">
        <v>8856</v>
      </c>
      <c r="LMU3" t="s">
        <v>8857</v>
      </c>
      <c r="LMV3" t="s">
        <v>8858</v>
      </c>
      <c r="LMW3" t="s">
        <v>8859</v>
      </c>
      <c r="LMX3" t="s">
        <v>8860</v>
      </c>
      <c r="LMY3" t="s">
        <v>8861</v>
      </c>
      <c r="LMZ3" t="s">
        <v>8862</v>
      </c>
      <c r="LNA3" t="s">
        <v>8863</v>
      </c>
      <c r="LNB3" t="s">
        <v>8864</v>
      </c>
      <c r="LNC3" t="s">
        <v>8865</v>
      </c>
      <c r="LND3" t="s">
        <v>8866</v>
      </c>
      <c r="LNE3" t="s">
        <v>8867</v>
      </c>
      <c r="LNF3" t="s">
        <v>8868</v>
      </c>
      <c r="LNG3" t="s">
        <v>8869</v>
      </c>
      <c r="LNH3" t="s">
        <v>8870</v>
      </c>
      <c r="LNI3" t="s">
        <v>8871</v>
      </c>
      <c r="LNJ3" t="s">
        <v>8872</v>
      </c>
      <c r="LNK3" t="s">
        <v>8873</v>
      </c>
      <c r="LNL3" t="s">
        <v>8874</v>
      </c>
      <c r="LNM3" t="s">
        <v>8875</v>
      </c>
      <c r="LNN3" t="s">
        <v>8876</v>
      </c>
      <c r="LNO3" t="s">
        <v>8877</v>
      </c>
      <c r="LNP3" t="s">
        <v>8878</v>
      </c>
      <c r="LNQ3" t="s">
        <v>8879</v>
      </c>
      <c r="LNR3" t="s">
        <v>8880</v>
      </c>
      <c r="LNS3" t="s">
        <v>8881</v>
      </c>
      <c r="LNT3" t="s">
        <v>8882</v>
      </c>
      <c r="LNU3" t="s">
        <v>8883</v>
      </c>
      <c r="LNV3" t="s">
        <v>8884</v>
      </c>
      <c r="LNW3" t="s">
        <v>8885</v>
      </c>
      <c r="LNX3" t="s">
        <v>8886</v>
      </c>
      <c r="LNY3" t="s">
        <v>8887</v>
      </c>
      <c r="LNZ3" t="s">
        <v>8888</v>
      </c>
      <c r="LOA3" t="s">
        <v>8889</v>
      </c>
      <c r="LOB3" t="s">
        <v>8890</v>
      </c>
      <c r="LOC3" t="s">
        <v>8891</v>
      </c>
      <c r="LOD3" t="s">
        <v>8892</v>
      </c>
      <c r="LOE3" t="s">
        <v>8893</v>
      </c>
      <c r="LOF3" t="s">
        <v>8894</v>
      </c>
      <c r="LOG3" t="s">
        <v>8895</v>
      </c>
      <c r="LOH3" t="s">
        <v>8896</v>
      </c>
      <c r="LOI3" t="s">
        <v>8897</v>
      </c>
      <c r="LOJ3" t="s">
        <v>8898</v>
      </c>
      <c r="LOK3" t="s">
        <v>8899</v>
      </c>
      <c r="LOL3" t="s">
        <v>8900</v>
      </c>
      <c r="LOM3" t="s">
        <v>8901</v>
      </c>
      <c r="LON3" t="s">
        <v>8902</v>
      </c>
      <c r="LOO3" t="s">
        <v>8903</v>
      </c>
      <c r="LOP3" t="s">
        <v>8904</v>
      </c>
      <c r="LOQ3" t="s">
        <v>8905</v>
      </c>
      <c r="LOR3" t="s">
        <v>8906</v>
      </c>
      <c r="LOS3" t="s">
        <v>8907</v>
      </c>
      <c r="LOT3" t="s">
        <v>8908</v>
      </c>
      <c r="LOU3" t="s">
        <v>8909</v>
      </c>
      <c r="LOV3" t="s">
        <v>8910</v>
      </c>
      <c r="LOW3" t="s">
        <v>8911</v>
      </c>
      <c r="LOX3" t="s">
        <v>8912</v>
      </c>
      <c r="LOY3" t="s">
        <v>8913</v>
      </c>
      <c r="LOZ3" t="s">
        <v>8914</v>
      </c>
      <c r="LPA3" t="s">
        <v>8915</v>
      </c>
      <c r="LPB3" t="s">
        <v>8916</v>
      </c>
      <c r="LPC3" t="s">
        <v>8917</v>
      </c>
      <c r="LPD3" t="s">
        <v>8918</v>
      </c>
      <c r="LPE3" t="s">
        <v>8919</v>
      </c>
      <c r="LPF3" t="s">
        <v>8920</v>
      </c>
      <c r="LPG3" t="s">
        <v>8921</v>
      </c>
      <c r="LPH3" t="s">
        <v>8922</v>
      </c>
      <c r="LPI3" t="s">
        <v>8923</v>
      </c>
      <c r="LPJ3" t="s">
        <v>8924</v>
      </c>
      <c r="LPK3" t="s">
        <v>8925</v>
      </c>
      <c r="LPL3" t="s">
        <v>8926</v>
      </c>
      <c r="LPM3" t="s">
        <v>8927</v>
      </c>
      <c r="LPN3" t="s">
        <v>8928</v>
      </c>
      <c r="LPO3" t="s">
        <v>8929</v>
      </c>
      <c r="LPP3" t="s">
        <v>8930</v>
      </c>
      <c r="LPQ3" t="s">
        <v>8931</v>
      </c>
      <c r="LPR3" t="s">
        <v>8932</v>
      </c>
      <c r="LPS3" t="s">
        <v>8933</v>
      </c>
      <c r="LPT3" t="s">
        <v>8934</v>
      </c>
      <c r="LPU3" t="s">
        <v>8935</v>
      </c>
      <c r="LPV3" t="s">
        <v>8936</v>
      </c>
      <c r="LPW3" t="s">
        <v>8937</v>
      </c>
      <c r="LPX3" t="s">
        <v>8938</v>
      </c>
      <c r="LPY3" t="s">
        <v>8939</v>
      </c>
      <c r="LPZ3" t="s">
        <v>8940</v>
      </c>
      <c r="LQA3" t="s">
        <v>8941</v>
      </c>
      <c r="LQB3" t="s">
        <v>8942</v>
      </c>
      <c r="LQC3" t="s">
        <v>8943</v>
      </c>
      <c r="LQD3" t="s">
        <v>8944</v>
      </c>
      <c r="LQE3" t="s">
        <v>8945</v>
      </c>
      <c r="LQF3" t="s">
        <v>8946</v>
      </c>
      <c r="LQG3" t="s">
        <v>8947</v>
      </c>
      <c r="LQH3" t="s">
        <v>8948</v>
      </c>
      <c r="LQI3" t="s">
        <v>8949</v>
      </c>
      <c r="LQJ3" t="s">
        <v>8950</v>
      </c>
      <c r="LQK3" t="s">
        <v>8951</v>
      </c>
      <c r="LQL3" t="s">
        <v>8952</v>
      </c>
      <c r="LQM3" t="s">
        <v>8953</v>
      </c>
      <c r="LQN3" t="s">
        <v>8954</v>
      </c>
      <c r="LQO3" t="s">
        <v>8955</v>
      </c>
      <c r="LQP3" t="s">
        <v>8956</v>
      </c>
      <c r="LQQ3" t="s">
        <v>8957</v>
      </c>
      <c r="LQR3" t="s">
        <v>8958</v>
      </c>
      <c r="LQS3" t="s">
        <v>8959</v>
      </c>
      <c r="LQT3" t="s">
        <v>8960</v>
      </c>
      <c r="LQU3" t="s">
        <v>8961</v>
      </c>
      <c r="LQV3" t="s">
        <v>8962</v>
      </c>
      <c r="LQW3" t="s">
        <v>8963</v>
      </c>
      <c r="LQX3" t="s">
        <v>8964</v>
      </c>
      <c r="LQY3" t="s">
        <v>8965</v>
      </c>
      <c r="LQZ3" t="s">
        <v>8966</v>
      </c>
      <c r="LRA3" t="s">
        <v>8967</v>
      </c>
      <c r="LRB3" t="s">
        <v>8968</v>
      </c>
      <c r="LRC3" t="s">
        <v>8969</v>
      </c>
      <c r="LRD3" t="s">
        <v>8970</v>
      </c>
      <c r="LRE3" t="s">
        <v>8971</v>
      </c>
      <c r="LRF3" t="s">
        <v>8972</v>
      </c>
      <c r="LRG3" t="s">
        <v>8973</v>
      </c>
      <c r="LRH3" t="s">
        <v>8974</v>
      </c>
      <c r="LRI3" t="s">
        <v>8975</v>
      </c>
      <c r="LRJ3" t="s">
        <v>8976</v>
      </c>
      <c r="LRK3" t="s">
        <v>8977</v>
      </c>
      <c r="LRL3" t="s">
        <v>8978</v>
      </c>
      <c r="LRM3" t="s">
        <v>8979</v>
      </c>
      <c r="LRN3" t="s">
        <v>8980</v>
      </c>
      <c r="LRO3" t="s">
        <v>8981</v>
      </c>
      <c r="LRP3" t="s">
        <v>8982</v>
      </c>
      <c r="LRQ3" t="s">
        <v>8983</v>
      </c>
      <c r="LRR3" t="s">
        <v>8984</v>
      </c>
      <c r="LRS3" t="s">
        <v>8985</v>
      </c>
      <c r="LRT3" t="s">
        <v>8986</v>
      </c>
      <c r="LRU3" t="s">
        <v>8987</v>
      </c>
      <c r="LRV3" t="s">
        <v>8988</v>
      </c>
      <c r="LRW3" t="s">
        <v>8989</v>
      </c>
      <c r="LRX3" t="s">
        <v>8990</v>
      </c>
      <c r="LRY3" t="s">
        <v>8991</v>
      </c>
      <c r="LRZ3" t="s">
        <v>8992</v>
      </c>
      <c r="LSA3" t="s">
        <v>8993</v>
      </c>
      <c r="LSB3" t="s">
        <v>8994</v>
      </c>
      <c r="LSC3" t="s">
        <v>8995</v>
      </c>
      <c r="LSD3" t="s">
        <v>8996</v>
      </c>
      <c r="LSE3" t="s">
        <v>8997</v>
      </c>
      <c r="LSF3" t="s">
        <v>8998</v>
      </c>
      <c r="LSG3" t="s">
        <v>8999</v>
      </c>
      <c r="LSH3" t="s">
        <v>9000</v>
      </c>
      <c r="LSI3" t="s">
        <v>9001</v>
      </c>
      <c r="LSJ3" t="s">
        <v>9002</v>
      </c>
      <c r="LSK3" t="s">
        <v>9003</v>
      </c>
      <c r="LSL3" t="s">
        <v>9004</v>
      </c>
      <c r="LSM3" t="s">
        <v>9005</v>
      </c>
      <c r="LSN3" t="s">
        <v>9006</v>
      </c>
      <c r="LSO3" t="s">
        <v>9007</v>
      </c>
      <c r="LSP3" t="s">
        <v>9008</v>
      </c>
      <c r="LSQ3" t="s">
        <v>9009</v>
      </c>
      <c r="LSR3" t="s">
        <v>9010</v>
      </c>
      <c r="LSS3" t="s">
        <v>9011</v>
      </c>
      <c r="LST3" t="s">
        <v>9012</v>
      </c>
      <c r="LSU3" t="s">
        <v>9013</v>
      </c>
      <c r="LSV3" t="s">
        <v>9014</v>
      </c>
      <c r="LSW3" t="s">
        <v>9015</v>
      </c>
      <c r="LSX3" t="s">
        <v>9016</v>
      </c>
      <c r="LSY3" t="s">
        <v>9017</v>
      </c>
      <c r="LSZ3" t="s">
        <v>9018</v>
      </c>
      <c r="LTA3" t="s">
        <v>9019</v>
      </c>
      <c r="LTB3" t="s">
        <v>9020</v>
      </c>
      <c r="LTC3" t="s">
        <v>9021</v>
      </c>
      <c r="LTD3" t="s">
        <v>9022</v>
      </c>
      <c r="LTE3" t="s">
        <v>9023</v>
      </c>
      <c r="LTF3" t="s">
        <v>9024</v>
      </c>
      <c r="LTG3" t="s">
        <v>9025</v>
      </c>
      <c r="LTH3" t="s">
        <v>9026</v>
      </c>
      <c r="LTI3" t="s">
        <v>9027</v>
      </c>
      <c r="LTJ3" t="s">
        <v>9028</v>
      </c>
      <c r="LTK3" t="s">
        <v>9029</v>
      </c>
      <c r="LTL3" t="s">
        <v>9030</v>
      </c>
      <c r="LTM3" t="s">
        <v>9031</v>
      </c>
      <c r="LTN3" t="s">
        <v>9032</v>
      </c>
      <c r="LTO3" t="s">
        <v>9033</v>
      </c>
      <c r="LTP3" t="s">
        <v>9034</v>
      </c>
      <c r="LTQ3" t="s">
        <v>9035</v>
      </c>
      <c r="LTR3" t="s">
        <v>9036</v>
      </c>
      <c r="LTS3" t="s">
        <v>9037</v>
      </c>
      <c r="LTT3" t="s">
        <v>9038</v>
      </c>
      <c r="LTU3" t="s">
        <v>9039</v>
      </c>
      <c r="LTV3" t="s">
        <v>9040</v>
      </c>
      <c r="LTW3" t="s">
        <v>9041</v>
      </c>
      <c r="LTX3" t="s">
        <v>9042</v>
      </c>
      <c r="LTY3" t="s">
        <v>9043</v>
      </c>
      <c r="LTZ3" t="s">
        <v>9044</v>
      </c>
      <c r="LUA3" t="s">
        <v>9045</v>
      </c>
      <c r="LUB3" t="s">
        <v>9046</v>
      </c>
      <c r="LUC3" t="s">
        <v>9047</v>
      </c>
      <c r="LUD3" t="s">
        <v>9048</v>
      </c>
      <c r="LUE3" t="s">
        <v>9049</v>
      </c>
      <c r="LUF3" t="s">
        <v>9050</v>
      </c>
      <c r="LUG3" t="s">
        <v>9051</v>
      </c>
      <c r="LUH3" t="s">
        <v>9052</v>
      </c>
      <c r="LUI3" t="s">
        <v>9053</v>
      </c>
      <c r="LUJ3" t="s">
        <v>9054</v>
      </c>
      <c r="LUK3" t="s">
        <v>9055</v>
      </c>
      <c r="LUL3" t="s">
        <v>9056</v>
      </c>
      <c r="LUM3" t="s">
        <v>9057</v>
      </c>
      <c r="LUN3" t="s">
        <v>9058</v>
      </c>
      <c r="LUO3" t="s">
        <v>9059</v>
      </c>
      <c r="LUP3" t="s">
        <v>9060</v>
      </c>
      <c r="LUQ3" t="s">
        <v>9061</v>
      </c>
      <c r="LUR3" t="s">
        <v>9062</v>
      </c>
      <c r="LUS3" t="s">
        <v>9063</v>
      </c>
      <c r="LUT3" t="s">
        <v>9064</v>
      </c>
      <c r="LUU3" t="s">
        <v>9065</v>
      </c>
      <c r="LUV3" t="s">
        <v>9066</v>
      </c>
      <c r="LUW3" t="s">
        <v>9067</v>
      </c>
      <c r="LUX3" t="s">
        <v>9068</v>
      </c>
      <c r="LUY3" t="s">
        <v>9069</v>
      </c>
      <c r="LUZ3" t="s">
        <v>9070</v>
      </c>
      <c r="LVA3" t="s">
        <v>9071</v>
      </c>
      <c r="LVB3" t="s">
        <v>9072</v>
      </c>
      <c r="LVC3" t="s">
        <v>9073</v>
      </c>
      <c r="LVD3" t="s">
        <v>9074</v>
      </c>
      <c r="LVE3" t="s">
        <v>9075</v>
      </c>
      <c r="LVF3" t="s">
        <v>9076</v>
      </c>
      <c r="LVG3" t="s">
        <v>9077</v>
      </c>
      <c r="LVH3" t="s">
        <v>9078</v>
      </c>
      <c r="LVI3" t="s">
        <v>9079</v>
      </c>
      <c r="LVJ3" t="s">
        <v>9080</v>
      </c>
      <c r="LVK3" t="s">
        <v>9081</v>
      </c>
      <c r="LVL3" t="s">
        <v>9082</v>
      </c>
      <c r="LVM3" t="s">
        <v>9083</v>
      </c>
      <c r="LVN3" t="s">
        <v>9084</v>
      </c>
      <c r="LVO3" t="s">
        <v>9085</v>
      </c>
      <c r="LVP3" t="s">
        <v>9086</v>
      </c>
      <c r="LVQ3" t="s">
        <v>9087</v>
      </c>
      <c r="LVR3" t="s">
        <v>9088</v>
      </c>
      <c r="LVS3" t="s">
        <v>9089</v>
      </c>
      <c r="LVT3" t="s">
        <v>9090</v>
      </c>
      <c r="LVU3" t="s">
        <v>9091</v>
      </c>
      <c r="LVV3" t="s">
        <v>9092</v>
      </c>
      <c r="LVW3" t="s">
        <v>9093</v>
      </c>
      <c r="LVX3" t="s">
        <v>9094</v>
      </c>
      <c r="LVY3" t="s">
        <v>9095</v>
      </c>
      <c r="LVZ3" t="s">
        <v>9096</v>
      </c>
      <c r="LWA3" t="s">
        <v>9097</v>
      </c>
      <c r="LWB3" t="s">
        <v>9098</v>
      </c>
      <c r="LWC3" t="s">
        <v>9099</v>
      </c>
      <c r="LWD3" t="s">
        <v>9100</v>
      </c>
      <c r="LWE3" t="s">
        <v>9101</v>
      </c>
      <c r="LWF3" t="s">
        <v>9102</v>
      </c>
      <c r="LWG3" t="s">
        <v>9103</v>
      </c>
      <c r="LWH3" t="s">
        <v>9104</v>
      </c>
      <c r="LWI3" t="s">
        <v>9105</v>
      </c>
      <c r="LWJ3" t="s">
        <v>9106</v>
      </c>
      <c r="LWK3" t="s">
        <v>9107</v>
      </c>
      <c r="LWL3" t="s">
        <v>9108</v>
      </c>
      <c r="LWM3" t="s">
        <v>9109</v>
      </c>
      <c r="LWN3" t="s">
        <v>9110</v>
      </c>
      <c r="LWO3" t="s">
        <v>9111</v>
      </c>
      <c r="LWP3" t="s">
        <v>9112</v>
      </c>
      <c r="LWQ3" t="s">
        <v>9113</v>
      </c>
      <c r="LWR3" t="s">
        <v>9114</v>
      </c>
      <c r="LWS3" t="s">
        <v>9115</v>
      </c>
      <c r="LWT3" t="s">
        <v>9116</v>
      </c>
      <c r="LWU3" t="s">
        <v>9117</v>
      </c>
      <c r="LWV3" t="s">
        <v>9118</v>
      </c>
      <c r="LWW3" t="s">
        <v>9119</v>
      </c>
      <c r="LWX3" t="s">
        <v>9120</v>
      </c>
      <c r="LWY3" t="s">
        <v>9121</v>
      </c>
      <c r="LWZ3" t="s">
        <v>9122</v>
      </c>
      <c r="LXA3" t="s">
        <v>9123</v>
      </c>
      <c r="LXB3" t="s">
        <v>9124</v>
      </c>
      <c r="LXC3" t="s">
        <v>9125</v>
      </c>
      <c r="LXD3" t="s">
        <v>9126</v>
      </c>
      <c r="LXE3" t="s">
        <v>9127</v>
      </c>
      <c r="LXF3" t="s">
        <v>9128</v>
      </c>
      <c r="LXG3" t="s">
        <v>9129</v>
      </c>
      <c r="LXH3" t="s">
        <v>9130</v>
      </c>
      <c r="LXI3" t="s">
        <v>9131</v>
      </c>
      <c r="LXJ3" t="s">
        <v>9132</v>
      </c>
      <c r="LXK3" t="s">
        <v>9133</v>
      </c>
      <c r="LXL3" t="s">
        <v>9134</v>
      </c>
      <c r="LXM3" t="s">
        <v>9135</v>
      </c>
      <c r="LXN3" t="s">
        <v>9136</v>
      </c>
      <c r="LXO3" t="s">
        <v>9137</v>
      </c>
      <c r="LXP3" t="s">
        <v>9138</v>
      </c>
      <c r="LXQ3" t="s">
        <v>9139</v>
      </c>
      <c r="LXR3" t="s">
        <v>9140</v>
      </c>
      <c r="LXS3" t="s">
        <v>9141</v>
      </c>
      <c r="LXT3" t="s">
        <v>9142</v>
      </c>
      <c r="LXU3" t="s">
        <v>9143</v>
      </c>
      <c r="LXV3" t="s">
        <v>9144</v>
      </c>
      <c r="LXW3" t="s">
        <v>9145</v>
      </c>
      <c r="LXX3" t="s">
        <v>9146</v>
      </c>
      <c r="LXY3" t="s">
        <v>9147</v>
      </c>
      <c r="LXZ3" t="s">
        <v>9148</v>
      </c>
      <c r="LYA3" t="s">
        <v>9149</v>
      </c>
      <c r="LYB3" t="s">
        <v>9150</v>
      </c>
      <c r="LYC3" t="s">
        <v>9151</v>
      </c>
      <c r="LYD3" t="s">
        <v>9152</v>
      </c>
      <c r="LYE3" t="s">
        <v>9153</v>
      </c>
      <c r="LYF3" t="s">
        <v>9154</v>
      </c>
      <c r="LYG3" t="s">
        <v>9155</v>
      </c>
      <c r="LYH3" t="s">
        <v>9156</v>
      </c>
      <c r="LYI3" t="s">
        <v>9157</v>
      </c>
      <c r="LYJ3" t="s">
        <v>9158</v>
      </c>
      <c r="LYK3" t="s">
        <v>9159</v>
      </c>
      <c r="LYL3" t="s">
        <v>9160</v>
      </c>
      <c r="LYM3" t="s">
        <v>9161</v>
      </c>
      <c r="LYN3" t="s">
        <v>9162</v>
      </c>
      <c r="LYO3" t="s">
        <v>9163</v>
      </c>
      <c r="LYP3" t="s">
        <v>9164</v>
      </c>
      <c r="LYQ3" t="s">
        <v>9165</v>
      </c>
      <c r="LYR3" t="s">
        <v>9166</v>
      </c>
      <c r="LYS3" t="s">
        <v>9167</v>
      </c>
      <c r="LYT3" t="s">
        <v>9168</v>
      </c>
      <c r="LYU3" t="s">
        <v>9169</v>
      </c>
      <c r="LYV3" t="s">
        <v>9170</v>
      </c>
      <c r="LYW3" t="s">
        <v>9171</v>
      </c>
      <c r="LYX3" t="s">
        <v>9172</v>
      </c>
      <c r="LYY3" t="s">
        <v>9173</v>
      </c>
      <c r="LYZ3" t="s">
        <v>9174</v>
      </c>
      <c r="LZA3" t="s">
        <v>9175</v>
      </c>
      <c r="LZB3" t="s">
        <v>9176</v>
      </c>
      <c r="LZC3" t="s">
        <v>9177</v>
      </c>
      <c r="LZD3" t="s">
        <v>9178</v>
      </c>
      <c r="LZE3" t="s">
        <v>9179</v>
      </c>
      <c r="LZF3" t="s">
        <v>9180</v>
      </c>
      <c r="LZG3" t="s">
        <v>9181</v>
      </c>
      <c r="LZH3" t="s">
        <v>9182</v>
      </c>
      <c r="LZI3" t="s">
        <v>9183</v>
      </c>
      <c r="LZJ3" t="s">
        <v>9184</v>
      </c>
      <c r="LZK3" t="s">
        <v>9185</v>
      </c>
      <c r="LZL3" t="s">
        <v>9186</v>
      </c>
      <c r="LZM3" t="s">
        <v>9187</v>
      </c>
      <c r="LZN3" t="s">
        <v>9188</v>
      </c>
      <c r="LZO3" t="s">
        <v>9189</v>
      </c>
      <c r="LZP3" t="s">
        <v>9190</v>
      </c>
      <c r="LZQ3" t="s">
        <v>9191</v>
      </c>
      <c r="LZR3" t="s">
        <v>9192</v>
      </c>
      <c r="LZS3" t="s">
        <v>9193</v>
      </c>
      <c r="LZT3" t="s">
        <v>9194</v>
      </c>
      <c r="LZU3" t="s">
        <v>9195</v>
      </c>
      <c r="LZV3" t="s">
        <v>9196</v>
      </c>
      <c r="LZW3" t="s">
        <v>9197</v>
      </c>
      <c r="LZX3" t="s">
        <v>9198</v>
      </c>
      <c r="LZY3" t="s">
        <v>9199</v>
      </c>
      <c r="LZZ3" t="s">
        <v>9200</v>
      </c>
      <c r="MAA3" t="s">
        <v>9201</v>
      </c>
      <c r="MAB3" t="s">
        <v>9202</v>
      </c>
      <c r="MAC3" t="s">
        <v>9203</v>
      </c>
      <c r="MAD3" t="s">
        <v>9204</v>
      </c>
      <c r="MAE3" t="s">
        <v>9205</v>
      </c>
      <c r="MAF3" t="s">
        <v>9206</v>
      </c>
      <c r="MAG3" t="s">
        <v>9207</v>
      </c>
      <c r="MAH3" t="s">
        <v>9208</v>
      </c>
      <c r="MAI3" t="s">
        <v>9209</v>
      </c>
      <c r="MAJ3" t="s">
        <v>9210</v>
      </c>
      <c r="MAK3" t="s">
        <v>9211</v>
      </c>
      <c r="MAL3" t="s">
        <v>9212</v>
      </c>
      <c r="MAM3" t="s">
        <v>9213</v>
      </c>
      <c r="MAN3" t="s">
        <v>9214</v>
      </c>
      <c r="MAO3" t="s">
        <v>9215</v>
      </c>
      <c r="MAP3" t="s">
        <v>9216</v>
      </c>
      <c r="MAQ3" t="s">
        <v>9217</v>
      </c>
      <c r="MAR3" t="s">
        <v>9218</v>
      </c>
      <c r="MAS3" t="s">
        <v>9219</v>
      </c>
      <c r="MAT3" t="s">
        <v>9220</v>
      </c>
      <c r="MAU3" t="s">
        <v>9221</v>
      </c>
      <c r="MAV3" t="s">
        <v>9222</v>
      </c>
      <c r="MAW3" t="s">
        <v>9223</v>
      </c>
      <c r="MAX3" t="s">
        <v>9224</v>
      </c>
      <c r="MAY3" t="s">
        <v>9225</v>
      </c>
      <c r="MAZ3" t="s">
        <v>9226</v>
      </c>
      <c r="MBA3" t="s">
        <v>9227</v>
      </c>
      <c r="MBB3" t="s">
        <v>9228</v>
      </c>
      <c r="MBC3" t="s">
        <v>9229</v>
      </c>
      <c r="MBD3" t="s">
        <v>9230</v>
      </c>
      <c r="MBE3" t="s">
        <v>9231</v>
      </c>
      <c r="MBF3" t="s">
        <v>9232</v>
      </c>
      <c r="MBG3" t="s">
        <v>9233</v>
      </c>
      <c r="MBH3" t="s">
        <v>9234</v>
      </c>
      <c r="MBI3" t="s">
        <v>9235</v>
      </c>
      <c r="MBJ3" t="s">
        <v>9236</v>
      </c>
      <c r="MBK3" t="s">
        <v>9237</v>
      </c>
      <c r="MBL3" t="s">
        <v>9238</v>
      </c>
      <c r="MBM3" t="s">
        <v>9239</v>
      </c>
      <c r="MBN3" t="s">
        <v>9240</v>
      </c>
      <c r="MBO3" t="s">
        <v>9241</v>
      </c>
      <c r="MBP3" t="s">
        <v>9242</v>
      </c>
      <c r="MBQ3" t="s">
        <v>9243</v>
      </c>
      <c r="MBR3" t="s">
        <v>9244</v>
      </c>
      <c r="MBS3" t="s">
        <v>9245</v>
      </c>
      <c r="MBT3" t="s">
        <v>9246</v>
      </c>
      <c r="MBU3" t="s">
        <v>9247</v>
      </c>
      <c r="MBV3" t="s">
        <v>9248</v>
      </c>
      <c r="MBW3" t="s">
        <v>9249</v>
      </c>
      <c r="MBX3" t="s">
        <v>9250</v>
      </c>
      <c r="MBY3" t="s">
        <v>9251</v>
      </c>
      <c r="MBZ3" t="s">
        <v>9252</v>
      </c>
      <c r="MCA3" t="s">
        <v>9253</v>
      </c>
      <c r="MCB3" t="s">
        <v>9254</v>
      </c>
      <c r="MCC3" t="s">
        <v>9255</v>
      </c>
      <c r="MCD3" t="s">
        <v>9256</v>
      </c>
      <c r="MCE3" t="s">
        <v>9257</v>
      </c>
      <c r="MCF3" t="s">
        <v>9258</v>
      </c>
      <c r="MCG3" t="s">
        <v>9259</v>
      </c>
      <c r="MCH3" t="s">
        <v>9260</v>
      </c>
      <c r="MCI3" t="s">
        <v>9261</v>
      </c>
      <c r="MCJ3" t="s">
        <v>9262</v>
      </c>
      <c r="MCK3" t="s">
        <v>9263</v>
      </c>
      <c r="MCL3" t="s">
        <v>9264</v>
      </c>
      <c r="MCM3" t="s">
        <v>9265</v>
      </c>
      <c r="MCN3" t="s">
        <v>9266</v>
      </c>
      <c r="MCO3" t="s">
        <v>9267</v>
      </c>
      <c r="MCP3" t="s">
        <v>9268</v>
      </c>
      <c r="MCQ3" t="s">
        <v>9269</v>
      </c>
      <c r="MCR3" t="s">
        <v>9270</v>
      </c>
      <c r="MCS3" t="s">
        <v>9271</v>
      </c>
      <c r="MCT3" t="s">
        <v>9272</v>
      </c>
      <c r="MCU3" t="s">
        <v>9273</v>
      </c>
      <c r="MCV3" t="s">
        <v>9274</v>
      </c>
      <c r="MCW3" t="s">
        <v>9275</v>
      </c>
      <c r="MCX3" t="s">
        <v>9276</v>
      </c>
      <c r="MCY3" t="s">
        <v>9277</v>
      </c>
      <c r="MCZ3" t="s">
        <v>9278</v>
      </c>
      <c r="MDA3" t="s">
        <v>9279</v>
      </c>
      <c r="MDB3" t="s">
        <v>9280</v>
      </c>
      <c r="MDC3" t="s">
        <v>9281</v>
      </c>
      <c r="MDD3" t="s">
        <v>9282</v>
      </c>
      <c r="MDE3" t="s">
        <v>9283</v>
      </c>
      <c r="MDF3" t="s">
        <v>9284</v>
      </c>
      <c r="MDG3" t="s">
        <v>9285</v>
      </c>
      <c r="MDH3" t="s">
        <v>9286</v>
      </c>
      <c r="MDI3" t="s">
        <v>9287</v>
      </c>
      <c r="MDJ3" t="s">
        <v>9288</v>
      </c>
      <c r="MDK3" t="s">
        <v>9289</v>
      </c>
      <c r="MDL3" t="s">
        <v>9290</v>
      </c>
      <c r="MDM3" t="s">
        <v>9291</v>
      </c>
      <c r="MDN3" t="s">
        <v>9292</v>
      </c>
      <c r="MDO3" t="s">
        <v>9293</v>
      </c>
      <c r="MDP3" t="s">
        <v>9294</v>
      </c>
      <c r="MDQ3" t="s">
        <v>9295</v>
      </c>
      <c r="MDR3" t="s">
        <v>9296</v>
      </c>
      <c r="MDS3" t="s">
        <v>9297</v>
      </c>
      <c r="MDT3" t="s">
        <v>9298</v>
      </c>
      <c r="MDU3" t="s">
        <v>9299</v>
      </c>
      <c r="MDV3" t="s">
        <v>9300</v>
      </c>
      <c r="MDW3" t="s">
        <v>9301</v>
      </c>
      <c r="MDX3" t="s">
        <v>9302</v>
      </c>
      <c r="MDY3" t="s">
        <v>9303</v>
      </c>
      <c r="MDZ3" t="s">
        <v>9304</v>
      </c>
      <c r="MEA3" t="s">
        <v>9305</v>
      </c>
      <c r="MEB3" t="s">
        <v>9306</v>
      </c>
      <c r="MEC3" t="s">
        <v>9307</v>
      </c>
      <c r="MED3" t="s">
        <v>9308</v>
      </c>
      <c r="MEE3" t="s">
        <v>9309</v>
      </c>
      <c r="MEF3" t="s">
        <v>9310</v>
      </c>
      <c r="MEG3" t="s">
        <v>9311</v>
      </c>
      <c r="MEH3" t="s">
        <v>9312</v>
      </c>
      <c r="MEI3" t="s">
        <v>9313</v>
      </c>
      <c r="MEJ3" t="s">
        <v>9314</v>
      </c>
      <c r="MEK3" t="s">
        <v>9315</v>
      </c>
      <c r="MEL3" t="s">
        <v>9316</v>
      </c>
      <c r="MEM3" t="s">
        <v>9317</v>
      </c>
      <c r="MEN3" t="s">
        <v>9318</v>
      </c>
      <c r="MEO3" t="s">
        <v>9319</v>
      </c>
      <c r="MEP3" t="s">
        <v>9320</v>
      </c>
      <c r="MEQ3" t="s">
        <v>9321</v>
      </c>
      <c r="MER3" t="s">
        <v>9322</v>
      </c>
      <c r="MES3" t="s">
        <v>9323</v>
      </c>
      <c r="MET3" t="s">
        <v>9324</v>
      </c>
      <c r="MEU3" t="s">
        <v>9325</v>
      </c>
      <c r="MEV3" t="s">
        <v>9326</v>
      </c>
      <c r="MEW3" t="s">
        <v>9327</v>
      </c>
      <c r="MEX3" t="s">
        <v>9328</v>
      </c>
      <c r="MEY3" t="s">
        <v>9329</v>
      </c>
      <c r="MEZ3" t="s">
        <v>9330</v>
      </c>
      <c r="MFA3" t="s">
        <v>9331</v>
      </c>
      <c r="MFB3" t="s">
        <v>9332</v>
      </c>
      <c r="MFC3" t="s">
        <v>9333</v>
      </c>
      <c r="MFD3" t="s">
        <v>9334</v>
      </c>
      <c r="MFE3" t="s">
        <v>9335</v>
      </c>
      <c r="MFF3" t="s">
        <v>9336</v>
      </c>
      <c r="MFG3" t="s">
        <v>9337</v>
      </c>
      <c r="MFH3" t="s">
        <v>9338</v>
      </c>
      <c r="MFI3" t="s">
        <v>9339</v>
      </c>
      <c r="MFJ3" t="s">
        <v>9340</v>
      </c>
      <c r="MFK3" t="s">
        <v>9341</v>
      </c>
      <c r="MFL3" t="s">
        <v>9342</v>
      </c>
      <c r="MFM3" t="s">
        <v>9343</v>
      </c>
      <c r="MFN3" t="s">
        <v>9344</v>
      </c>
      <c r="MFO3" t="s">
        <v>9345</v>
      </c>
      <c r="MFP3" t="s">
        <v>9346</v>
      </c>
      <c r="MFQ3" t="s">
        <v>9347</v>
      </c>
      <c r="MFR3" t="s">
        <v>9348</v>
      </c>
      <c r="MFS3" t="s">
        <v>9349</v>
      </c>
      <c r="MFT3" t="s">
        <v>9350</v>
      </c>
      <c r="MFU3" t="s">
        <v>9351</v>
      </c>
      <c r="MFV3" t="s">
        <v>9352</v>
      </c>
      <c r="MFW3" t="s">
        <v>9353</v>
      </c>
      <c r="MFX3" t="s">
        <v>9354</v>
      </c>
      <c r="MFY3" t="s">
        <v>9355</v>
      </c>
      <c r="MFZ3" t="s">
        <v>9356</v>
      </c>
      <c r="MGA3" t="s">
        <v>9357</v>
      </c>
      <c r="MGB3" t="s">
        <v>9358</v>
      </c>
      <c r="MGC3" t="s">
        <v>9359</v>
      </c>
      <c r="MGD3" t="s">
        <v>9360</v>
      </c>
      <c r="MGE3" t="s">
        <v>9361</v>
      </c>
      <c r="MGF3" t="s">
        <v>9362</v>
      </c>
      <c r="MGG3" t="s">
        <v>9363</v>
      </c>
      <c r="MGH3" t="s">
        <v>9364</v>
      </c>
      <c r="MGI3" t="s">
        <v>9365</v>
      </c>
      <c r="MGJ3" t="s">
        <v>9366</v>
      </c>
      <c r="MGK3" t="s">
        <v>9367</v>
      </c>
      <c r="MGL3" t="s">
        <v>9368</v>
      </c>
      <c r="MGM3" t="s">
        <v>9369</v>
      </c>
      <c r="MGN3" t="s">
        <v>9370</v>
      </c>
      <c r="MGO3" t="s">
        <v>9371</v>
      </c>
      <c r="MGP3" t="s">
        <v>9372</v>
      </c>
      <c r="MGQ3" t="s">
        <v>9373</v>
      </c>
      <c r="MGR3" t="s">
        <v>9374</v>
      </c>
      <c r="MGS3" t="s">
        <v>9375</v>
      </c>
      <c r="MGT3" t="s">
        <v>9376</v>
      </c>
      <c r="MGU3" t="s">
        <v>9377</v>
      </c>
      <c r="MGV3" t="s">
        <v>9378</v>
      </c>
      <c r="MGW3" t="s">
        <v>9379</v>
      </c>
      <c r="MGX3" t="s">
        <v>9380</v>
      </c>
      <c r="MGY3" t="s">
        <v>9381</v>
      </c>
      <c r="MGZ3" t="s">
        <v>9382</v>
      </c>
      <c r="MHA3" t="s">
        <v>9383</v>
      </c>
      <c r="MHB3" t="s">
        <v>9384</v>
      </c>
      <c r="MHC3" t="s">
        <v>9385</v>
      </c>
      <c r="MHD3" t="s">
        <v>9386</v>
      </c>
      <c r="MHE3" t="s">
        <v>9387</v>
      </c>
      <c r="MHF3" t="s">
        <v>9388</v>
      </c>
      <c r="MHG3" t="s">
        <v>9389</v>
      </c>
      <c r="MHH3" t="s">
        <v>9390</v>
      </c>
      <c r="MHI3" t="s">
        <v>9391</v>
      </c>
      <c r="MHJ3" t="s">
        <v>9392</v>
      </c>
      <c r="MHK3" t="s">
        <v>9393</v>
      </c>
      <c r="MHL3" t="s">
        <v>9394</v>
      </c>
      <c r="MHM3" t="s">
        <v>9395</v>
      </c>
      <c r="MHN3" t="s">
        <v>9396</v>
      </c>
      <c r="MHO3" t="s">
        <v>9397</v>
      </c>
      <c r="MHP3" t="s">
        <v>9398</v>
      </c>
      <c r="MHQ3" t="s">
        <v>9399</v>
      </c>
      <c r="MHR3" t="s">
        <v>9400</v>
      </c>
      <c r="MHS3" t="s">
        <v>9401</v>
      </c>
      <c r="MHT3" t="s">
        <v>9402</v>
      </c>
      <c r="MHU3" t="s">
        <v>9403</v>
      </c>
      <c r="MHV3" t="s">
        <v>9404</v>
      </c>
      <c r="MHW3" t="s">
        <v>9405</v>
      </c>
      <c r="MHX3" t="s">
        <v>9406</v>
      </c>
      <c r="MHY3" t="s">
        <v>9407</v>
      </c>
      <c r="MHZ3" t="s">
        <v>9408</v>
      </c>
      <c r="MIA3" t="s">
        <v>9409</v>
      </c>
      <c r="MIB3" t="s">
        <v>9410</v>
      </c>
      <c r="MIC3" t="s">
        <v>9411</v>
      </c>
      <c r="MID3" t="s">
        <v>9412</v>
      </c>
      <c r="MIE3" t="s">
        <v>9413</v>
      </c>
      <c r="MIF3" t="s">
        <v>9414</v>
      </c>
      <c r="MIG3" t="s">
        <v>9415</v>
      </c>
      <c r="MIH3" t="s">
        <v>9416</v>
      </c>
      <c r="MII3" t="s">
        <v>9417</v>
      </c>
      <c r="MIJ3" t="s">
        <v>9418</v>
      </c>
      <c r="MIK3" t="s">
        <v>9419</v>
      </c>
      <c r="MIL3" t="s">
        <v>9420</v>
      </c>
      <c r="MIM3" t="s">
        <v>9421</v>
      </c>
      <c r="MIN3" t="s">
        <v>9422</v>
      </c>
      <c r="MIO3" t="s">
        <v>9423</v>
      </c>
      <c r="MIP3" t="s">
        <v>9424</v>
      </c>
      <c r="MIQ3" t="s">
        <v>9425</v>
      </c>
      <c r="MIR3" t="s">
        <v>9426</v>
      </c>
      <c r="MIS3" t="s">
        <v>9427</v>
      </c>
      <c r="MIT3" t="s">
        <v>9428</v>
      </c>
      <c r="MIU3" t="s">
        <v>9429</v>
      </c>
      <c r="MIV3" t="s">
        <v>9430</v>
      </c>
      <c r="MIW3" t="s">
        <v>9431</v>
      </c>
      <c r="MIX3" t="s">
        <v>9432</v>
      </c>
      <c r="MIY3" t="s">
        <v>9433</v>
      </c>
      <c r="MIZ3" t="s">
        <v>9434</v>
      </c>
      <c r="MJA3" t="s">
        <v>9435</v>
      </c>
      <c r="MJB3" t="s">
        <v>9436</v>
      </c>
      <c r="MJC3" t="s">
        <v>9437</v>
      </c>
      <c r="MJD3" t="s">
        <v>9438</v>
      </c>
      <c r="MJE3" t="s">
        <v>9439</v>
      </c>
      <c r="MJF3" t="s">
        <v>9440</v>
      </c>
      <c r="MJG3" t="s">
        <v>9441</v>
      </c>
      <c r="MJH3" t="s">
        <v>9442</v>
      </c>
      <c r="MJI3" t="s">
        <v>9443</v>
      </c>
      <c r="MJJ3" t="s">
        <v>9444</v>
      </c>
      <c r="MJK3" t="s">
        <v>9445</v>
      </c>
      <c r="MJL3" t="s">
        <v>9446</v>
      </c>
      <c r="MJM3" t="s">
        <v>9447</v>
      </c>
      <c r="MJN3" t="s">
        <v>9448</v>
      </c>
      <c r="MJO3" t="s">
        <v>9449</v>
      </c>
      <c r="MJP3" t="s">
        <v>9450</v>
      </c>
      <c r="MJQ3" t="s">
        <v>9451</v>
      </c>
      <c r="MJR3" t="s">
        <v>9452</v>
      </c>
      <c r="MJS3" t="s">
        <v>9453</v>
      </c>
      <c r="MJT3" t="s">
        <v>9454</v>
      </c>
      <c r="MJU3" t="s">
        <v>9455</v>
      </c>
      <c r="MJV3" t="s">
        <v>9456</v>
      </c>
      <c r="MJW3" t="s">
        <v>9457</v>
      </c>
      <c r="MJX3" t="s">
        <v>9458</v>
      </c>
      <c r="MJY3" t="s">
        <v>9459</v>
      </c>
      <c r="MJZ3" t="s">
        <v>9460</v>
      </c>
      <c r="MKA3" t="s">
        <v>9461</v>
      </c>
      <c r="MKB3" t="s">
        <v>9462</v>
      </c>
      <c r="MKC3" t="s">
        <v>9463</v>
      </c>
      <c r="MKD3" t="s">
        <v>9464</v>
      </c>
      <c r="MKE3" t="s">
        <v>9465</v>
      </c>
      <c r="MKF3" t="s">
        <v>9466</v>
      </c>
      <c r="MKG3" t="s">
        <v>9467</v>
      </c>
      <c r="MKH3" t="s">
        <v>9468</v>
      </c>
      <c r="MKI3" t="s">
        <v>9469</v>
      </c>
      <c r="MKJ3" t="s">
        <v>9470</v>
      </c>
      <c r="MKK3" t="s">
        <v>9471</v>
      </c>
      <c r="MKL3" t="s">
        <v>9472</v>
      </c>
      <c r="MKM3" t="s">
        <v>9473</v>
      </c>
      <c r="MKN3" t="s">
        <v>9474</v>
      </c>
      <c r="MKO3" t="s">
        <v>9475</v>
      </c>
      <c r="MKP3" t="s">
        <v>9476</v>
      </c>
      <c r="MKQ3" t="s">
        <v>9477</v>
      </c>
      <c r="MKR3" t="s">
        <v>9478</v>
      </c>
      <c r="MKS3" t="s">
        <v>9479</v>
      </c>
      <c r="MKT3" t="s">
        <v>9480</v>
      </c>
      <c r="MKU3" t="s">
        <v>9481</v>
      </c>
      <c r="MKV3" t="s">
        <v>9482</v>
      </c>
      <c r="MKW3" t="s">
        <v>9483</v>
      </c>
      <c r="MKX3" t="s">
        <v>9484</v>
      </c>
      <c r="MKY3" t="s">
        <v>9485</v>
      </c>
      <c r="MKZ3" t="s">
        <v>9486</v>
      </c>
      <c r="MLA3" t="s">
        <v>9487</v>
      </c>
      <c r="MLB3" t="s">
        <v>9488</v>
      </c>
      <c r="MLC3" t="s">
        <v>9489</v>
      </c>
      <c r="MLD3" t="s">
        <v>9490</v>
      </c>
      <c r="MLE3" t="s">
        <v>9491</v>
      </c>
      <c r="MLF3" t="s">
        <v>9492</v>
      </c>
      <c r="MLG3" t="s">
        <v>9493</v>
      </c>
      <c r="MLH3" t="s">
        <v>9494</v>
      </c>
      <c r="MLI3" t="s">
        <v>9495</v>
      </c>
      <c r="MLJ3" t="s">
        <v>9496</v>
      </c>
      <c r="MLK3" t="s">
        <v>9497</v>
      </c>
      <c r="MLL3" t="s">
        <v>9498</v>
      </c>
      <c r="MLM3" t="s">
        <v>9499</v>
      </c>
      <c r="MLN3" t="s">
        <v>9500</v>
      </c>
      <c r="MLO3" t="s">
        <v>9501</v>
      </c>
      <c r="MLP3" t="s">
        <v>9502</v>
      </c>
      <c r="MLQ3" t="s">
        <v>9503</v>
      </c>
      <c r="MLR3" t="s">
        <v>9504</v>
      </c>
      <c r="MLS3" t="s">
        <v>9505</v>
      </c>
      <c r="MLT3" t="s">
        <v>9506</v>
      </c>
      <c r="MLU3" t="s">
        <v>9507</v>
      </c>
      <c r="MLV3" t="s">
        <v>9508</v>
      </c>
      <c r="MLW3" t="s">
        <v>9509</v>
      </c>
      <c r="MLX3" t="s">
        <v>9510</v>
      </c>
      <c r="MLY3" t="s">
        <v>9511</v>
      </c>
      <c r="MLZ3" t="s">
        <v>9512</v>
      </c>
      <c r="MMA3" t="s">
        <v>9513</v>
      </c>
      <c r="MMB3" t="s">
        <v>9514</v>
      </c>
      <c r="MMC3" t="s">
        <v>9515</v>
      </c>
      <c r="MMD3" t="s">
        <v>9516</v>
      </c>
      <c r="MME3" t="s">
        <v>9517</v>
      </c>
      <c r="MMF3" t="s">
        <v>9518</v>
      </c>
      <c r="MMG3" t="s">
        <v>9519</v>
      </c>
      <c r="MMH3" t="s">
        <v>9520</v>
      </c>
      <c r="MMI3" t="s">
        <v>9521</v>
      </c>
      <c r="MMJ3" t="s">
        <v>9522</v>
      </c>
      <c r="MMK3" t="s">
        <v>9523</v>
      </c>
      <c r="MML3" t="s">
        <v>9524</v>
      </c>
      <c r="MMM3" t="s">
        <v>9525</v>
      </c>
      <c r="MMN3" t="s">
        <v>9526</v>
      </c>
      <c r="MMO3" t="s">
        <v>9527</v>
      </c>
      <c r="MMP3" t="s">
        <v>9528</v>
      </c>
      <c r="MMQ3" t="s">
        <v>9529</v>
      </c>
      <c r="MMR3" t="s">
        <v>9530</v>
      </c>
      <c r="MMS3" t="s">
        <v>9531</v>
      </c>
      <c r="MMT3" t="s">
        <v>9532</v>
      </c>
      <c r="MMU3" t="s">
        <v>9533</v>
      </c>
      <c r="MMV3" t="s">
        <v>9534</v>
      </c>
      <c r="MMW3" t="s">
        <v>9535</v>
      </c>
      <c r="MMX3" t="s">
        <v>9536</v>
      </c>
      <c r="MMY3" t="s">
        <v>9537</v>
      </c>
      <c r="MMZ3" t="s">
        <v>9538</v>
      </c>
      <c r="MNA3" t="s">
        <v>9539</v>
      </c>
      <c r="MNB3" t="s">
        <v>9540</v>
      </c>
      <c r="MNC3" t="s">
        <v>9541</v>
      </c>
      <c r="MND3" t="s">
        <v>9542</v>
      </c>
      <c r="MNE3" t="s">
        <v>9543</v>
      </c>
      <c r="MNF3" t="s">
        <v>9544</v>
      </c>
      <c r="MNG3" t="s">
        <v>9545</v>
      </c>
      <c r="MNH3" t="s">
        <v>9546</v>
      </c>
      <c r="MNI3" t="s">
        <v>9547</v>
      </c>
      <c r="MNJ3" t="s">
        <v>9548</v>
      </c>
      <c r="MNK3" t="s">
        <v>9549</v>
      </c>
      <c r="MNL3" t="s">
        <v>9550</v>
      </c>
      <c r="MNM3" t="s">
        <v>9551</v>
      </c>
      <c r="MNN3" t="s">
        <v>9552</v>
      </c>
      <c r="MNO3" t="s">
        <v>9553</v>
      </c>
      <c r="MNP3" t="s">
        <v>9554</v>
      </c>
      <c r="MNQ3" t="s">
        <v>9555</v>
      </c>
      <c r="MNR3" t="s">
        <v>9556</v>
      </c>
      <c r="MNS3" t="s">
        <v>9557</v>
      </c>
      <c r="MNT3" t="s">
        <v>9558</v>
      </c>
      <c r="MNU3" t="s">
        <v>9559</v>
      </c>
      <c r="MNV3" t="s">
        <v>9560</v>
      </c>
      <c r="MNW3" t="s">
        <v>9561</v>
      </c>
      <c r="MNX3" t="s">
        <v>9562</v>
      </c>
      <c r="MNY3" t="s">
        <v>9563</v>
      </c>
      <c r="MNZ3" t="s">
        <v>9564</v>
      </c>
      <c r="MOA3" t="s">
        <v>9565</v>
      </c>
      <c r="MOB3" t="s">
        <v>9566</v>
      </c>
      <c r="MOC3" t="s">
        <v>9567</v>
      </c>
      <c r="MOD3" t="s">
        <v>9568</v>
      </c>
      <c r="MOE3" t="s">
        <v>9569</v>
      </c>
      <c r="MOF3" t="s">
        <v>9570</v>
      </c>
      <c r="MOG3" t="s">
        <v>9571</v>
      </c>
      <c r="MOH3" t="s">
        <v>9572</v>
      </c>
      <c r="MOI3" t="s">
        <v>9573</v>
      </c>
      <c r="MOJ3" t="s">
        <v>9574</v>
      </c>
      <c r="MOK3" t="s">
        <v>9575</v>
      </c>
      <c r="MOL3" t="s">
        <v>9576</v>
      </c>
      <c r="MOM3" t="s">
        <v>9577</v>
      </c>
      <c r="MON3" t="s">
        <v>9578</v>
      </c>
      <c r="MOO3" t="s">
        <v>9579</v>
      </c>
      <c r="MOP3" t="s">
        <v>9580</v>
      </c>
      <c r="MOQ3" t="s">
        <v>9581</v>
      </c>
      <c r="MOR3" t="s">
        <v>9582</v>
      </c>
      <c r="MOS3" t="s">
        <v>9583</v>
      </c>
      <c r="MOT3" t="s">
        <v>9584</v>
      </c>
      <c r="MOU3" t="s">
        <v>9585</v>
      </c>
      <c r="MOV3" t="s">
        <v>9586</v>
      </c>
      <c r="MOW3" t="s">
        <v>9587</v>
      </c>
      <c r="MOX3" t="s">
        <v>9588</v>
      </c>
      <c r="MOY3" t="s">
        <v>9589</v>
      </c>
      <c r="MOZ3" t="s">
        <v>9590</v>
      </c>
      <c r="MPA3" t="s">
        <v>9591</v>
      </c>
      <c r="MPB3" t="s">
        <v>9592</v>
      </c>
      <c r="MPC3" t="s">
        <v>9593</v>
      </c>
      <c r="MPD3" t="s">
        <v>9594</v>
      </c>
      <c r="MPE3" t="s">
        <v>9595</v>
      </c>
      <c r="MPF3" t="s">
        <v>9596</v>
      </c>
      <c r="MPG3" t="s">
        <v>9597</v>
      </c>
      <c r="MPH3" t="s">
        <v>9598</v>
      </c>
      <c r="MPI3" t="s">
        <v>9599</v>
      </c>
      <c r="MPJ3" t="s">
        <v>9600</v>
      </c>
      <c r="MPK3" t="s">
        <v>9601</v>
      </c>
      <c r="MPL3" t="s">
        <v>9602</v>
      </c>
      <c r="MPM3" t="s">
        <v>9603</v>
      </c>
      <c r="MPN3" t="s">
        <v>9604</v>
      </c>
      <c r="MPO3" t="s">
        <v>9605</v>
      </c>
      <c r="MPP3" t="s">
        <v>9606</v>
      </c>
      <c r="MPQ3" t="s">
        <v>9607</v>
      </c>
      <c r="MPR3" t="s">
        <v>9608</v>
      </c>
      <c r="MPS3" t="s">
        <v>9609</v>
      </c>
      <c r="MPT3" t="s">
        <v>9610</v>
      </c>
      <c r="MPU3" t="s">
        <v>9611</v>
      </c>
      <c r="MPV3" t="s">
        <v>9612</v>
      </c>
      <c r="MPW3" t="s">
        <v>9613</v>
      </c>
      <c r="MPX3" t="s">
        <v>9614</v>
      </c>
      <c r="MPY3" t="s">
        <v>9615</v>
      </c>
      <c r="MPZ3" t="s">
        <v>9616</v>
      </c>
      <c r="MQA3" t="s">
        <v>9617</v>
      </c>
      <c r="MQB3" t="s">
        <v>9618</v>
      </c>
      <c r="MQC3" t="s">
        <v>9619</v>
      </c>
      <c r="MQD3" t="s">
        <v>9620</v>
      </c>
      <c r="MQE3" t="s">
        <v>9621</v>
      </c>
      <c r="MQF3" t="s">
        <v>9622</v>
      </c>
      <c r="MQG3" t="s">
        <v>9623</v>
      </c>
      <c r="MQH3" t="s">
        <v>9624</v>
      </c>
      <c r="MQI3" t="s">
        <v>9625</v>
      </c>
      <c r="MQJ3" t="s">
        <v>9626</v>
      </c>
      <c r="MQK3" t="s">
        <v>9627</v>
      </c>
      <c r="MQL3" t="s">
        <v>9628</v>
      </c>
      <c r="MQM3" t="s">
        <v>9629</v>
      </c>
      <c r="MQN3" t="s">
        <v>9630</v>
      </c>
      <c r="MQO3" t="s">
        <v>9631</v>
      </c>
      <c r="MQP3" t="s">
        <v>9632</v>
      </c>
      <c r="MQQ3" t="s">
        <v>9633</v>
      </c>
      <c r="MQR3" t="s">
        <v>9634</v>
      </c>
      <c r="MQS3" t="s">
        <v>9635</v>
      </c>
      <c r="MQT3" t="s">
        <v>9636</v>
      </c>
      <c r="MQU3" t="s">
        <v>9637</v>
      </c>
      <c r="MQV3" t="s">
        <v>9638</v>
      </c>
      <c r="MQW3" t="s">
        <v>9639</v>
      </c>
      <c r="MQX3" t="s">
        <v>9640</v>
      </c>
      <c r="MQY3" t="s">
        <v>9641</v>
      </c>
      <c r="MQZ3" t="s">
        <v>9642</v>
      </c>
      <c r="MRA3" t="s">
        <v>9643</v>
      </c>
      <c r="MRB3" t="s">
        <v>9644</v>
      </c>
      <c r="MRC3" t="s">
        <v>9645</v>
      </c>
      <c r="MRD3" t="s">
        <v>9646</v>
      </c>
      <c r="MRE3" t="s">
        <v>9647</v>
      </c>
      <c r="MRF3" t="s">
        <v>9648</v>
      </c>
      <c r="MRG3" t="s">
        <v>9649</v>
      </c>
      <c r="MRH3" t="s">
        <v>9650</v>
      </c>
      <c r="MRI3" t="s">
        <v>9651</v>
      </c>
      <c r="MRJ3" t="s">
        <v>9652</v>
      </c>
      <c r="MRK3" t="s">
        <v>9653</v>
      </c>
      <c r="MRL3" t="s">
        <v>9654</v>
      </c>
      <c r="MRM3" t="s">
        <v>9655</v>
      </c>
      <c r="MRN3" t="s">
        <v>9656</v>
      </c>
      <c r="MRO3" t="s">
        <v>9657</v>
      </c>
      <c r="MRP3" t="s">
        <v>9658</v>
      </c>
      <c r="MRQ3" t="s">
        <v>9659</v>
      </c>
      <c r="MRR3" t="s">
        <v>9660</v>
      </c>
      <c r="MRS3" t="s">
        <v>9661</v>
      </c>
      <c r="MRT3" t="s">
        <v>9662</v>
      </c>
      <c r="MRU3" t="s">
        <v>9663</v>
      </c>
      <c r="MRV3" t="s">
        <v>9664</v>
      </c>
      <c r="MRW3" t="s">
        <v>9665</v>
      </c>
      <c r="MRX3" t="s">
        <v>9666</v>
      </c>
      <c r="MRY3" t="s">
        <v>9667</v>
      </c>
      <c r="MRZ3" t="s">
        <v>9668</v>
      </c>
      <c r="MSA3" t="s">
        <v>9669</v>
      </c>
      <c r="MSB3" t="s">
        <v>9670</v>
      </c>
      <c r="MSC3" t="s">
        <v>9671</v>
      </c>
      <c r="MSD3" t="s">
        <v>9672</v>
      </c>
      <c r="MSE3" t="s">
        <v>9673</v>
      </c>
      <c r="MSF3" t="s">
        <v>9674</v>
      </c>
      <c r="MSG3" t="s">
        <v>9675</v>
      </c>
      <c r="MSH3" t="s">
        <v>9676</v>
      </c>
      <c r="MSI3" t="s">
        <v>9677</v>
      </c>
      <c r="MSJ3" t="s">
        <v>9678</v>
      </c>
      <c r="MSK3" t="s">
        <v>9679</v>
      </c>
      <c r="MSL3" t="s">
        <v>9680</v>
      </c>
      <c r="MSM3" t="s">
        <v>9681</v>
      </c>
      <c r="MSN3" t="s">
        <v>9682</v>
      </c>
      <c r="MSO3" t="s">
        <v>9683</v>
      </c>
      <c r="MSP3" t="s">
        <v>9684</v>
      </c>
      <c r="MSQ3" t="s">
        <v>9685</v>
      </c>
      <c r="MSR3" t="s">
        <v>9686</v>
      </c>
      <c r="MSS3" t="s">
        <v>9687</v>
      </c>
      <c r="MST3" t="s">
        <v>9688</v>
      </c>
      <c r="MSU3" t="s">
        <v>9689</v>
      </c>
      <c r="MSV3" t="s">
        <v>9690</v>
      </c>
      <c r="MSW3" t="s">
        <v>9691</v>
      </c>
      <c r="MSX3" t="s">
        <v>9692</v>
      </c>
      <c r="MSY3" t="s">
        <v>9693</v>
      </c>
      <c r="MSZ3" t="s">
        <v>9694</v>
      </c>
      <c r="MTA3" t="s">
        <v>9695</v>
      </c>
      <c r="MTB3" t="s">
        <v>9696</v>
      </c>
      <c r="MTC3" t="s">
        <v>9697</v>
      </c>
      <c r="MTD3" t="s">
        <v>9698</v>
      </c>
      <c r="MTE3" t="s">
        <v>9699</v>
      </c>
      <c r="MTF3" t="s">
        <v>9700</v>
      </c>
      <c r="MTG3" t="s">
        <v>9701</v>
      </c>
      <c r="MTH3" t="s">
        <v>9702</v>
      </c>
      <c r="MTI3" t="s">
        <v>9703</v>
      </c>
      <c r="MTJ3" t="s">
        <v>9704</v>
      </c>
      <c r="MTK3" t="s">
        <v>9705</v>
      </c>
      <c r="MTL3" t="s">
        <v>9706</v>
      </c>
      <c r="MTM3" t="s">
        <v>9707</v>
      </c>
      <c r="MTN3" t="s">
        <v>9708</v>
      </c>
      <c r="MTO3" t="s">
        <v>9709</v>
      </c>
      <c r="MTP3" t="s">
        <v>9710</v>
      </c>
      <c r="MTQ3" t="s">
        <v>9711</v>
      </c>
      <c r="MTR3" t="s">
        <v>9712</v>
      </c>
      <c r="MTS3" t="s">
        <v>9713</v>
      </c>
      <c r="MTT3" t="s">
        <v>9714</v>
      </c>
      <c r="MTU3" t="s">
        <v>9715</v>
      </c>
      <c r="MTV3" t="s">
        <v>9716</v>
      </c>
      <c r="MTW3" t="s">
        <v>9717</v>
      </c>
      <c r="MTX3" t="s">
        <v>9718</v>
      </c>
      <c r="MTY3" t="s">
        <v>9719</v>
      </c>
      <c r="MTZ3" t="s">
        <v>9720</v>
      </c>
      <c r="MUA3" t="s">
        <v>9721</v>
      </c>
      <c r="MUB3" t="s">
        <v>9722</v>
      </c>
      <c r="MUC3" t="s">
        <v>9723</v>
      </c>
      <c r="MUD3" t="s">
        <v>9724</v>
      </c>
      <c r="MUE3" t="s">
        <v>9725</v>
      </c>
      <c r="MUF3" t="s">
        <v>9726</v>
      </c>
      <c r="MUG3" t="s">
        <v>9727</v>
      </c>
      <c r="MUH3" t="s">
        <v>9728</v>
      </c>
      <c r="MUI3" t="s">
        <v>9729</v>
      </c>
      <c r="MUJ3" t="s">
        <v>9730</v>
      </c>
      <c r="MUK3" t="s">
        <v>9731</v>
      </c>
      <c r="MUL3" t="s">
        <v>9732</v>
      </c>
      <c r="MUM3" t="s">
        <v>9733</v>
      </c>
      <c r="MUN3" t="s">
        <v>9734</v>
      </c>
      <c r="MUO3" t="s">
        <v>9735</v>
      </c>
      <c r="MUP3" t="s">
        <v>9736</v>
      </c>
      <c r="MUQ3" t="s">
        <v>9737</v>
      </c>
      <c r="MUR3" t="s">
        <v>9738</v>
      </c>
      <c r="MUS3" t="s">
        <v>9739</v>
      </c>
      <c r="MUT3" t="s">
        <v>9740</v>
      </c>
      <c r="MUU3" t="s">
        <v>9741</v>
      </c>
      <c r="MUV3" t="s">
        <v>9742</v>
      </c>
      <c r="MUW3" t="s">
        <v>9743</v>
      </c>
      <c r="MUX3" t="s">
        <v>9744</v>
      </c>
      <c r="MUY3" t="s">
        <v>9745</v>
      </c>
      <c r="MUZ3" t="s">
        <v>9746</v>
      </c>
      <c r="MVA3" t="s">
        <v>9747</v>
      </c>
      <c r="MVB3" t="s">
        <v>9748</v>
      </c>
      <c r="MVC3" t="s">
        <v>9749</v>
      </c>
      <c r="MVD3" t="s">
        <v>9750</v>
      </c>
      <c r="MVE3" t="s">
        <v>9751</v>
      </c>
      <c r="MVF3" t="s">
        <v>9752</v>
      </c>
      <c r="MVG3" t="s">
        <v>9753</v>
      </c>
      <c r="MVH3" t="s">
        <v>9754</v>
      </c>
      <c r="MVI3" t="s">
        <v>9755</v>
      </c>
      <c r="MVJ3" t="s">
        <v>9756</v>
      </c>
      <c r="MVK3" t="s">
        <v>9757</v>
      </c>
      <c r="MVL3" t="s">
        <v>9758</v>
      </c>
      <c r="MVM3" t="s">
        <v>9759</v>
      </c>
      <c r="MVN3" t="s">
        <v>9760</v>
      </c>
      <c r="MVO3" t="s">
        <v>9761</v>
      </c>
      <c r="MVP3" t="s">
        <v>9762</v>
      </c>
      <c r="MVQ3" t="s">
        <v>9763</v>
      </c>
      <c r="MVR3" t="s">
        <v>9764</v>
      </c>
      <c r="MVS3" t="s">
        <v>9765</v>
      </c>
      <c r="MVT3" t="s">
        <v>9766</v>
      </c>
      <c r="MVU3" t="s">
        <v>9767</v>
      </c>
      <c r="MVV3" t="s">
        <v>9768</v>
      </c>
      <c r="MVW3" t="s">
        <v>9769</v>
      </c>
      <c r="MVX3" t="s">
        <v>9770</v>
      </c>
      <c r="MVY3" t="s">
        <v>9771</v>
      </c>
      <c r="MVZ3" t="s">
        <v>9772</v>
      </c>
      <c r="MWA3" t="s">
        <v>9773</v>
      </c>
      <c r="MWB3" t="s">
        <v>9774</v>
      </c>
      <c r="MWC3" t="s">
        <v>9775</v>
      </c>
      <c r="MWD3" t="s">
        <v>9776</v>
      </c>
      <c r="MWE3" t="s">
        <v>9777</v>
      </c>
      <c r="MWF3" t="s">
        <v>9778</v>
      </c>
      <c r="MWG3" t="s">
        <v>9779</v>
      </c>
      <c r="MWH3" t="s">
        <v>9780</v>
      </c>
      <c r="MWI3" t="s">
        <v>9781</v>
      </c>
      <c r="MWJ3" t="s">
        <v>9782</v>
      </c>
      <c r="MWK3" t="s">
        <v>9783</v>
      </c>
      <c r="MWL3" t="s">
        <v>9784</v>
      </c>
      <c r="MWM3" t="s">
        <v>9785</v>
      </c>
      <c r="MWN3" t="s">
        <v>9786</v>
      </c>
      <c r="MWO3" t="s">
        <v>9787</v>
      </c>
      <c r="MWP3" t="s">
        <v>9788</v>
      </c>
      <c r="MWQ3" t="s">
        <v>9789</v>
      </c>
      <c r="MWR3" t="s">
        <v>9790</v>
      </c>
      <c r="MWS3" t="s">
        <v>9791</v>
      </c>
      <c r="MWT3" t="s">
        <v>9792</v>
      </c>
      <c r="MWU3" t="s">
        <v>9793</v>
      </c>
      <c r="MWV3" t="s">
        <v>9794</v>
      </c>
      <c r="MWW3" t="s">
        <v>9795</v>
      </c>
      <c r="MWX3" t="s">
        <v>9796</v>
      </c>
      <c r="MWY3" t="s">
        <v>9797</v>
      </c>
      <c r="MWZ3" t="s">
        <v>9798</v>
      </c>
      <c r="MXA3" t="s">
        <v>9799</v>
      </c>
      <c r="MXB3" t="s">
        <v>9800</v>
      </c>
      <c r="MXC3" t="s">
        <v>9801</v>
      </c>
      <c r="MXD3" t="s">
        <v>9802</v>
      </c>
      <c r="MXE3" t="s">
        <v>9803</v>
      </c>
      <c r="MXF3" t="s">
        <v>9804</v>
      </c>
      <c r="MXG3" t="s">
        <v>9805</v>
      </c>
      <c r="MXH3" t="s">
        <v>9806</v>
      </c>
      <c r="MXI3" t="s">
        <v>9807</v>
      </c>
      <c r="MXJ3" t="s">
        <v>9808</v>
      </c>
      <c r="MXK3" t="s">
        <v>9809</v>
      </c>
      <c r="MXL3" t="s">
        <v>9810</v>
      </c>
      <c r="MXM3" t="s">
        <v>9811</v>
      </c>
      <c r="MXN3" t="s">
        <v>9812</v>
      </c>
      <c r="MXO3" t="s">
        <v>9813</v>
      </c>
      <c r="MXP3" t="s">
        <v>9814</v>
      </c>
      <c r="MXQ3" t="s">
        <v>9815</v>
      </c>
      <c r="MXR3" t="s">
        <v>9816</v>
      </c>
      <c r="MXS3" t="s">
        <v>9817</v>
      </c>
      <c r="MXT3" t="s">
        <v>9818</v>
      </c>
      <c r="MXU3" t="s">
        <v>9819</v>
      </c>
      <c r="MXV3" t="s">
        <v>9820</v>
      </c>
      <c r="MXW3" t="s">
        <v>9821</v>
      </c>
      <c r="MXX3" t="s">
        <v>9822</v>
      </c>
      <c r="MXY3" t="s">
        <v>9823</v>
      </c>
      <c r="MXZ3" t="s">
        <v>9824</v>
      </c>
      <c r="MYA3" t="s">
        <v>9825</v>
      </c>
      <c r="MYB3" t="s">
        <v>9826</v>
      </c>
      <c r="MYC3" t="s">
        <v>9827</v>
      </c>
      <c r="MYD3" t="s">
        <v>9828</v>
      </c>
      <c r="MYE3" t="s">
        <v>9829</v>
      </c>
      <c r="MYF3" t="s">
        <v>9830</v>
      </c>
      <c r="MYG3" t="s">
        <v>9831</v>
      </c>
      <c r="MYH3" t="s">
        <v>9832</v>
      </c>
      <c r="MYI3" t="s">
        <v>9833</v>
      </c>
      <c r="MYJ3" t="s">
        <v>9834</v>
      </c>
      <c r="MYK3" t="s">
        <v>9835</v>
      </c>
      <c r="MYL3" t="s">
        <v>9836</v>
      </c>
      <c r="MYM3" t="s">
        <v>9837</v>
      </c>
      <c r="MYN3" t="s">
        <v>9838</v>
      </c>
      <c r="MYO3" t="s">
        <v>9839</v>
      </c>
      <c r="MYP3" t="s">
        <v>9840</v>
      </c>
      <c r="MYQ3" t="s">
        <v>9841</v>
      </c>
      <c r="MYR3" t="s">
        <v>9842</v>
      </c>
      <c r="MYS3" t="s">
        <v>9843</v>
      </c>
      <c r="MYT3" t="s">
        <v>9844</v>
      </c>
      <c r="MYU3" t="s">
        <v>9845</v>
      </c>
      <c r="MYV3" t="s">
        <v>9846</v>
      </c>
      <c r="MYW3" t="s">
        <v>9847</v>
      </c>
      <c r="MYX3" t="s">
        <v>9848</v>
      </c>
      <c r="MYY3" t="s">
        <v>9849</v>
      </c>
      <c r="MYZ3" t="s">
        <v>9850</v>
      </c>
      <c r="MZA3" t="s">
        <v>9851</v>
      </c>
      <c r="MZB3" t="s">
        <v>9852</v>
      </c>
      <c r="MZC3" t="s">
        <v>9853</v>
      </c>
      <c r="MZD3" t="s">
        <v>9854</v>
      </c>
      <c r="MZE3" t="s">
        <v>9855</v>
      </c>
      <c r="MZF3" t="s">
        <v>9856</v>
      </c>
      <c r="MZG3" t="s">
        <v>9857</v>
      </c>
      <c r="MZH3" t="s">
        <v>9858</v>
      </c>
      <c r="MZI3" t="s">
        <v>9859</v>
      </c>
      <c r="MZJ3" t="s">
        <v>9860</v>
      </c>
      <c r="MZK3" t="s">
        <v>9861</v>
      </c>
      <c r="MZL3" t="s">
        <v>9862</v>
      </c>
      <c r="MZM3" t="s">
        <v>9863</v>
      </c>
      <c r="MZN3" t="s">
        <v>9864</v>
      </c>
      <c r="MZO3" t="s">
        <v>9865</v>
      </c>
      <c r="MZP3" t="s">
        <v>9866</v>
      </c>
      <c r="MZQ3" t="s">
        <v>9867</v>
      </c>
      <c r="MZR3" t="s">
        <v>9868</v>
      </c>
      <c r="MZS3" t="s">
        <v>9869</v>
      </c>
      <c r="MZT3" t="s">
        <v>9870</v>
      </c>
      <c r="MZU3" t="s">
        <v>9871</v>
      </c>
      <c r="MZV3" t="s">
        <v>9872</v>
      </c>
      <c r="MZW3" t="s">
        <v>9873</v>
      </c>
      <c r="MZX3" t="s">
        <v>9874</v>
      </c>
      <c r="MZY3" t="s">
        <v>9875</v>
      </c>
      <c r="MZZ3" t="s">
        <v>9876</v>
      </c>
      <c r="NAA3" t="s">
        <v>9877</v>
      </c>
      <c r="NAB3" t="s">
        <v>9878</v>
      </c>
      <c r="NAC3" t="s">
        <v>9879</v>
      </c>
      <c r="NAD3" t="s">
        <v>9880</v>
      </c>
      <c r="NAE3" t="s">
        <v>9881</v>
      </c>
      <c r="NAF3" t="s">
        <v>9882</v>
      </c>
      <c r="NAG3" t="s">
        <v>9883</v>
      </c>
      <c r="NAH3" t="s">
        <v>9884</v>
      </c>
      <c r="NAI3" t="s">
        <v>9885</v>
      </c>
      <c r="NAJ3" t="s">
        <v>9886</v>
      </c>
      <c r="NAK3" t="s">
        <v>9887</v>
      </c>
      <c r="NAL3" t="s">
        <v>9888</v>
      </c>
      <c r="NAM3" t="s">
        <v>9889</v>
      </c>
      <c r="NAN3" t="s">
        <v>9890</v>
      </c>
      <c r="NAO3" t="s">
        <v>9891</v>
      </c>
      <c r="NAP3" t="s">
        <v>9892</v>
      </c>
      <c r="NAQ3" t="s">
        <v>9893</v>
      </c>
      <c r="NAR3" t="s">
        <v>9894</v>
      </c>
      <c r="NAS3" t="s">
        <v>9895</v>
      </c>
      <c r="NAT3" t="s">
        <v>9896</v>
      </c>
      <c r="NAU3" t="s">
        <v>9897</v>
      </c>
      <c r="NAV3" t="s">
        <v>9898</v>
      </c>
      <c r="NAW3" t="s">
        <v>9899</v>
      </c>
      <c r="NAX3" t="s">
        <v>9900</v>
      </c>
      <c r="NAY3" t="s">
        <v>9901</v>
      </c>
      <c r="NAZ3" t="s">
        <v>9902</v>
      </c>
      <c r="NBA3" t="s">
        <v>9903</v>
      </c>
      <c r="NBB3" t="s">
        <v>9904</v>
      </c>
      <c r="NBC3" t="s">
        <v>9905</v>
      </c>
      <c r="NBD3" t="s">
        <v>9906</v>
      </c>
      <c r="NBE3" t="s">
        <v>9907</v>
      </c>
      <c r="NBF3" t="s">
        <v>9908</v>
      </c>
      <c r="NBG3" t="s">
        <v>9909</v>
      </c>
      <c r="NBH3" t="s">
        <v>9910</v>
      </c>
      <c r="NBI3" t="s">
        <v>9911</v>
      </c>
      <c r="NBJ3" t="s">
        <v>9912</v>
      </c>
      <c r="NBK3" t="s">
        <v>9913</v>
      </c>
      <c r="NBL3" t="s">
        <v>9914</v>
      </c>
      <c r="NBM3" t="s">
        <v>9915</v>
      </c>
      <c r="NBN3" t="s">
        <v>9916</v>
      </c>
      <c r="NBO3" t="s">
        <v>9917</v>
      </c>
      <c r="NBP3" t="s">
        <v>9918</v>
      </c>
      <c r="NBQ3" t="s">
        <v>9919</v>
      </c>
      <c r="NBR3" t="s">
        <v>9920</v>
      </c>
      <c r="NBS3" t="s">
        <v>9921</v>
      </c>
      <c r="NBT3" t="s">
        <v>9922</v>
      </c>
      <c r="NBU3" t="s">
        <v>9923</v>
      </c>
      <c r="NBV3" t="s">
        <v>9924</v>
      </c>
      <c r="NBW3" t="s">
        <v>9925</v>
      </c>
      <c r="NBX3" t="s">
        <v>9926</v>
      </c>
      <c r="NBY3" t="s">
        <v>9927</v>
      </c>
      <c r="NBZ3" t="s">
        <v>9928</v>
      </c>
      <c r="NCA3" t="s">
        <v>9929</v>
      </c>
      <c r="NCB3" t="s">
        <v>9930</v>
      </c>
      <c r="NCC3" t="s">
        <v>9931</v>
      </c>
      <c r="NCD3" t="s">
        <v>9932</v>
      </c>
      <c r="NCE3" t="s">
        <v>9933</v>
      </c>
      <c r="NCF3" t="s">
        <v>9934</v>
      </c>
      <c r="NCG3" t="s">
        <v>9935</v>
      </c>
      <c r="NCH3" t="s">
        <v>9936</v>
      </c>
      <c r="NCI3" t="s">
        <v>9937</v>
      </c>
      <c r="NCJ3" t="s">
        <v>9938</v>
      </c>
      <c r="NCK3" t="s">
        <v>9939</v>
      </c>
      <c r="NCL3" t="s">
        <v>9940</v>
      </c>
      <c r="NCM3" t="s">
        <v>9941</v>
      </c>
      <c r="NCN3" t="s">
        <v>9942</v>
      </c>
      <c r="NCO3" t="s">
        <v>9943</v>
      </c>
      <c r="NCP3" t="s">
        <v>9944</v>
      </c>
      <c r="NCQ3" t="s">
        <v>9945</v>
      </c>
      <c r="NCR3" t="s">
        <v>9946</v>
      </c>
      <c r="NCS3" t="s">
        <v>9947</v>
      </c>
      <c r="NCT3" t="s">
        <v>9948</v>
      </c>
      <c r="NCU3" t="s">
        <v>9949</v>
      </c>
      <c r="NCV3" t="s">
        <v>9950</v>
      </c>
      <c r="NCW3" t="s">
        <v>9951</v>
      </c>
      <c r="NCX3" t="s">
        <v>9952</v>
      </c>
      <c r="NCY3" t="s">
        <v>9953</v>
      </c>
      <c r="NCZ3" t="s">
        <v>9954</v>
      </c>
      <c r="NDA3" t="s">
        <v>9955</v>
      </c>
      <c r="NDB3" t="s">
        <v>9956</v>
      </c>
      <c r="NDC3" t="s">
        <v>9957</v>
      </c>
      <c r="NDD3" t="s">
        <v>9958</v>
      </c>
      <c r="NDE3" t="s">
        <v>9959</v>
      </c>
      <c r="NDF3" t="s">
        <v>9960</v>
      </c>
      <c r="NDG3" t="s">
        <v>9961</v>
      </c>
      <c r="NDH3" t="s">
        <v>9962</v>
      </c>
      <c r="NDI3" t="s">
        <v>9963</v>
      </c>
      <c r="NDJ3" t="s">
        <v>9964</v>
      </c>
      <c r="NDK3" t="s">
        <v>9965</v>
      </c>
      <c r="NDL3" t="s">
        <v>9966</v>
      </c>
      <c r="NDM3" t="s">
        <v>9967</v>
      </c>
      <c r="NDN3" t="s">
        <v>9968</v>
      </c>
      <c r="NDO3" t="s">
        <v>9969</v>
      </c>
      <c r="NDP3" t="s">
        <v>9970</v>
      </c>
      <c r="NDQ3" t="s">
        <v>9971</v>
      </c>
      <c r="NDR3" t="s">
        <v>9972</v>
      </c>
      <c r="NDS3" t="s">
        <v>9973</v>
      </c>
      <c r="NDT3" t="s">
        <v>9974</v>
      </c>
      <c r="NDU3" t="s">
        <v>9975</v>
      </c>
      <c r="NDV3" t="s">
        <v>9976</v>
      </c>
      <c r="NDW3" t="s">
        <v>9977</v>
      </c>
      <c r="NDX3" t="s">
        <v>9978</v>
      </c>
      <c r="NDY3" t="s">
        <v>9979</v>
      </c>
      <c r="NDZ3" t="s">
        <v>9980</v>
      </c>
      <c r="NEA3" t="s">
        <v>9981</v>
      </c>
      <c r="NEB3" t="s">
        <v>9982</v>
      </c>
      <c r="NEC3" t="s">
        <v>9983</v>
      </c>
      <c r="NED3" t="s">
        <v>9984</v>
      </c>
      <c r="NEE3" t="s">
        <v>9985</v>
      </c>
      <c r="NEF3" t="s">
        <v>9986</v>
      </c>
      <c r="NEG3" t="s">
        <v>9987</v>
      </c>
      <c r="NEH3" t="s">
        <v>9988</v>
      </c>
      <c r="NEI3" t="s">
        <v>9989</v>
      </c>
      <c r="NEJ3" t="s">
        <v>9990</v>
      </c>
      <c r="NEK3" t="s">
        <v>9991</v>
      </c>
      <c r="NEL3" t="s">
        <v>9992</v>
      </c>
      <c r="NEM3" t="s">
        <v>9993</v>
      </c>
      <c r="NEN3" t="s">
        <v>9994</v>
      </c>
      <c r="NEO3" t="s">
        <v>9995</v>
      </c>
      <c r="NEP3" t="s">
        <v>9996</v>
      </c>
      <c r="NEQ3" t="s">
        <v>9997</v>
      </c>
      <c r="NER3" t="s">
        <v>9998</v>
      </c>
      <c r="NES3" t="s">
        <v>9999</v>
      </c>
      <c r="NET3" t="s">
        <v>10000</v>
      </c>
      <c r="NEU3" t="s">
        <v>10001</v>
      </c>
      <c r="NEV3" t="s">
        <v>10002</v>
      </c>
      <c r="NEW3" t="s">
        <v>10003</v>
      </c>
      <c r="NEX3" t="s">
        <v>10004</v>
      </c>
      <c r="NEY3" t="s">
        <v>10005</v>
      </c>
      <c r="NEZ3" t="s">
        <v>10006</v>
      </c>
      <c r="NFA3" t="s">
        <v>10007</v>
      </c>
      <c r="NFB3" t="s">
        <v>10008</v>
      </c>
      <c r="NFC3" t="s">
        <v>10009</v>
      </c>
      <c r="NFD3" t="s">
        <v>10010</v>
      </c>
      <c r="NFE3" t="s">
        <v>10011</v>
      </c>
      <c r="NFF3" t="s">
        <v>10012</v>
      </c>
      <c r="NFG3" t="s">
        <v>10013</v>
      </c>
      <c r="NFH3" t="s">
        <v>10014</v>
      </c>
      <c r="NFI3" t="s">
        <v>10015</v>
      </c>
      <c r="NFJ3" t="s">
        <v>10016</v>
      </c>
      <c r="NFK3" t="s">
        <v>10017</v>
      </c>
      <c r="NFL3" t="s">
        <v>10018</v>
      </c>
      <c r="NFM3" t="s">
        <v>10019</v>
      </c>
      <c r="NFN3" t="s">
        <v>10020</v>
      </c>
      <c r="NFO3" t="s">
        <v>10021</v>
      </c>
      <c r="NFP3" t="s">
        <v>10022</v>
      </c>
      <c r="NFQ3" t="s">
        <v>10023</v>
      </c>
      <c r="NFR3" t="s">
        <v>10024</v>
      </c>
      <c r="NFS3" t="s">
        <v>10025</v>
      </c>
      <c r="NFT3" t="s">
        <v>10026</v>
      </c>
      <c r="NFU3" t="s">
        <v>10027</v>
      </c>
      <c r="NFV3" t="s">
        <v>10028</v>
      </c>
      <c r="NFW3" t="s">
        <v>10029</v>
      </c>
      <c r="NFX3" t="s">
        <v>10030</v>
      </c>
      <c r="NFY3" t="s">
        <v>10031</v>
      </c>
      <c r="NFZ3" t="s">
        <v>10032</v>
      </c>
      <c r="NGA3" t="s">
        <v>10033</v>
      </c>
      <c r="NGB3" t="s">
        <v>10034</v>
      </c>
      <c r="NGC3" t="s">
        <v>10035</v>
      </c>
      <c r="NGD3" t="s">
        <v>10036</v>
      </c>
      <c r="NGE3" t="s">
        <v>10037</v>
      </c>
      <c r="NGF3" t="s">
        <v>10038</v>
      </c>
      <c r="NGG3" t="s">
        <v>10039</v>
      </c>
      <c r="NGH3" t="s">
        <v>10040</v>
      </c>
      <c r="NGI3" t="s">
        <v>10041</v>
      </c>
      <c r="NGJ3" t="s">
        <v>10042</v>
      </c>
      <c r="NGK3" t="s">
        <v>10043</v>
      </c>
      <c r="NGL3" t="s">
        <v>10044</v>
      </c>
      <c r="NGM3" t="s">
        <v>10045</v>
      </c>
      <c r="NGN3" t="s">
        <v>10046</v>
      </c>
      <c r="NGO3" t="s">
        <v>10047</v>
      </c>
      <c r="NGP3" t="s">
        <v>10048</v>
      </c>
      <c r="NGQ3" t="s">
        <v>10049</v>
      </c>
      <c r="NGR3" t="s">
        <v>10050</v>
      </c>
      <c r="NGS3" t="s">
        <v>10051</v>
      </c>
      <c r="NGT3" t="s">
        <v>10052</v>
      </c>
      <c r="NGU3" t="s">
        <v>10053</v>
      </c>
      <c r="NGV3" t="s">
        <v>10054</v>
      </c>
      <c r="NGW3" t="s">
        <v>10055</v>
      </c>
      <c r="NGX3" t="s">
        <v>10056</v>
      </c>
      <c r="NGY3" t="s">
        <v>10057</v>
      </c>
      <c r="NGZ3" t="s">
        <v>10058</v>
      </c>
      <c r="NHA3" t="s">
        <v>10059</v>
      </c>
      <c r="NHB3" t="s">
        <v>10060</v>
      </c>
      <c r="NHC3" t="s">
        <v>10061</v>
      </c>
      <c r="NHD3" t="s">
        <v>10062</v>
      </c>
      <c r="NHE3" t="s">
        <v>10063</v>
      </c>
      <c r="NHF3" t="s">
        <v>10064</v>
      </c>
      <c r="NHG3" t="s">
        <v>10065</v>
      </c>
      <c r="NHH3" t="s">
        <v>10066</v>
      </c>
      <c r="NHI3" t="s">
        <v>10067</v>
      </c>
      <c r="NHJ3" t="s">
        <v>10068</v>
      </c>
      <c r="NHK3" t="s">
        <v>10069</v>
      </c>
      <c r="NHL3" t="s">
        <v>10070</v>
      </c>
      <c r="NHM3" t="s">
        <v>10071</v>
      </c>
      <c r="NHN3" t="s">
        <v>10072</v>
      </c>
      <c r="NHO3" t="s">
        <v>10073</v>
      </c>
      <c r="NHP3" t="s">
        <v>10074</v>
      </c>
      <c r="NHQ3" t="s">
        <v>10075</v>
      </c>
      <c r="NHR3" t="s">
        <v>10076</v>
      </c>
      <c r="NHS3" t="s">
        <v>10077</v>
      </c>
      <c r="NHT3" t="s">
        <v>10078</v>
      </c>
      <c r="NHU3" t="s">
        <v>10079</v>
      </c>
      <c r="NHV3" t="s">
        <v>10080</v>
      </c>
      <c r="NHW3" t="s">
        <v>10081</v>
      </c>
      <c r="NHX3" t="s">
        <v>10082</v>
      </c>
      <c r="NHY3" t="s">
        <v>10083</v>
      </c>
      <c r="NHZ3" t="s">
        <v>10084</v>
      </c>
      <c r="NIA3" t="s">
        <v>10085</v>
      </c>
      <c r="NIB3" t="s">
        <v>10086</v>
      </c>
      <c r="NIC3" t="s">
        <v>10087</v>
      </c>
      <c r="NID3" t="s">
        <v>10088</v>
      </c>
      <c r="NIE3" t="s">
        <v>10089</v>
      </c>
      <c r="NIF3" t="s">
        <v>10090</v>
      </c>
      <c r="NIG3" t="s">
        <v>10091</v>
      </c>
      <c r="NIH3" t="s">
        <v>10092</v>
      </c>
      <c r="NII3" t="s">
        <v>10093</v>
      </c>
      <c r="NIJ3" t="s">
        <v>10094</v>
      </c>
      <c r="NIK3" t="s">
        <v>10095</v>
      </c>
      <c r="NIL3" t="s">
        <v>10096</v>
      </c>
      <c r="NIM3" t="s">
        <v>10097</v>
      </c>
      <c r="NIN3" t="s">
        <v>10098</v>
      </c>
      <c r="NIO3" t="s">
        <v>10099</v>
      </c>
      <c r="NIP3" t="s">
        <v>10100</v>
      </c>
      <c r="NIQ3" t="s">
        <v>10101</v>
      </c>
      <c r="NIR3" t="s">
        <v>10102</v>
      </c>
      <c r="NIS3" t="s">
        <v>10103</v>
      </c>
      <c r="NIT3" t="s">
        <v>10104</v>
      </c>
      <c r="NIU3" t="s">
        <v>10105</v>
      </c>
      <c r="NIV3" t="s">
        <v>10106</v>
      </c>
      <c r="NIW3" t="s">
        <v>10107</v>
      </c>
      <c r="NIX3" t="s">
        <v>10108</v>
      </c>
      <c r="NIY3" t="s">
        <v>10109</v>
      </c>
      <c r="NIZ3" t="s">
        <v>10110</v>
      </c>
      <c r="NJA3" t="s">
        <v>10111</v>
      </c>
      <c r="NJB3" t="s">
        <v>10112</v>
      </c>
      <c r="NJC3" t="s">
        <v>10113</v>
      </c>
      <c r="NJD3" t="s">
        <v>10114</v>
      </c>
      <c r="NJE3" t="s">
        <v>10115</v>
      </c>
      <c r="NJF3" t="s">
        <v>10116</v>
      </c>
      <c r="NJG3" t="s">
        <v>10117</v>
      </c>
      <c r="NJH3" t="s">
        <v>10118</v>
      </c>
      <c r="NJI3" t="s">
        <v>10119</v>
      </c>
      <c r="NJJ3" t="s">
        <v>10120</v>
      </c>
      <c r="NJK3" t="s">
        <v>10121</v>
      </c>
      <c r="NJL3" t="s">
        <v>10122</v>
      </c>
      <c r="NJM3" t="s">
        <v>10123</v>
      </c>
      <c r="NJN3" t="s">
        <v>10124</v>
      </c>
      <c r="NJO3" t="s">
        <v>10125</v>
      </c>
      <c r="NJP3" t="s">
        <v>10126</v>
      </c>
      <c r="NJQ3" t="s">
        <v>10127</v>
      </c>
      <c r="NJR3" t="s">
        <v>10128</v>
      </c>
      <c r="NJS3" t="s">
        <v>10129</v>
      </c>
      <c r="NJT3" t="s">
        <v>10130</v>
      </c>
      <c r="NJU3" t="s">
        <v>10131</v>
      </c>
      <c r="NJV3" t="s">
        <v>10132</v>
      </c>
      <c r="NJW3" t="s">
        <v>10133</v>
      </c>
      <c r="NJX3" t="s">
        <v>10134</v>
      </c>
      <c r="NJY3" t="s">
        <v>10135</v>
      </c>
      <c r="NJZ3" t="s">
        <v>10136</v>
      </c>
      <c r="NKA3" t="s">
        <v>10137</v>
      </c>
      <c r="NKB3" t="s">
        <v>10138</v>
      </c>
      <c r="NKC3" t="s">
        <v>10139</v>
      </c>
      <c r="NKD3" t="s">
        <v>10140</v>
      </c>
      <c r="NKE3" t="s">
        <v>10141</v>
      </c>
      <c r="NKF3" t="s">
        <v>10142</v>
      </c>
      <c r="NKG3" t="s">
        <v>10143</v>
      </c>
      <c r="NKH3" t="s">
        <v>10144</v>
      </c>
      <c r="NKI3" t="s">
        <v>10145</v>
      </c>
      <c r="NKJ3" t="s">
        <v>10146</v>
      </c>
      <c r="NKK3" t="s">
        <v>10147</v>
      </c>
      <c r="NKL3" t="s">
        <v>10148</v>
      </c>
      <c r="NKM3" t="s">
        <v>10149</v>
      </c>
      <c r="NKN3" t="s">
        <v>10150</v>
      </c>
      <c r="NKO3" t="s">
        <v>10151</v>
      </c>
      <c r="NKP3" t="s">
        <v>10152</v>
      </c>
      <c r="NKQ3" t="s">
        <v>10153</v>
      </c>
      <c r="NKR3" t="s">
        <v>10154</v>
      </c>
      <c r="NKS3" t="s">
        <v>10155</v>
      </c>
      <c r="NKT3" t="s">
        <v>10156</v>
      </c>
      <c r="NKU3" t="s">
        <v>10157</v>
      </c>
      <c r="NKV3" t="s">
        <v>10158</v>
      </c>
      <c r="NKW3" t="s">
        <v>10159</v>
      </c>
      <c r="NKX3" t="s">
        <v>10160</v>
      </c>
      <c r="NKY3" t="s">
        <v>10161</v>
      </c>
      <c r="NKZ3" t="s">
        <v>10162</v>
      </c>
      <c r="NLA3" t="s">
        <v>10163</v>
      </c>
      <c r="NLB3" t="s">
        <v>10164</v>
      </c>
      <c r="NLC3" t="s">
        <v>10165</v>
      </c>
      <c r="NLD3" t="s">
        <v>10166</v>
      </c>
      <c r="NLE3" t="s">
        <v>10167</v>
      </c>
      <c r="NLF3" t="s">
        <v>10168</v>
      </c>
      <c r="NLG3" t="s">
        <v>10169</v>
      </c>
      <c r="NLH3" t="s">
        <v>10170</v>
      </c>
      <c r="NLI3" t="s">
        <v>10171</v>
      </c>
      <c r="NLJ3" t="s">
        <v>10172</v>
      </c>
      <c r="NLK3" t="s">
        <v>10173</v>
      </c>
      <c r="NLL3" t="s">
        <v>10174</v>
      </c>
      <c r="NLM3" t="s">
        <v>10175</v>
      </c>
      <c r="NLN3" t="s">
        <v>10176</v>
      </c>
      <c r="NLO3" t="s">
        <v>10177</v>
      </c>
      <c r="NLP3" t="s">
        <v>10178</v>
      </c>
      <c r="NLQ3" t="s">
        <v>10179</v>
      </c>
      <c r="NLR3" t="s">
        <v>10180</v>
      </c>
      <c r="NLS3" t="s">
        <v>10181</v>
      </c>
      <c r="NLT3" t="s">
        <v>10182</v>
      </c>
      <c r="NLU3" t="s">
        <v>10183</v>
      </c>
      <c r="NLV3" t="s">
        <v>10184</v>
      </c>
      <c r="NLW3" t="s">
        <v>10185</v>
      </c>
      <c r="NLX3" t="s">
        <v>10186</v>
      </c>
      <c r="NLY3" t="s">
        <v>10187</v>
      </c>
      <c r="NLZ3" t="s">
        <v>10188</v>
      </c>
      <c r="NMA3" t="s">
        <v>10189</v>
      </c>
      <c r="NMB3" t="s">
        <v>10190</v>
      </c>
      <c r="NMC3" t="s">
        <v>10191</v>
      </c>
      <c r="NMD3" t="s">
        <v>10192</v>
      </c>
      <c r="NME3" t="s">
        <v>10193</v>
      </c>
      <c r="NMF3" t="s">
        <v>10194</v>
      </c>
      <c r="NMG3" t="s">
        <v>10195</v>
      </c>
      <c r="NMH3" t="s">
        <v>10196</v>
      </c>
      <c r="NMI3" t="s">
        <v>10197</v>
      </c>
      <c r="NMJ3" t="s">
        <v>10198</v>
      </c>
      <c r="NMK3" t="s">
        <v>10199</v>
      </c>
      <c r="NML3" t="s">
        <v>10200</v>
      </c>
      <c r="NMM3" t="s">
        <v>10201</v>
      </c>
      <c r="NMN3" t="s">
        <v>10202</v>
      </c>
      <c r="NMO3" t="s">
        <v>10203</v>
      </c>
      <c r="NMP3" t="s">
        <v>10204</v>
      </c>
      <c r="NMQ3" t="s">
        <v>10205</v>
      </c>
      <c r="NMR3" t="s">
        <v>10206</v>
      </c>
      <c r="NMS3" t="s">
        <v>10207</v>
      </c>
      <c r="NMT3" t="s">
        <v>10208</v>
      </c>
      <c r="NMU3" t="s">
        <v>10209</v>
      </c>
      <c r="NMV3" t="s">
        <v>10210</v>
      </c>
      <c r="NMW3" t="s">
        <v>10211</v>
      </c>
      <c r="NMX3" t="s">
        <v>10212</v>
      </c>
      <c r="NMY3" t="s">
        <v>10213</v>
      </c>
      <c r="NMZ3" t="s">
        <v>10214</v>
      </c>
      <c r="NNA3" t="s">
        <v>10215</v>
      </c>
      <c r="NNB3" t="s">
        <v>10216</v>
      </c>
      <c r="NNC3" t="s">
        <v>10217</v>
      </c>
      <c r="NND3" t="s">
        <v>10218</v>
      </c>
      <c r="NNE3" t="s">
        <v>10219</v>
      </c>
      <c r="NNF3" t="s">
        <v>10220</v>
      </c>
      <c r="NNG3" t="s">
        <v>10221</v>
      </c>
      <c r="NNH3" t="s">
        <v>10222</v>
      </c>
      <c r="NNI3" t="s">
        <v>10223</v>
      </c>
      <c r="NNJ3" t="s">
        <v>10224</v>
      </c>
      <c r="NNK3" t="s">
        <v>10225</v>
      </c>
      <c r="NNL3" t="s">
        <v>10226</v>
      </c>
      <c r="NNM3" t="s">
        <v>10227</v>
      </c>
      <c r="NNN3" t="s">
        <v>10228</v>
      </c>
      <c r="NNO3" t="s">
        <v>10229</v>
      </c>
      <c r="NNP3" t="s">
        <v>10230</v>
      </c>
      <c r="NNQ3" t="s">
        <v>10231</v>
      </c>
      <c r="NNR3" t="s">
        <v>10232</v>
      </c>
      <c r="NNS3" t="s">
        <v>10233</v>
      </c>
      <c r="NNT3" t="s">
        <v>10234</v>
      </c>
      <c r="NNU3" t="s">
        <v>10235</v>
      </c>
      <c r="NNV3" t="s">
        <v>10236</v>
      </c>
      <c r="NNW3" t="s">
        <v>10237</v>
      </c>
      <c r="NNX3" t="s">
        <v>10238</v>
      </c>
      <c r="NNY3" t="s">
        <v>10239</v>
      </c>
      <c r="NNZ3" t="s">
        <v>10240</v>
      </c>
      <c r="NOA3" t="s">
        <v>10241</v>
      </c>
      <c r="NOB3" t="s">
        <v>10242</v>
      </c>
      <c r="NOC3" t="s">
        <v>10243</v>
      </c>
      <c r="NOD3" t="s">
        <v>10244</v>
      </c>
      <c r="NOE3" t="s">
        <v>10245</v>
      </c>
      <c r="NOF3" t="s">
        <v>10246</v>
      </c>
      <c r="NOG3" t="s">
        <v>10247</v>
      </c>
      <c r="NOH3" t="s">
        <v>10248</v>
      </c>
      <c r="NOI3" t="s">
        <v>10249</v>
      </c>
      <c r="NOJ3" t="s">
        <v>10250</v>
      </c>
      <c r="NOK3" t="s">
        <v>10251</v>
      </c>
      <c r="NOL3" t="s">
        <v>10252</v>
      </c>
      <c r="NOM3" t="s">
        <v>10253</v>
      </c>
      <c r="NON3" t="s">
        <v>10254</v>
      </c>
      <c r="NOO3" t="s">
        <v>10255</v>
      </c>
      <c r="NOP3" t="s">
        <v>10256</v>
      </c>
      <c r="NOQ3" t="s">
        <v>10257</v>
      </c>
      <c r="NOR3" t="s">
        <v>10258</v>
      </c>
      <c r="NOS3" t="s">
        <v>10259</v>
      </c>
      <c r="NOT3" t="s">
        <v>10260</v>
      </c>
      <c r="NOU3" t="s">
        <v>10261</v>
      </c>
      <c r="NOV3" t="s">
        <v>10262</v>
      </c>
      <c r="NOW3" t="s">
        <v>10263</v>
      </c>
      <c r="NOX3" t="s">
        <v>10264</v>
      </c>
      <c r="NOY3" t="s">
        <v>10265</v>
      </c>
      <c r="NOZ3" t="s">
        <v>10266</v>
      </c>
      <c r="NPA3" t="s">
        <v>10267</v>
      </c>
      <c r="NPB3" t="s">
        <v>10268</v>
      </c>
      <c r="NPC3" t="s">
        <v>10269</v>
      </c>
      <c r="NPD3" t="s">
        <v>10270</v>
      </c>
      <c r="NPE3" t="s">
        <v>10271</v>
      </c>
      <c r="NPF3" t="s">
        <v>10272</v>
      </c>
      <c r="NPG3" t="s">
        <v>10273</v>
      </c>
      <c r="NPH3" t="s">
        <v>10274</v>
      </c>
      <c r="NPI3" t="s">
        <v>10275</v>
      </c>
      <c r="NPJ3" t="s">
        <v>10276</v>
      </c>
      <c r="NPK3" t="s">
        <v>10277</v>
      </c>
      <c r="NPL3" t="s">
        <v>10278</v>
      </c>
      <c r="NPM3" t="s">
        <v>10279</v>
      </c>
      <c r="NPN3" t="s">
        <v>10280</v>
      </c>
      <c r="NPO3" t="s">
        <v>10281</v>
      </c>
      <c r="NPP3" t="s">
        <v>10282</v>
      </c>
      <c r="NPQ3" t="s">
        <v>10283</v>
      </c>
      <c r="NPR3" t="s">
        <v>10284</v>
      </c>
      <c r="NPS3" t="s">
        <v>10285</v>
      </c>
      <c r="NPT3" t="s">
        <v>10286</v>
      </c>
      <c r="NPU3" t="s">
        <v>10287</v>
      </c>
      <c r="NPV3" t="s">
        <v>10288</v>
      </c>
      <c r="NPW3" t="s">
        <v>10289</v>
      </c>
      <c r="NPX3" t="s">
        <v>10290</v>
      </c>
      <c r="NPY3" t="s">
        <v>10291</v>
      </c>
      <c r="NPZ3" t="s">
        <v>10292</v>
      </c>
      <c r="NQA3" t="s">
        <v>10293</v>
      </c>
      <c r="NQB3" t="s">
        <v>10294</v>
      </c>
      <c r="NQC3" t="s">
        <v>10295</v>
      </c>
      <c r="NQD3" t="s">
        <v>10296</v>
      </c>
      <c r="NQE3" t="s">
        <v>10297</v>
      </c>
      <c r="NQF3" t="s">
        <v>10298</v>
      </c>
      <c r="NQG3" t="s">
        <v>10299</v>
      </c>
      <c r="NQH3" t="s">
        <v>10300</v>
      </c>
      <c r="NQI3" t="s">
        <v>10301</v>
      </c>
      <c r="NQJ3" t="s">
        <v>10302</v>
      </c>
      <c r="NQK3" t="s">
        <v>10303</v>
      </c>
      <c r="NQL3" t="s">
        <v>10304</v>
      </c>
      <c r="NQM3" t="s">
        <v>10305</v>
      </c>
      <c r="NQN3" t="s">
        <v>10306</v>
      </c>
      <c r="NQO3" t="s">
        <v>10307</v>
      </c>
      <c r="NQP3" t="s">
        <v>10308</v>
      </c>
      <c r="NQQ3" t="s">
        <v>10309</v>
      </c>
      <c r="NQR3" t="s">
        <v>10310</v>
      </c>
      <c r="NQS3" t="s">
        <v>10311</v>
      </c>
      <c r="NQT3" t="s">
        <v>10312</v>
      </c>
      <c r="NQU3" t="s">
        <v>10313</v>
      </c>
      <c r="NQV3" t="s">
        <v>10314</v>
      </c>
      <c r="NQW3" t="s">
        <v>10315</v>
      </c>
      <c r="NQX3" t="s">
        <v>10316</v>
      </c>
      <c r="NQY3" t="s">
        <v>10317</v>
      </c>
      <c r="NQZ3" t="s">
        <v>10318</v>
      </c>
      <c r="NRA3" t="s">
        <v>10319</v>
      </c>
      <c r="NRB3" t="s">
        <v>10320</v>
      </c>
      <c r="NRC3" t="s">
        <v>10321</v>
      </c>
      <c r="NRD3" t="s">
        <v>10322</v>
      </c>
      <c r="NRE3" t="s">
        <v>10323</v>
      </c>
      <c r="NRF3" t="s">
        <v>10324</v>
      </c>
      <c r="NRG3" t="s">
        <v>10325</v>
      </c>
      <c r="NRH3" t="s">
        <v>10326</v>
      </c>
      <c r="NRI3" t="s">
        <v>10327</v>
      </c>
      <c r="NRJ3" t="s">
        <v>10328</v>
      </c>
      <c r="NRK3" t="s">
        <v>10329</v>
      </c>
      <c r="NRL3" t="s">
        <v>10330</v>
      </c>
      <c r="NRM3" t="s">
        <v>10331</v>
      </c>
      <c r="NRN3" t="s">
        <v>10332</v>
      </c>
      <c r="NRO3" t="s">
        <v>10333</v>
      </c>
      <c r="NRP3" t="s">
        <v>10334</v>
      </c>
      <c r="NRQ3" t="s">
        <v>10335</v>
      </c>
      <c r="NRR3" t="s">
        <v>10336</v>
      </c>
      <c r="NRS3" t="s">
        <v>10337</v>
      </c>
      <c r="NRT3" t="s">
        <v>10338</v>
      </c>
      <c r="NRU3" t="s">
        <v>10339</v>
      </c>
      <c r="NRV3" t="s">
        <v>10340</v>
      </c>
      <c r="NRW3" t="s">
        <v>10341</v>
      </c>
      <c r="NRX3" t="s">
        <v>10342</v>
      </c>
      <c r="NRY3" t="s">
        <v>10343</v>
      </c>
      <c r="NRZ3" t="s">
        <v>10344</v>
      </c>
      <c r="NSA3" t="s">
        <v>10345</v>
      </c>
      <c r="NSB3" t="s">
        <v>10346</v>
      </c>
      <c r="NSC3" t="s">
        <v>10347</v>
      </c>
      <c r="NSD3" t="s">
        <v>10348</v>
      </c>
      <c r="NSE3" t="s">
        <v>10349</v>
      </c>
      <c r="NSF3" t="s">
        <v>10350</v>
      </c>
      <c r="NSG3" t="s">
        <v>10351</v>
      </c>
      <c r="NSH3" t="s">
        <v>10352</v>
      </c>
      <c r="NSI3" t="s">
        <v>10353</v>
      </c>
      <c r="NSJ3" t="s">
        <v>10354</v>
      </c>
      <c r="NSK3" t="s">
        <v>10355</v>
      </c>
      <c r="NSL3" t="s">
        <v>10356</v>
      </c>
      <c r="NSM3" t="s">
        <v>10357</v>
      </c>
      <c r="NSN3" t="s">
        <v>10358</v>
      </c>
      <c r="NSO3" t="s">
        <v>10359</v>
      </c>
      <c r="NSP3" t="s">
        <v>10360</v>
      </c>
      <c r="NSQ3" t="s">
        <v>10361</v>
      </c>
      <c r="NSR3" t="s">
        <v>10362</v>
      </c>
      <c r="NSS3" t="s">
        <v>10363</v>
      </c>
      <c r="NST3" t="s">
        <v>10364</v>
      </c>
      <c r="NSU3" t="s">
        <v>10365</v>
      </c>
      <c r="NSV3" t="s">
        <v>10366</v>
      </c>
      <c r="NSW3" t="s">
        <v>10367</v>
      </c>
      <c r="NSX3" t="s">
        <v>10368</v>
      </c>
      <c r="NSY3" t="s">
        <v>10369</v>
      </c>
      <c r="NSZ3" t="s">
        <v>10370</v>
      </c>
      <c r="NTA3" t="s">
        <v>10371</v>
      </c>
      <c r="NTB3" t="s">
        <v>10372</v>
      </c>
      <c r="NTC3" t="s">
        <v>10373</v>
      </c>
      <c r="NTD3" t="s">
        <v>10374</v>
      </c>
      <c r="NTE3" t="s">
        <v>10375</v>
      </c>
      <c r="NTF3" t="s">
        <v>10376</v>
      </c>
      <c r="NTG3" t="s">
        <v>10377</v>
      </c>
      <c r="NTH3" t="s">
        <v>10378</v>
      </c>
      <c r="NTI3" t="s">
        <v>10379</v>
      </c>
      <c r="NTJ3" t="s">
        <v>10380</v>
      </c>
      <c r="NTK3" t="s">
        <v>10381</v>
      </c>
      <c r="NTL3" t="s">
        <v>10382</v>
      </c>
      <c r="NTM3" t="s">
        <v>10383</v>
      </c>
      <c r="NTN3" t="s">
        <v>10384</v>
      </c>
      <c r="NTO3" t="s">
        <v>10385</v>
      </c>
      <c r="NTP3" t="s">
        <v>10386</v>
      </c>
      <c r="NTQ3" t="s">
        <v>10387</v>
      </c>
      <c r="NTR3" t="s">
        <v>10388</v>
      </c>
      <c r="NTS3" t="s">
        <v>10389</v>
      </c>
      <c r="NTT3" t="s">
        <v>10390</v>
      </c>
      <c r="NTU3" t="s">
        <v>10391</v>
      </c>
      <c r="NTV3" t="s">
        <v>10392</v>
      </c>
      <c r="NTW3" t="s">
        <v>10393</v>
      </c>
      <c r="NTX3" t="s">
        <v>10394</v>
      </c>
      <c r="NTY3" t="s">
        <v>10395</v>
      </c>
      <c r="NTZ3" t="s">
        <v>10396</v>
      </c>
      <c r="NUA3" t="s">
        <v>10397</v>
      </c>
      <c r="NUB3" t="s">
        <v>10398</v>
      </c>
      <c r="NUC3" t="s">
        <v>10399</v>
      </c>
      <c r="NUD3" t="s">
        <v>10400</v>
      </c>
      <c r="NUE3" t="s">
        <v>10401</v>
      </c>
      <c r="NUF3" t="s">
        <v>10402</v>
      </c>
      <c r="NUG3" t="s">
        <v>10403</v>
      </c>
      <c r="NUH3" t="s">
        <v>10404</v>
      </c>
      <c r="NUI3" t="s">
        <v>10405</v>
      </c>
      <c r="NUJ3" t="s">
        <v>10406</v>
      </c>
      <c r="NUK3" t="s">
        <v>10407</v>
      </c>
      <c r="NUL3" t="s">
        <v>10408</v>
      </c>
      <c r="NUM3" t="s">
        <v>10409</v>
      </c>
      <c r="NUN3" t="s">
        <v>10410</v>
      </c>
      <c r="NUO3" t="s">
        <v>10411</v>
      </c>
      <c r="NUP3" t="s">
        <v>10412</v>
      </c>
      <c r="NUQ3" t="s">
        <v>10413</v>
      </c>
      <c r="NUR3" t="s">
        <v>10414</v>
      </c>
      <c r="NUS3" t="s">
        <v>10415</v>
      </c>
      <c r="NUT3" t="s">
        <v>10416</v>
      </c>
      <c r="NUU3" t="s">
        <v>10417</v>
      </c>
      <c r="NUV3" t="s">
        <v>10418</v>
      </c>
      <c r="NUW3" t="s">
        <v>10419</v>
      </c>
      <c r="NUX3" t="s">
        <v>10420</v>
      </c>
      <c r="NUY3" t="s">
        <v>10421</v>
      </c>
      <c r="NUZ3" t="s">
        <v>10422</v>
      </c>
      <c r="NVA3" t="s">
        <v>10423</v>
      </c>
      <c r="NVB3" t="s">
        <v>10424</v>
      </c>
      <c r="NVC3" t="s">
        <v>10425</v>
      </c>
      <c r="NVD3" t="s">
        <v>10426</v>
      </c>
      <c r="NVE3" t="s">
        <v>10427</v>
      </c>
      <c r="NVF3" t="s">
        <v>10428</v>
      </c>
      <c r="NVG3" t="s">
        <v>10429</v>
      </c>
      <c r="NVH3" t="s">
        <v>10430</v>
      </c>
      <c r="NVI3" t="s">
        <v>10431</v>
      </c>
      <c r="NVJ3" t="s">
        <v>10432</v>
      </c>
      <c r="NVK3" t="s">
        <v>10433</v>
      </c>
      <c r="NVL3" t="s">
        <v>10434</v>
      </c>
      <c r="NVM3" t="s">
        <v>10435</v>
      </c>
      <c r="NVN3" t="s">
        <v>10436</v>
      </c>
      <c r="NVO3" t="s">
        <v>10437</v>
      </c>
      <c r="NVP3" t="s">
        <v>10438</v>
      </c>
      <c r="NVQ3" t="s">
        <v>10439</v>
      </c>
      <c r="NVR3" t="s">
        <v>10440</v>
      </c>
      <c r="NVS3" t="s">
        <v>10441</v>
      </c>
      <c r="NVT3" t="s">
        <v>10442</v>
      </c>
      <c r="NVU3" t="s">
        <v>10443</v>
      </c>
      <c r="NVV3" t="s">
        <v>10444</v>
      </c>
      <c r="NVW3" t="s">
        <v>10445</v>
      </c>
      <c r="NVX3" t="s">
        <v>10446</v>
      </c>
      <c r="NVY3" t="s">
        <v>10447</v>
      </c>
      <c r="NVZ3" t="s">
        <v>10448</v>
      </c>
      <c r="NWA3" t="s">
        <v>10449</v>
      </c>
      <c r="NWB3" t="s">
        <v>10450</v>
      </c>
      <c r="NWC3" t="s">
        <v>10451</v>
      </c>
      <c r="NWD3" t="s">
        <v>10452</v>
      </c>
      <c r="NWE3" t="s">
        <v>10453</v>
      </c>
      <c r="NWF3" t="s">
        <v>10454</v>
      </c>
      <c r="NWG3" t="s">
        <v>10455</v>
      </c>
      <c r="NWH3" t="s">
        <v>10456</v>
      </c>
      <c r="NWI3" t="s">
        <v>10457</v>
      </c>
      <c r="NWJ3" t="s">
        <v>10458</v>
      </c>
      <c r="NWK3" t="s">
        <v>10459</v>
      </c>
      <c r="NWL3" t="s">
        <v>10460</v>
      </c>
      <c r="NWM3" t="s">
        <v>10461</v>
      </c>
      <c r="NWN3" t="s">
        <v>10462</v>
      </c>
      <c r="NWO3" t="s">
        <v>10463</v>
      </c>
      <c r="NWP3" t="s">
        <v>10464</v>
      </c>
      <c r="NWQ3" t="s">
        <v>10465</v>
      </c>
      <c r="NWR3" t="s">
        <v>10466</v>
      </c>
      <c r="NWS3" t="s">
        <v>10467</v>
      </c>
      <c r="NWT3" t="s">
        <v>10468</v>
      </c>
      <c r="NWU3" t="s">
        <v>10469</v>
      </c>
      <c r="NWV3" t="s">
        <v>10470</v>
      </c>
      <c r="NWW3" t="s">
        <v>10471</v>
      </c>
      <c r="NWX3" t="s">
        <v>10472</v>
      </c>
      <c r="NWY3" t="s">
        <v>10473</v>
      </c>
      <c r="NWZ3" t="s">
        <v>10474</v>
      </c>
      <c r="NXA3" t="s">
        <v>10475</v>
      </c>
      <c r="NXB3" t="s">
        <v>10476</v>
      </c>
      <c r="NXC3" t="s">
        <v>10477</v>
      </c>
      <c r="NXD3" t="s">
        <v>10478</v>
      </c>
      <c r="NXE3" t="s">
        <v>10479</v>
      </c>
      <c r="NXF3" t="s">
        <v>10480</v>
      </c>
      <c r="NXG3" t="s">
        <v>10481</v>
      </c>
      <c r="NXH3" t="s">
        <v>10482</v>
      </c>
      <c r="NXI3" t="s">
        <v>10483</v>
      </c>
      <c r="NXJ3" t="s">
        <v>10484</v>
      </c>
      <c r="NXK3" t="s">
        <v>10485</v>
      </c>
      <c r="NXL3" t="s">
        <v>10486</v>
      </c>
      <c r="NXM3" t="s">
        <v>10487</v>
      </c>
      <c r="NXN3" t="s">
        <v>10488</v>
      </c>
      <c r="NXO3" t="s">
        <v>10489</v>
      </c>
      <c r="NXP3" t="s">
        <v>10490</v>
      </c>
      <c r="NXQ3" t="s">
        <v>10491</v>
      </c>
      <c r="NXR3" t="s">
        <v>10492</v>
      </c>
      <c r="NXS3" t="s">
        <v>10493</v>
      </c>
      <c r="NXT3" t="s">
        <v>10494</v>
      </c>
      <c r="NXU3" t="s">
        <v>10495</v>
      </c>
      <c r="NXV3" t="s">
        <v>10496</v>
      </c>
      <c r="NXW3" t="s">
        <v>10497</v>
      </c>
      <c r="NXX3" t="s">
        <v>10498</v>
      </c>
      <c r="NXY3" t="s">
        <v>10499</v>
      </c>
      <c r="NXZ3" t="s">
        <v>10500</v>
      </c>
      <c r="NYA3" t="s">
        <v>10501</v>
      </c>
      <c r="NYB3" t="s">
        <v>10502</v>
      </c>
      <c r="NYC3" t="s">
        <v>10503</v>
      </c>
      <c r="NYD3" t="s">
        <v>10504</v>
      </c>
      <c r="NYE3" t="s">
        <v>10505</v>
      </c>
      <c r="NYF3" t="s">
        <v>10506</v>
      </c>
      <c r="NYG3" t="s">
        <v>10507</v>
      </c>
      <c r="NYH3" t="s">
        <v>10508</v>
      </c>
      <c r="NYI3" t="s">
        <v>10509</v>
      </c>
      <c r="NYJ3" t="s">
        <v>10510</v>
      </c>
      <c r="NYK3" t="s">
        <v>10511</v>
      </c>
      <c r="NYL3" t="s">
        <v>10512</v>
      </c>
      <c r="NYM3" t="s">
        <v>10513</v>
      </c>
      <c r="NYN3" t="s">
        <v>10514</v>
      </c>
      <c r="NYO3" t="s">
        <v>10515</v>
      </c>
      <c r="NYP3" t="s">
        <v>10516</v>
      </c>
      <c r="NYQ3" t="s">
        <v>10517</v>
      </c>
      <c r="NYR3" t="s">
        <v>10518</v>
      </c>
      <c r="NYS3" t="s">
        <v>10519</v>
      </c>
      <c r="NYT3" t="s">
        <v>10520</v>
      </c>
      <c r="NYU3" t="s">
        <v>10521</v>
      </c>
      <c r="NYV3" t="s">
        <v>10522</v>
      </c>
      <c r="NYW3" t="s">
        <v>10523</v>
      </c>
      <c r="NYX3" t="s">
        <v>10524</v>
      </c>
      <c r="NYY3" t="s">
        <v>10525</v>
      </c>
      <c r="NYZ3" t="s">
        <v>10526</v>
      </c>
      <c r="NZA3" t="s">
        <v>10527</v>
      </c>
      <c r="NZB3" t="s">
        <v>10528</v>
      </c>
      <c r="NZC3" t="s">
        <v>10529</v>
      </c>
      <c r="NZD3" t="s">
        <v>10530</v>
      </c>
      <c r="NZE3" t="s">
        <v>10531</v>
      </c>
      <c r="NZF3" t="s">
        <v>10532</v>
      </c>
      <c r="NZG3" t="s">
        <v>10533</v>
      </c>
      <c r="NZH3" t="s">
        <v>10534</v>
      </c>
      <c r="NZI3" t="s">
        <v>10535</v>
      </c>
      <c r="NZJ3" t="s">
        <v>10536</v>
      </c>
      <c r="NZK3" t="s">
        <v>10537</v>
      </c>
      <c r="NZL3" t="s">
        <v>10538</v>
      </c>
      <c r="NZM3" t="s">
        <v>10539</v>
      </c>
      <c r="NZN3" t="s">
        <v>10540</v>
      </c>
      <c r="NZO3" t="s">
        <v>10541</v>
      </c>
      <c r="NZP3" t="s">
        <v>10542</v>
      </c>
      <c r="NZQ3" t="s">
        <v>10543</v>
      </c>
      <c r="NZR3" t="s">
        <v>10544</v>
      </c>
      <c r="NZS3" t="s">
        <v>10545</v>
      </c>
      <c r="NZT3" t="s">
        <v>10546</v>
      </c>
      <c r="NZU3" t="s">
        <v>10547</v>
      </c>
      <c r="NZV3" t="s">
        <v>10548</v>
      </c>
      <c r="NZW3" t="s">
        <v>10549</v>
      </c>
      <c r="NZX3" t="s">
        <v>10550</v>
      </c>
      <c r="NZY3" t="s">
        <v>10551</v>
      </c>
      <c r="NZZ3" t="s">
        <v>10552</v>
      </c>
      <c r="OAA3" t="s">
        <v>10553</v>
      </c>
      <c r="OAB3" t="s">
        <v>10554</v>
      </c>
      <c r="OAC3" t="s">
        <v>10555</v>
      </c>
      <c r="OAD3" t="s">
        <v>10556</v>
      </c>
      <c r="OAE3" t="s">
        <v>10557</v>
      </c>
      <c r="OAF3" t="s">
        <v>10558</v>
      </c>
      <c r="OAG3" t="s">
        <v>10559</v>
      </c>
      <c r="OAH3" t="s">
        <v>10560</v>
      </c>
      <c r="OAI3" t="s">
        <v>10561</v>
      </c>
      <c r="OAJ3" t="s">
        <v>10562</v>
      </c>
      <c r="OAK3" t="s">
        <v>10563</v>
      </c>
      <c r="OAL3" t="s">
        <v>10564</v>
      </c>
      <c r="OAM3" t="s">
        <v>10565</v>
      </c>
      <c r="OAN3" t="s">
        <v>10566</v>
      </c>
      <c r="OAO3" t="s">
        <v>10567</v>
      </c>
      <c r="OAP3" t="s">
        <v>10568</v>
      </c>
      <c r="OAQ3" t="s">
        <v>10569</v>
      </c>
      <c r="OAR3" t="s">
        <v>10570</v>
      </c>
      <c r="OAS3" t="s">
        <v>10571</v>
      </c>
      <c r="OAT3" t="s">
        <v>10572</v>
      </c>
      <c r="OAU3" t="s">
        <v>10573</v>
      </c>
      <c r="OAV3" t="s">
        <v>10574</v>
      </c>
      <c r="OAW3" t="s">
        <v>10575</v>
      </c>
      <c r="OAX3" t="s">
        <v>10576</v>
      </c>
      <c r="OAY3" t="s">
        <v>10577</v>
      </c>
      <c r="OAZ3" t="s">
        <v>10578</v>
      </c>
      <c r="OBA3" t="s">
        <v>10579</v>
      </c>
      <c r="OBB3" t="s">
        <v>10580</v>
      </c>
      <c r="OBC3" t="s">
        <v>10581</v>
      </c>
      <c r="OBD3" t="s">
        <v>10582</v>
      </c>
      <c r="OBE3" t="s">
        <v>10583</v>
      </c>
      <c r="OBF3" t="s">
        <v>10584</v>
      </c>
      <c r="OBG3" t="s">
        <v>10585</v>
      </c>
      <c r="OBH3" t="s">
        <v>10586</v>
      </c>
      <c r="OBI3" t="s">
        <v>10587</v>
      </c>
      <c r="OBJ3" t="s">
        <v>10588</v>
      </c>
      <c r="OBK3" t="s">
        <v>10589</v>
      </c>
      <c r="OBL3" t="s">
        <v>10590</v>
      </c>
      <c r="OBM3" t="s">
        <v>10591</v>
      </c>
      <c r="OBN3" t="s">
        <v>10592</v>
      </c>
      <c r="OBO3" t="s">
        <v>10593</v>
      </c>
      <c r="OBP3" t="s">
        <v>10594</v>
      </c>
      <c r="OBQ3" t="s">
        <v>10595</v>
      </c>
      <c r="OBR3" t="s">
        <v>10596</v>
      </c>
      <c r="OBS3" t="s">
        <v>10597</v>
      </c>
      <c r="OBT3" t="s">
        <v>10598</v>
      </c>
      <c r="OBU3" t="s">
        <v>10599</v>
      </c>
      <c r="OBV3" t="s">
        <v>10600</v>
      </c>
      <c r="OBW3" t="s">
        <v>10601</v>
      </c>
      <c r="OBX3" t="s">
        <v>10602</v>
      </c>
      <c r="OBY3" t="s">
        <v>10603</v>
      </c>
      <c r="OBZ3" t="s">
        <v>10604</v>
      </c>
      <c r="OCA3" t="s">
        <v>10605</v>
      </c>
      <c r="OCB3" t="s">
        <v>10606</v>
      </c>
      <c r="OCC3" t="s">
        <v>10607</v>
      </c>
      <c r="OCD3" t="s">
        <v>10608</v>
      </c>
      <c r="OCE3" t="s">
        <v>10609</v>
      </c>
      <c r="OCF3" t="s">
        <v>10610</v>
      </c>
      <c r="OCG3" t="s">
        <v>10611</v>
      </c>
      <c r="OCH3" t="s">
        <v>10612</v>
      </c>
      <c r="OCI3" t="s">
        <v>10613</v>
      </c>
      <c r="OCJ3" t="s">
        <v>10614</v>
      </c>
      <c r="OCK3" t="s">
        <v>10615</v>
      </c>
      <c r="OCL3" t="s">
        <v>10616</v>
      </c>
      <c r="OCM3" t="s">
        <v>10617</v>
      </c>
      <c r="OCN3" t="s">
        <v>10618</v>
      </c>
      <c r="OCO3" t="s">
        <v>10619</v>
      </c>
      <c r="OCP3" t="s">
        <v>10620</v>
      </c>
      <c r="OCQ3" t="s">
        <v>10621</v>
      </c>
      <c r="OCR3" t="s">
        <v>10622</v>
      </c>
      <c r="OCS3" t="s">
        <v>10623</v>
      </c>
      <c r="OCT3" t="s">
        <v>10624</v>
      </c>
      <c r="OCU3" t="s">
        <v>10625</v>
      </c>
      <c r="OCV3" t="s">
        <v>10626</v>
      </c>
      <c r="OCW3" t="s">
        <v>10627</v>
      </c>
      <c r="OCX3" t="s">
        <v>10628</v>
      </c>
      <c r="OCY3" t="s">
        <v>10629</v>
      </c>
      <c r="OCZ3" t="s">
        <v>10630</v>
      </c>
      <c r="ODA3" t="s">
        <v>10631</v>
      </c>
      <c r="ODB3" t="s">
        <v>10632</v>
      </c>
      <c r="ODC3" t="s">
        <v>10633</v>
      </c>
      <c r="ODD3" t="s">
        <v>10634</v>
      </c>
      <c r="ODE3" t="s">
        <v>10635</v>
      </c>
      <c r="ODF3" t="s">
        <v>10636</v>
      </c>
      <c r="ODG3" t="s">
        <v>10637</v>
      </c>
      <c r="ODH3" t="s">
        <v>10638</v>
      </c>
      <c r="ODI3" t="s">
        <v>10639</v>
      </c>
      <c r="ODJ3" t="s">
        <v>10640</v>
      </c>
      <c r="ODK3" t="s">
        <v>10641</v>
      </c>
      <c r="ODL3" t="s">
        <v>10642</v>
      </c>
      <c r="ODM3" t="s">
        <v>10643</v>
      </c>
      <c r="ODN3" t="s">
        <v>10644</v>
      </c>
      <c r="ODO3" t="s">
        <v>10645</v>
      </c>
      <c r="ODP3" t="s">
        <v>10646</v>
      </c>
      <c r="ODQ3" t="s">
        <v>10647</v>
      </c>
      <c r="ODR3" t="s">
        <v>10648</v>
      </c>
      <c r="ODS3" t="s">
        <v>10649</v>
      </c>
      <c r="ODT3" t="s">
        <v>10650</v>
      </c>
      <c r="ODU3" t="s">
        <v>10651</v>
      </c>
      <c r="ODV3" t="s">
        <v>10652</v>
      </c>
      <c r="ODW3" t="s">
        <v>10653</v>
      </c>
      <c r="ODX3" t="s">
        <v>10654</v>
      </c>
      <c r="ODY3" t="s">
        <v>10655</v>
      </c>
      <c r="ODZ3" t="s">
        <v>10656</v>
      </c>
      <c r="OEA3" t="s">
        <v>10657</v>
      </c>
      <c r="OEB3" t="s">
        <v>10658</v>
      </c>
      <c r="OEC3" t="s">
        <v>10659</v>
      </c>
      <c r="OED3" t="s">
        <v>10660</v>
      </c>
      <c r="OEE3" t="s">
        <v>10661</v>
      </c>
      <c r="OEF3" t="s">
        <v>10662</v>
      </c>
      <c r="OEG3" t="s">
        <v>10663</v>
      </c>
      <c r="OEH3" t="s">
        <v>10664</v>
      </c>
      <c r="OEI3" t="s">
        <v>10665</v>
      </c>
      <c r="OEJ3" t="s">
        <v>10666</v>
      </c>
      <c r="OEK3" t="s">
        <v>10667</v>
      </c>
      <c r="OEL3" t="s">
        <v>10668</v>
      </c>
      <c r="OEM3" t="s">
        <v>10669</v>
      </c>
      <c r="OEN3" t="s">
        <v>10670</v>
      </c>
      <c r="OEO3" t="s">
        <v>10671</v>
      </c>
      <c r="OEP3" t="s">
        <v>10672</v>
      </c>
      <c r="OEQ3" t="s">
        <v>10673</v>
      </c>
      <c r="OER3" t="s">
        <v>10674</v>
      </c>
      <c r="OES3" t="s">
        <v>10675</v>
      </c>
      <c r="OET3" t="s">
        <v>10676</v>
      </c>
      <c r="OEU3" t="s">
        <v>10677</v>
      </c>
      <c r="OEV3" t="s">
        <v>10678</v>
      </c>
      <c r="OEW3" t="s">
        <v>10679</v>
      </c>
      <c r="OEX3" t="s">
        <v>10680</v>
      </c>
      <c r="OEY3" t="s">
        <v>10681</v>
      </c>
      <c r="OEZ3" t="s">
        <v>10682</v>
      </c>
      <c r="OFA3" t="s">
        <v>10683</v>
      </c>
      <c r="OFB3" t="s">
        <v>10684</v>
      </c>
      <c r="OFC3" t="s">
        <v>10685</v>
      </c>
      <c r="OFD3" t="s">
        <v>10686</v>
      </c>
      <c r="OFE3" t="s">
        <v>10687</v>
      </c>
      <c r="OFF3" t="s">
        <v>10688</v>
      </c>
      <c r="OFG3" t="s">
        <v>10689</v>
      </c>
      <c r="OFH3" t="s">
        <v>10690</v>
      </c>
      <c r="OFI3" t="s">
        <v>10691</v>
      </c>
      <c r="OFJ3" t="s">
        <v>10692</v>
      </c>
      <c r="OFK3" t="s">
        <v>10693</v>
      </c>
      <c r="OFL3" t="s">
        <v>10694</v>
      </c>
      <c r="OFM3" t="s">
        <v>10695</v>
      </c>
      <c r="OFN3" t="s">
        <v>10696</v>
      </c>
      <c r="OFO3" t="s">
        <v>10697</v>
      </c>
      <c r="OFP3" t="s">
        <v>10698</v>
      </c>
      <c r="OFQ3" t="s">
        <v>10699</v>
      </c>
      <c r="OFR3" t="s">
        <v>10700</v>
      </c>
      <c r="OFS3" t="s">
        <v>10701</v>
      </c>
      <c r="OFT3" t="s">
        <v>10702</v>
      </c>
      <c r="OFU3" t="s">
        <v>10703</v>
      </c>
      <c r="OFV3" t="s">
        <v>10704</v>
      </c>
      <c r="OFW3" t="s">
        <v>10705</v>
      </c>
      <c r="OFX3" t="s">
        <v>10706</v>
      </c>
      <c r="OFY3" t="s">
        <v>10707</v>
      </c>
      <c r="OFZ3" t="s">
        <v>10708</v>
      </c>
      <c r="OGA3" t="s">
        <v>10709</v>
      </c>
      <c r="OGB3" t="s">
        <v>10710</v>
      </c>
      <c r="OGC3" t="s">
        <v>10711</v>
      </c>
      <c r="OGD3" t="s">
        <v>10712</v>
      </c>
      <c r="OGE3" t="s">
        <v>10713</v>
      </c>
      <c r="OGF3" t="s">
        <v>10714</v>
      </c>
      <c r="OGG3" t="s">
        <v>10715</v>
      </c>
      <c r="OGH3" t="s">
        <v>10716</v>
      </c>
      <c r="OGI3" t="s">
        <v>10717</v>
      </c>
      <c r="OGJ3" t="s">
        <v>10718</v>
      </c>
      <c r="OGK3" t="s">
        <v>10719</v>
      </c>
      <c r="OGL3" t="s">
        <v>10720</v>
      </c>
      <c r="OGM3" t="s">
        <v>10721</v>
      </c>
      <c r="OGN3" t="s">
        <v>10722</v>
      </c>
      <c r="OGO3" t="s">
        <v>10723</v>
      </c>
      <c r="OGP3" t="s">
        <v>10724</v>
      </c>
      <c r="OGQ3" t="s">
        <v>10725</v>
      </c>
      <c r="OGR3" t="s">
        <v>10726</v>
      </c>
      <c r="OGS3" t="s">
        <v>10727</v>
      </c>
      <c r="OGT3" t="s">
        <v>10728</v>
      </c>
      <c r="OGU3" t="s">
        <v>10729</v>
      </c>
      <c r="OGV3" t="s">
        <v>10730</v>
      </c>
      <c r="OGW3" t="s">
        <v>10731</v>
      </c>
      <c r="OGX3" t="s">
        <v>10732</v>
      </c>
      <c r="OGY3" t="s">
        <v>10733</v>
      </c>
      <c r="OGZ3" t="s">
        <v>10734</v>
      </c>
      <c r="OHA3" t="s">
        <v>10735</v>
      </c>
      <c r="OHB3" t="s">
        <v>10736</v>
      </c>
      <c r="OHC3" t="s">
        <v>10737</v>
      </c>
      <c r="OHD3" t="s">
        <v>10738</v>
      </c>
      <c r="OHE3" t="s">
        <v>10739</v>
      </c>
      <c r="OHF3" t="s">
        <v>10740</v>
      </c>
      <c r="OHG3" t="s">
        <v>10741</v>
      </c>
      <c r="OHH3" t="s">
        <v>10742</v>
      </c>
      <c r="OHI3" t="s">
        <v>10743</v>
      </c>
      <c r="OHJ3" t="s">
        <v>10744</v>
      </c>
      <c r="OHK3" t="s">
        <v>10745</v>
      </c>
      <c r="OHL3" t="s">
        <v>10746</v>
      </c>
      <c r="OHM3" t="s">
        <v>10747</v>
      </c>
      <c r="OHN3" t="s">
        <v>10748</v>
      </c>
      <c r="OHO3" t="s">
        <v>10749</v>
      </c>
      <c r="OHP3" t="s">
        <v>10750</v>
      </c>
      <c r="OHQ3" t="s">
        <v>10751</v>
      </c>
      <c r="OHR3" t="s">
        <v>10752</v>
      </c>
      <c r="OHS3" t="s">
        <v>10753</v>
      </c>
      <c r="OHT3" t="s">
        <v>10754</v>
      </c>
      <c r="OHU3" t="s">
        <v>10755</v>
      </c>
      <c r="OHV3" t="s">
        <v>10756</v>
      </c>
      <c r="OHW3" t="s">
        <v>10757</v>
      </c>
      <c r="OHX3" t="s">
        <v>10758</v>
      </c>
      <c r="OHY3" t="s">
        <v>10759</v>
      </c>
      <c r="OHZ3" t="s">
        <v>10760</v>
      </c>
      <c r="OIA3" t="s">
        <v>10761</v>
      </c>
      <c r="OIB3" t="s">
        <v>10762</v>
      </c>
      <c r="OIC3" t="s">
        <v>10763</v>
      </c>
      <c r="OID3" t="s">
        <v>10764</v>
      </c>
      <c r="OIE3" t="s">
        <v>10765</v>
      </c>
      <c r="OIF3" t="s">
        <v>10766</v>
      </c>
      <c r="OIG3" t="s">
        <v>10767</v>
      </c>
      <c r="OIH3" t="s">
        <v>10768</v>
      </c>
      <c r="OII3" t="s">
        <v>10769</v>
      </c>
      <c r="OIJ3" t="s">
        <v>10770</v>
      </c>
      <c r="OIK3" t="s">
        <v>10771</v>
      </c>
      <c r="OIL3" t="s">
        <v>10772</v>
      </c>
      <c r="OIM3" t="s">
        <v>10773</v>
      </c>
      <c r="OIN3" t="s">
        <v>10774</v>
      </c>
      <c r="OIO3" t="s">
        <v>10775</v>
      </c>
      <c r="OIP3" t="s">
        <v>10776</v>
      </c>
      <c r="OIQ3" t="s">
        <v>10777</v>
      </c>
      <c r="OIR3" t="s">
        <v>10778</v>
      </c>
      <c r="OIS3" t="s">
        <v>10779</v>
      </c>
      <c r="OIT3" t="s">
        <v>10780</v>
      </c>
      <c r="OIU3" t="s">
        <v>10781</v>
      </c>
      <c r="OIV3" t="s">
        <v>10782</v>
      </c>
      <c r="OIW3" t="s">
        <v>10783</v>
      </c>
      <c r="OIX3" t="s">
        <v>10784</v>
      </c>
      <c r="OIY3" t="s">
        <v>10785</v>
      </c>
      <c r="OIZ3" t="s">
        <v>10786</v>
      </c>
      <c r="OJA3" t="s">
        <v>10787</v>
      </c>
      <c r="OJB3" t="s">
        <v>10788</v>
      </c>
      <c r="OJC3" t="s">
        <v>10789</v>
      </c>
      <c r="OJD3" t="s">
        <v>10790</v>
      </c>
      <c r="OJE3" t="s">
        <v>10791</v>
      </c>
      <c r="OJF3" t="s">
        <v>10792</v>
      </c>
      <c r="OJG3" t="s">
        <v>10793</v>
      </c>
      <c r="OJH3" t="s">
        <v>10794</v>
      </c>
      <c r="OJI3" t="s">
        <v>10795</v>
      </c>
      <c r="OJJ3" t="s">
        <v>10796</v>
      </c>
      <c r="OJK3" t="s">
        <v>10797</v>
      </c>
      <c r="OJL3" t="s">
        <v>10798</v>
      </c>
      <c r="OJM3" t="s">
        <v>10799</v>
      </c>
      <c r="OJN3" t="s">
        <v>10800</v>
      </c>
      <c r="OJO3" t="s">
        <v>10801</v>
      </c>
      <c r="OJP3" t="s">
        <v>10802</v>
      </c>
      <c r="OJQ3" t="s">
        <v>10803</v>
      </c>
      <c r="OJR3" t="s">
        <v>10804</v>
      </c>
      <c r="OJS3" t="s">
        <v>10805</v>
      </c>
      <c r="OJT3" t="s">
        <v>10806</v>
      </c>
      <c r="OJU3" t="s">
        <v>10807</v>
      </c>
      <c r="OJV3" t="s">
        <v>10808</v>
      </c>
      <c r="OJW3" t="s">
        <v>10809</v>
      </c>
      <c r="OJX3" t="s">
        <v>10810</v>
      </c>
      <c r="OJY3" t="s">
        <v>10811</v>
      </c>
      <c r="OJZ3" t="s">
        <v>10812</v>
      </c>
      <c r="OKA3" t="s">
        <v>10813</v>
      </c>
      <c r="OKB3" t="s">
        <v>10814</v>
      </c>
      <c r="OKC3" t="s">
        <v>10815</v>
      </c>
      <c r="OKD3" t="s">
        <v>10816</v>
      </c>
      <c r="OKE3" t="s">
        <v>10817</v>
      </c>
      <c r="OKF3" t="s">
        <v>10818</v>
      </c>
      <c r="OKG3" t="s">
        <v>10819</v>
      </c>
      <c r="OKH3" t="s">
        <v>10820</v>
      </c>
      <c r="OKI3" t="s">
        <v>10821</v>
      </c>
      <c r="OKJ3" t="s">
        <v>10822</v>
      </c>
      <c r="OKK3" t="s">
        <v>10823</v>
      </c>
      <c r="OKL3" t="s">
        <v>10824</v>
      </c>
      <c r="OKM3" t="s">
        <v>10825</v>
      </c>
      <c r="OKN3" t="s">
        <v>10826</v>
      </c>
      <c r="OKO3" t="s">
        <v>10827</v>
      </c>
      <c r="OKP3" t="s">
        <v>10828</v>
      </c>
      <c r="OKQ3" t="s">
        <v>10829</v>
      </c>
      <c r="OKR3" t="s">
        <v>10830</v>
      </c>
      <c r="OKS3" t="s">
        <v>10831</v>
      </c>
      <c r="OKT3" t="s">
        <v>10832</v>
      </c>
      <c r="OKU3" t="s">
        <v>10833</v>
      </c>
      <c r="OKV3" t="s">
        <v>10834</v>
      </c>
      <c r="OKW3" t="s">
        <v>10835</v>
      </c>
      <c r="OKX3" t="s">
        <v>10836</v>
      </c>
      <c r="OKY3" t="s">
        <v>10837</v>
      </c>
      <c r="OKZ3" t="s">
        <v>10838</v>
      </c>
      <c r="OLA3" t="s">
        <v>10839</v>
      </c>
      <c r="OLB3" t="s">
        <v>10840</v>
      </c>
      <c r="OLC3" t="s">
        <v>10841</v>
      </c>
      <c r="OLD3" t="s">
        <v>10842</v>
      </c>
      <c r="OLE3" t="s">
        <v>10843</v>
      </c>
      <c r="OLF3" t="s">
        <v>10844</v>
      </c>
      <c r="OLG3" t="s">
        <v>10845</v>
      </c>
      <c r="OLH3" t="s">
        <v>10846</v>
      </c>
      <c r="OLI3" t="s">
        <v>10847</v>
      </c>
      <c r="OLJ3" t="s">
        <v>10848</v>
      </c>
      <c r="OLK3" t="s">
        <v>10849</v>
      </c>
      <c r="OLL3" t="s">
        <v>10850</v>
      </c>
      <c r="OLM3" t="s">
        <v>10851</v>
      </c>
      <c r="OLN3" t="s">
        <v>10852</v>
      </c>
      <c r="OLO3" t="s">
        <v>10853</v>
      </c>
      <c r="OLP3" t="s">
        <v>10854</v>
      </c>
      <c r="OLQ3" t="s">
        <v>10855</v>
      </c>
      <c r="OLR3" t="s">
        <v>10856</v>
      </c>
      <c r="OLS3" t="s">
        <v>10857</v>
      </c>
      <c r="OLT3" t="s">
        <v>10858</v>
      </c>
      <c r="OLU3" t="s">
        <v>10859</v>
      </c>
      <c r="OLV3" t="s">
        <v>10860</v>
      </c>
      <c r="OLW3" t="s">
        <v>10861</v>
      </c>
      <c r="OLX3" t="s">
        <v>10862</v>
      </c>
      <c r="OLY3" t="s">
        <v>10863</v>
      </c>
      <c r="OLZ3" t="s">
        <v>10864</v>
      </c>
      <c r="OMA3" t="s">
        <v>10865</v>
      </c>
      <c r="OMB3" t="s">
        <v>10866</v>
      </c>
      <c r="OMC3" t="s">
        <v>10867</v>
      </c>
      <c r="OMD3" t="s">
        <v>10868</v>
      </c>
      <c r="OME3" t="s">
        <v>10869</v>
      </c>
      <c r="OMF3" t="s">
        <v>10870</v>
      </c>
      <c r="OMG3" t="s">
        <v>10871</v>
      </c>
      <c r="OMH3" t="s">
        <v>10872</v>
      </c>
      <c r="OMI3" t="s">
        <v>10873</v>
      </c>
      <c r="OMJ3" t="s">
        <v>10874</v>
      </c>
      <c r="OMK3" t="s">
        <v>10875</v>
      </c>
      <c r="OML3" t="s">
        <v>10876</v>
      </c>
      <c r="OMM3" t="s">
        <v>10877</v>
      </c>
      <c r="OMN3" t="s">
        <v>10878</v>
      </c>
      <c r="OMO3" t="s">
        <v>10879</v>
      </c>
      <c r="OMP3" t="s">
        <v>10880</v>
      </c>
      <c r="OMQ3" t="s">
        <v>10881</v>
      </c>
      <c r="OMR3" t="s">
        <v>10882</v>
      </c>
      <c r="OMS3" t="s">
        <v>10883</v>
      </c>
      <c r="OMT3" t="s">
        <v>10884</v>
      </c>
      <c r="OMU3" t="s">
        <v>10885</v>
      </c>
      <c r="OMV3" t="s">
        <v>10886</v>
      </c>
      <c r="OMW3" t="s">
        <v>10887</v>
      </c>
      <c r="OMX3" t="s">
        <v>10888</v>
      </c>
      <c r="OMY3" t="s">
        <v>10889</v>
      </c>
      <c r="OMZ3" t="s">
        <v>10890</v>
      </c>
      <c r="ONA3" t="s">
        <v>10891</v>
      </c>
      <c r="ONB3" t="s">
        <v>10892</v>
      </c>
      <c r="ONC3" t="s">
        <v>10893</v>
      </c>
      <c r="OND3" t="s">
        <v>10894</v>
      </c>
      <c r="ONE3" t="s">
        <v>10895</v>
      </c>
      <c r="ONF3" t="s">
        <v>10896</v>
      </c>
      <c r="ONG3" t="s">
        <v>10897</v>
      </c>
      <c r="ONH3" t="s">
        <v>10898</v>
      </c>
      <c r="ONI3" t="s">
        <v>10899</v>
      </c>
      <c r="ONJ3" t="s">
        <v>10900</v>
      </c>
      <c r="ONK3" t="s">
        <v>10901</v>
      </c>
      <c r="ONL3" t="s">
        <v>10902</v>
      </c>
      <c r="ONM3" t="s">
        <v>10903</v>
      </c>
      <c r="ONN3" t="s">
        <v>10904</v>
      </c>
      <c r="ONO3" t="s">
        <v>10905</v>
      </c>
      <c r="ONP3" t="s">
        <v>10906</v>
      </c>
      <c r="ONQ3" t="s">
        <v>10907</v>
      </c>
      <c r="ONR3" t="s">
        <v>10908</v>
      </c>
      <c r="ONS3" t="s">
        <v>10909</v>
      </c>
      <c r="ONT3" t="s">
        <v>10910</v>
      </c>
      <c r="ONU3" t="s">
        <v>10911</v>
      </c>
      <c r="ONV3" t="s">
        <v>10912</v>
      </c>
      <c r="ONW3" t="s">
        <v>10913</v>
      </c>
      <c r="ONX3" t="s">
        <v>10914</v>
      </c>
      <c r="ONY3" t="s">
        <v>10915</v>
      </c>
      <c r="ONZ3" t="s">
        <v>10916</v>
      </c>
      <c r="OOA3" t="s">
        <v>10917</v>
      </c>
      <c r="OOB3" t="s">
        <v>10918</v>
      </c>
      <c r="OOC3" t="s">
        <v>10919</v>
      </c>
      <c r="OOD3" t="s">
        <v>10920</v>
      </c>
      <c r="OOE3" t="s">
        <v>10921</v>
      </c>
      <c r="OOF3" t="s">
        <v>10922</v>
      </c>
      <c r="OOG3" t="s">
        <v>10923</v>
      </c>
      <c r="OOH3" t="s">
        <v>10924</v>
      </c>
      <c r="OOI3" t="s">
        <v>10925</v>
      </c>
      <c r="OOJ3" t="s">
        <v>10926</v>
      </c>
      <c r="OOK3" t="s">
        <v>10927</v>
      </c>
      <c r="OOL3" t="s">
        <v>10928</v>
      </c>
      <c r="OOM3" t="s">
        <v>10929</v>
      </c>
      <c r="OON3" t="s">
        <v>10930</v>
      </c>
      <c r="OOO3" t="s">
        <v>10931</v>
      </c>
      <c r="OOP3" t="s">
        <v>10932</v>
      </c>
      <c r="OOQ3" t="s">
        <v>10933</v>
      </c>
      <c r="OOR3" t="s">
        <v>10934</v>
      </c>
      <c r="OOS3" t="s">
        <v>10935</v>
      </c>
      <c r="OOT3" t="s">
        <v>10936</v>
      </c>
      <c r="OOU3" t="s">
        <v>10937</v>
      </c>
      <c r="OOV3" t="s">
        <v>10938</v>
      </c>
      <c r="OOW3" t="s">
        <v>10939</v>
      </c>
      <c r="OOX3" t="s">
        <v>10940</v>
      </c>
      <c r="OOY3" t="s">
        <v>10941</v>
      </c>
      <c r="OOZ3" t="s">
        <v>10942</v>
      </c>
      <c r="OPA3" t="s">
        <v>10943</v>
      </c>
      <c r="OPB3" t="s">
        <v>10944</v>
      </c>
      <c r="OPC3" t="s">
        <v>10945</v>
      </c>
      <c r="OPD3" t="s">
        <v>10946</v>
      </c>
      <c r="OPE3" t="s">
        <v>10947</v>
      </c>
      <c r="OPF3" t="s">
        <v>10948</v>
      </c>
      <c r="OPG3" t="s">
        <v>10949</v>
      </c>
      <c r="OPH3" t="s">
        <v>10950</v>
      </c>
      <c r="OPI3" t="s">
        <v>10951</v>
      </c>
      <c r="OPJ3" t="s">
        <v>10952</v>
      </c>
      <c r="OPK3" t="s">
        <v>10953</v>
      </c>
      <c r="OPL3" t="s">
        <v>10954</v>
      </c>
      <c r="OPM3" t="s">
        <v>10955</v>
      </c>
      <c r="OPN3" t="s">
        <v>10956</v>
      </c>
      <c r="OPO3" t="s">
        <v>10957</v>
      </c>
      <c r="OPP3" t="s">
        <v>10958</v>
      </c>
      <c r="OPQ3" t="s">
        <v>10959</v>
      </c>
      <c r="OPR3" t="s">
        <v>10960</v>
      </c>
      <c r="OPS3" t="s">
        <v>10961</v>
      </c>
      <c r="OPT3" t="s">
        <v>10962</v>
      </c>
      <c r="OPU3" t="s">
        <v>10963</v>
      </c>
      <c r="OPV3" t="s">
        <v>10964</v>
      </c>
      <c r="OPW3" t="s">
        <v>10965</v>
      </c>
      <c r="OPX3" t="s">
        <v>10966</v>
      </c>
      <c r="OPY3" t="s">
        <v>10967</v>
      </c>
      <c r="OPZ3" t="s">
        <v>10968</v>
      </c>
      <c r="OQA3" t="s">
        <v>10969</v>
      </c>
      <c r="OQB3" t="s">
        <v>10970</v>
      </c>
      <c r="OQC3" t="s">
        <v>10971</v>
      </c>
      <c r="OQD3" t="s">
        <v>10972</v>
      </c>
      <c r="OQE3" t="s">
        <v>10973</v>
      </c>
      <c r="OQF3" t="s">
        <v>10974</v>
      </c>
      <c r="OQG3" t="s">
        <v>10975</v>
      </c>
      <c r="OQH3" t="s">
        <v>10976</v>
      </c>
      <c r="OQI3" t="s">
        <v>10977</v>
      </c>
      <c r="OQJ3" t="s">
        <v>10978</v>
      </c>
      <c r="OQK3" t="s">
        <v>10979</v>
      </c>
      <c r="OQL3" t="s">
        <v>10980</v>
      </c>
      <c r="OQM3" t="s">
        <v>10981</v>
      </c>
      <c r="OQN3" t="s">
        <v>10982</v>
      </c>
      <c r="OQO3" t="s">
        <v>10983</v>
      </c>
      <c r="OQP3" t="s">
        <v>10984</v>
      </c>
      <c r="OQQ3" t="s">
        <v>10985</v>
      </c>
      <c r="OQR3" t="s">
        <v>10986</v>
      </c>
      <c r="OQS3" t="s">
        <v>10987</v>
      </c>
      <c r="OQT3" t="s">
        <v>10988</v>
      </c>
      <c r="OQU3" t="s">
        <v>10989</v>
      </c>
      <c r="OQV3" t="s">
        <v>10990</v>
      </c>
      <c r="OQW3" t="s">
        <v>10991</v>
      </c>
      <c r="OQX3" t="s">
        <v>10992</v>
      </c>
      <c r="OQY3" t="s">
        <v>10993</v>
      </c>
      <c r="OQZ3" t="s">
        <v>10994</v>
      </c>
      <c r="ORA3" t="s">
        <v>10995</v>
      </c>
      <c r="ORB3" t="s">
        <v>10996</v>
      </c>
      <c r="ORC3" t="s">
        <v>10997</v>
      </c>
      <c r="ORD3" t="s">
        <v>10998</v>
      </c>
      <c r="ORE3" t="s">
        <v>10999</v>
      </c>
      <c r="ORF3" t="s">
        <v>11000</v>
      </c>
      <c r="ORG3" t="s">
        <v>11001</v>
      </c>
      <c r="ORH3" t="s">
        <v>11002</v>
      </c>
      <c r="ORI3" t="s">
        <v>11003</v>
      </c>
      <c r="ORJ3" t="s">
        <v>11004</v>
      </c>
      <c r="ORK3" t="s">
        <v>11005</v>
      </c>
      <c r="ORL3" t="s">
        <v>11006</v>
      </c>
      <c r="ORM3" t="s">
        <v>11007</v>
      </c>
      <c r="ORN3" t="s">
        <v>11008</v>
      </c>
      <c r="ORO3" t="s">
        <v>11009</v>
      </c>
      <c r="ORP3" t="s">
        <v>11010</v>
      </c>
      <c r="ORQ3" t="s">
        <v>11011</v>
      </c>
      <c r="ORR3" t="s">
        <v>11012</v>
      </c>
      <c r="ORS3" t="s">
        <v>11013</v>
      </c>
      <c r="ORT3" t="s">
        <v>11014</v>
      </c>
      <c r="ORU3" t="s">
        <v>11015</v>
      </c>
      <c r="ORV3" t="s">
        <v>11016</v>
      </c>
      <c r="ORW3" t="s">
        <v>11017</v>
      </c>
      <c r="ORX3" t="s">
        <v>11018</v>
      </c>
      <c r="ORY3" t="s">
        <v>11019</v>
      </c>
      <c r="ORZ3" t="s">
        <v>11020</v>
      </c>
      <c r="OSA3" t="s">
        <v>11021</v>
      </c>
      <c r="OSB3" t="s">
        <v>11022</v>
      </c>
      <c r="OSC3" t="s">
        <v>11023</v>
      </c>
      <c r="OSD3" t="s">
        <v>11024</v>
      </c>
      <c r="OSE3" t="s">
        <v>11025</v>
      </c>
      <c r="OSF3" t="s">
        <v>11026</v>
      </c>
      <c r="OSG3" t="s">
        <v>11027</v>
      </c>
      <c r="OSH3" t="s">
        <v>11028</v>
      </c>
      <c r="OSI3" t="s">
        <v>11029</v>
      </c>
      <c r="OSJ3" t="s">
        <v>11030</v>
      </c>
      <c r="OSK3" t="s">
        <v>11031</v>
      </c>
      <c r="OSL3" t="s">
        <v>11032</v>
      </c>
      <c r="OSM3" t="s">
        <v>11033</v>
      </c>
      <c r="OSN3" t="s">
        <v>11034</v>
      </c>
      <c r="OSO3" t="s">
        <v>11035</v>
      </c>
      <c r="OSP3" t="s">
        <v>11036</v>
      </c>
      <c r="OSQ3" t="s">
        <v>11037</v>
      </c>
      <c r="OSR3" t="s">
        <v>11038</v>
      </c>
      <c r="OSS3" t="s">
        <v>11039</v>
      </c>
      <c r="OST3" t="s">
        <v>11040</v>
      </c>
      <c r="OSU3" t="s">
        <v>11041</v>
      </c>
      <c r="OSV3" t="s">
        <v>11042</v>
      </c>
      <c r="OSW3" t="s">
        <v>11043</v>
      </c>
      <c r="OSX3" t="s">
        <v>11044</v>
      </c>
      <c r="OSY3" t="s">
        <v>11045</v>
      </c>
      <c r="OSZ3" t="s">
        <v>11046</v>
      </c>
      <c r="OTA3" t="s">
        <v>11047</v>
      </c>
      <c r="OTB3" t="s">
        <v>11048</v>
      </c>
      <c r="OTC3" t="s">
        <v>11049</v>
      </c>
      <c r="OTD3" t="s">
        <v>11050</v>
      </c>
      <c r="OTE3" t="s">
        <v>11051</v>
      </c>
      <c r="OTF3" t="s">
        <v>11052</v>
      </c>
      <c r="OTG3" t="s">
        <v>11053</v>
      </c>
      <c r="OTH3" t="s">
        <v>11054</v>
      </c>
      <c r="OTI3" t="s">
        <v>11055</v>
      </c>
      <c r="OTJ3" t="s">
        <v>11056</v>
      </c>
      <c r="OTK3" t="s">
        <v>11057</v>
      </c>
      <c r="OTL3" t="s">
        <v>11058</v>
      </c>
      <c r="OTM3" t="s">
        <v>11059</v>
      </c>
      <c r="OTN3" t="s">
        <v>11060</v>
      </c>
      <c r="OTO3" t="s">
        <v>11061</v>
      </c>
      <c r="OTP3" t="s">
        <v>11062</v>
      </c>
      <c r="OTQ3" t="s">
        <v>11063</v>
      </c>
      <c r="OTR3" t="s">
        <v>11064</v>
      </c>
      <c r="OTS3" t="s">
        <v>11065</v>
      </c>
      <c r="OTT3" t="s">
        <v>11066</v>
      </c>
      <c r="OTU3" t="s">
        <v>11067</v>
      </c>
      <c r="OTV3" t="s">
        <v>11068</v>
      </c>
      <c r="OTW3" t="s">
        <v>11069</v>
      </c>
      <c r="OTX3" t="s">
        <v>11070</v>
      </c>
      <c r="OTY3" t="s">
        <v>11071</v>
      </c>
      <c r="OTZ3" t="s">
        <v>11072</v>
      </c>
      <c r="OUA3" t="s">
        <v>11073</v>
      </c>
      <c r="OUB3" t="s">
        <v>11074</v>
      </c>
      <c r="OUC3" t="s">
        <v>11075</v>
      </c>
      <c r="OUD3" t="s">
        <v>11076</v>
      </c>
      <c r="OUE3" t="s">
        <v>11077</v>
      </c>
      <c r="OUF3" t="s">
        <v>11078</v>
      </c>
      <c r="OUG3" t="s">
        <v>11079</v>
      </c>
      <c r="OUH3" t="s">
        <v>11080</v>
      </c>
      <c r="OUI3" t="s">
        <v>11081</v>
      </c>
      <c r="OUJ3" t="s">
        <v>11082</v>
      </c>
      <c r="OUK3" t="s">
        <v>11083</v>
      </c>
      <c r="OUL3" t="s">
        <v>11084</v>
      </c>
      <c r="OUM3" t="s">
        <v>11085</v>
      </c>
      <c r="OUN3" t="s">
        <v>11086</v>
      </c>
      <c r="OUO3" t="s">
        <v>11087</v>
      </c>
      <c r="OUP3" t="s">
        <v>11088</v>
      </c>
      <c r="OUQ3" t="s">
        <v>11089</v>
      </c>
      <c r="OUR3" t="s">
        <v>11090</v>
      </c>
      <c r="OUS3" t="s">
        <v>11091</v>
      </c>
      <c r="OUT3" t="s">
        <v>11092</v>
      </c>
      <c r="OUU3" t="s">
        <v>11093</v>
      </c>
      <c r="OUV3" t="s">
        <v>11094</v>
      </c>
      <c r="OUW3" t="s">
        <v>11095</v>
      </c>
      <c r="OUX3" t="s">
        <v>11096</v>
      </c>
      <c r="OUY3" t="s">
        <v>11097</v>
      </c>
      <c r="OUZ3" t="s">
        <v>11098</v>
      </c>
      <c r="OVA3" t="s">
        <v>11099</v>
      </c>
      <c r="OVB3" t="s">
        <v>11100</v>
      </c>
      <c r="OVC3" t="s">
        <v>11101</v>
      </c>
      <c r="OVD3" t="s">
        <v>11102</v>
      </c>
      <c r="OVE3" t="s">
        <v>11103</v>
      </c>
      <c r="OVF3" t="s">
        <v>11104</v>
      </c>
      <c r="OVG3" t="s">
        <v>11105</v>
      </c>
      <c r="OVH3" t="s">
        <v>11106</v>
      </c>
      <c r="OVI3" t="s">
        <v>11107</v>
      </c>
      <c r="OVJ3" t="s">
        <v>11108</v>
      </c>
      <c r="OVK3" t="s">
        <v>11109</v>
      </c>
      <c r="OVL3" t="s">
        <v>11110</v>
      </c>
      <c r="OVM3" t="s">
        <v>11111</v>
      </c>
      <c r="OVN3" t="s">
        <v>11112</v>
      </c>
      <c r="OVO3" t="s">
        <v>11113</v>
      </c>
      <c r="OVP3" t="s">
        <v>11114</v>
      </c>
      <c r="OVQ3" t="s">
        <v>11115</v>
      </c>
      <c r="OVR3" t="s">
        <v>11116</v>
      </c>
      <c r="OVS3" t="s">
        <v>11117</v>
      </c>
      <c r="OVT3" t="s">
        <v>11118</v>
      </c>
      <c r="OVU3" t="s">
        <v>11119</v>
      </c>
      <c r="OVV3" t="s">
        <v>11120</v>
      </c>
      <c r="OVW3" t="s">
        <v>11121</v>
      </c>
      <c r="OVX3" t="s">
        <v>11122</v>
      </c>
      <c r="OVY3" t="s">
        <v>11123</v>
      </c>
      <c r="OVZ3" t="s">
        <v>11124</v>
      </c>
      <c r="OWA3" t="s">
        <v>11125</v>
      </c>
      <c r="OWB3" t="s">
        <v>11126</v>
      </c>
      <c r="OWC3" t="s">
        <v>11127</v>
      </c>
      <c r="OWD3" t="s">
        <v>11128</v>
      </c>
      <c r="OWE3" t="s">
        <v>11129</v>
      </c>
      <c r="OWF3" t="s">
        <v>11130</v>
      </c>
      <c r="OWG3" t="s">
        <v>11131</v>
      </c>
      <c r="OWH3" t="s">
        <v>11132</v>
      </c>
      <c r="OWI3" t="s">
        <v>11133</v>
      </c>
      <c r="OWJ3" t="s">
        <v>11134</v>
      </c>
      <c r="OWK3" t="s">
        <v>11135</v>
      </c>
      <c r="OWL3" t="s">
        <v>11136</v>
      </c>
      <c r="OWM3" t="s">
        <v>11137</v>
      </c>
      <c r="OWN3" t="s">
        <v>11138</v>
      </c>
      <c r="OWO3" t="s">
        <v>11139</v>
      </c>
      <c r="OWP3" t="s">
        <v>11140</v>
      </c>
      <c r="OWQ3" t="s">
        <v>11141</v>
      </c>
      <c r="OWR3" t="s">
        <v>11142</v>
      </c>
      <c r="OWS3" t="s">
        <v>11143</v>
      </c>
      <c r="OWT3" t="s">
        <v>11144</v>
      </c>
      <c r="OWU3" t="s">
        <v>11145</v>
      </c>
      <c r="OWV3" t="s">
        <v>11146</v>
      </c>
      <c r="OWW3" t="s">
        <v>11147</v>
      </c>
      <c r="OWX3" t="s">
        <v>11148</v>
      </c>
      <c r="OWY3" t="s">
        <v>11149</v>
      </c>
      <c r="OWZ3" t="s">
        <v>11150</v>
      </c>
      <c r="OXA3" t="s">
        <v>11151</v>
      </c>
      <c r="OXB3" t="s">
        <v>11152</v>
      </c>
      <c r="OXC3" t="s">
        <v>11153</v>
      </c>
      <c r="OXD3" t="s">
        <v>11154</v>
      </c>
      <c r="OXE3" t="s">
        <v>11155</v>
      </c>
      <c r="OXF3" t="s">
        <v>11156</v>
      </c>
      <c r="OXG3" t="s">
        <v>11157</v>
      </c>
      <c r="OXH3" t="s">
        <v>11158</v>
      </c>
      <c r="OXI3" t="s">
        <v>11159</v>
      </c>
      <c r="OXJ3" t="s">
        <v>11160</v>
      </c>
      <c r="OXK3" t="s">
        <v>11161</v>
      </c>
      <c r="OXL3" t="s">
        <v>11162</v>
      </c>
      <c r="OXM3" t="s">
        <v>11163</v>
      </c>
      <c r="OXN3" t="s">
        <v>11164</v>
      </c>
      <c r="OXO3" t="s">
        <v>11165</v>
      </c>
      <c r="OXP3" t="s">
        <v>11166</v>
      </c>
      <c r="OXQ3" t="s">
        <v>11167</v>
      </c>
      <c r="OXR3" t="s">
        <v>11168</v>
      </c>
      <c r="OXS3" t="s">
        <v>11169</v>
      </c>
      <c r="OXT3" t="s">
        <v>11170</v>
      </c>
      <c r="OXU3" t="s">
        <v>11171</v>
      </c>
      <c r="OXV3" t="s">
        <v>11172</v>
      </c>
      <c r="OXW3" t="s">
        <v>11173</v>
      </c>
      <c r="OXX3" t="s">
        <v>11174</v>
      </c>
      <c r="OXY3" t="s">
        <v>11175</v>
      </c>
      <c r="OXZ3" t="s">
        <v>11176</v>
      </c>
      <c r="OYA3" t="s">
        <v>11177</v>
      </c>
      <c r="OYB3" t="s">
        <v>11178</v>
      </c>
      <c r="OYC3" t="s">
        <v>11179</v>
      </c>
      <c r="OYD3" t="s">
        <v>11180</v>
      </c>
      <c r="OYE3" t="s">
        <v>11181</v>
      </c>
      <c r="OYF3" t="s">
        <v>11182</v>
      </c>
      <c r="OYG3" t="s">
        <v>11183</v>
      </c>
      <c r="OYH3" t="s">
        <v>11184</v>
      </c>
      <c r="OYI3" t="s">
        <v>11185</v>
      </c>
      <c r="OYJ3" t="s">
        <v>11186</v>
      </c>
      <c r="OYK3" t="s">
        <v>11187</v>
      </c>
      <c r="OYL3" t="s">
        <v>11188</v>
      </c>
      <c r="OYM3" t="s">
        <v>11189</v>
      </c>
      <c r="OYN3" t="s">
        <v>11190</v>
      </c>
      <c r="OYO3" t="s">
        <v>11191</v>
      </c>
      <c r="OYP3" t="s">
        <v>11192</v>
      </c>
      <c r="OYQ3" t="s">
        <v>11193</v>
      </c>
      <c r="OYR3" t="s">
        <v>11194</v>
      </c>
      <c r="OYS3" t="s">
        <v>11195</v>
      </c>
      <c r="OYT3" t="s">
        <v>11196</v>
      </c>
      <c r="OYU3" t="s">
        <v>11197</v>
      </c>
      <c r="OYV3" t="s">
        <v>11198</v>
      </c>
      <c r="OYW3" t="s">
        <v>11199</v>
      </c>
      <c r="OYX3" t="s">
        <v>11200</v>
      </c>
      <c r="OYY3" t="s">
        <v>11201</v>
      </c>
      <c r="OYZ3" t="s">
        <v>11202</v>
      </c>
      <c r="OZA3" t="s">
        <v>11203</v>
      </c>
      <c r="OZB3" t="s">
        <v>11204</v>
      </c>
      <c r="OZC3" t="s">
        <v>11205</v>
      </c>
      <c r="OZD3" t="s">
        <v>11206</v>
      </c>
      <c r="OZE3" t="s">
        <v>11207</v>
      </c>
      <c r="OZF3" t="s">
        <v>11208</v>
      </c>
      <c r="OZG3" t="s">
        <v>11209</v>
      </c>
      <c r="OZH3" t="s">
        <v>11210</v>
      </c>
      <c r="OZI3" t="s">
        <v>11211</v>
      </c>
      <c r="OZJ3" t="s">
        <v>11212</v>
      </c>
      <c r="OZK3" t="s">
        <v>11213</v>
      </c>
      <c r="OZL3" t="s">
        <v>11214</v>
      </c>
      <c r="OZM3" t="s">
        <v>11215</v>
      </c>
      <c r="OZN3" t="s">
        <v>11216</v>
      </c>
      <c r="OZO3" t="s">
        <v>11217</v>
      </c>
      <c r="OZP3" t="s">
        <v>11218</v>
      </c>
      <c r="OZQ3" t="s">
        <v>11219</v>
      </c>
      <c r="OZR3" t="s">
        <v>11220</v>
      </c>
      <c r="OZS3" t="s">
        <v>11221</v>
      </c>
      <c r="OZT3" t="s">
        <v>11222</v>
      </c>
      <c r="OZU3" t="s">
        <v>11223</v>
      </c>
      <c r="OZV3" t="s">
        <v>11224</v>
      </c>
      <c r="OZW3" t="s">
        <v>11225</v>
      </c>
      <c r="OZX3" t="s">
        <v>11226</v>
      </c>
      <c r="OZY3" t="s">
        <v>11227</v>
      </c>
      <c r="OZZ3" t="s">
        <v>11228</v>
      </c>
      <c r="PAA3" t="s">
        <v>11229</v>
      </c>
      <c r="PAB3" t="s">
        <v>11230</v>
      </c>
      <c r="PAC3" t="s">
        <v>11231</v>
      </c>
      <c r="PAD3" t="s">
        <v>11232</v>
      </c>
      <c r="PAE3" t="s">
        <v>11233</v>
      </c>
      <c r="PAF3" t="s">
        <v>11234</v>
      </c>
      <c r="PAG3" t="s">
        <v>11235</v>
      </c>
      <c r="PAH3" t="s">
        <v>11236</v>
      </c>
      <c r="PAI3" t="s">
        <v>11237</v>
      </c>
      <c r="PAJ3" t="s">
        <v>11238</v>
      </c>
      <c r="PAK3" t="s">
        <v>11239</v>
      </c>
      <c r="PAL3" t="s">
        <v>11240</v>
      </c>
      <c r="PAM3" t="s">
        <v>11241</v>
      </c>
      <c r="PAN3" t="s">
        <v>11242</v>
      </c>
      <c r="PAO3" t="s">
        <v>11243</v>
      </c>
      <c r="PAP3" t="s">
        <v>11244</v>
      </c>
      <c r="PAQ3" t="s">
        <v>11245</v>
      </c>
      <c r="PAR3" t="s">
        <v>11246</v>
      </c>
      <c r="PAS3" t="s">
        <v>11247</v>
      </c>
      <c r="PAT3" t="s">
        <v>11248</v>
      </c>
      <c r="PAU3" t="s">
        <v>11249</v>
      </c>
      <c r="PAV3" t="s">
        <v>11250</v>
      </c>
      <c r="PAW3" t="s">
        <v>11251</v>
      </c>
      <c r="PAX3" t="s">
        <v>11252</v>
      </c>
      <c r="PAY3" t="s">
        <v>11253</v>
      </c>
      <c r="PAZ3" t="s">
        <v>11254</v>
      </c>
      <c r="PBA3" t="s">
        <v>11255</v>
      </c>
      <c r="PBB3" t="s">
        <v>11256</v>
      </c>
      <c r="PBC3" t="s">
        <v>11257</v>
      </c>
      <c r="PBD3" t="s">
        <v>11258</v>
      </c>
      <c r="PBE3" t="s">
        <v>11259</v>
      </c>
      <c r="PBF3" t="s">
        <v>11260</v>
      </c>
      <c r="PBG3" t="s">
        <v>11261</v>
      </c>
      <c r="PBH3" t="s">
        <v>11262</v>
      </c>
      <c r="PBI3" t="s">
        <v>11263</v>
      </c>
      <c r="PBJ3" t="s">
        <v>11264</v>
      </c>
      <c r="PBK3" t="s">
        <v>11265</v>
      </c>
      <c r="PBL3" t="s">
        <v>11266</v>
      </c>
      <c r="PBM3" t="s">
        <v>11267</v>
      </c>
      <c r="PBN3" t="s">
        <v>11268</v>
      </c>
      <c r="PBO3" t="s">
        <v>11269</v>
      </c>
      <c r="PBP3" t="s">
        <v>11270</v>
      </c>
      <c r="PBQ3" t="s">
        <v>11271</v>
      </c>
      <c r="PBR3" t="s">
        <v>11272</v>
      </c>
      <c r="PBS3" t="s">
        <v>11273</v>
      </c>
      <c r="PBT3" t="s">
        <v>11274</v>
      </c>
      <c r="PBU3" t="s">
        <v>11275</v>
      </c>
      <c r="PBV3" t="s">
        <v>11276</v>
      </c>
      <c r="PBW3" t="s">
        <v>11277</v>
      </c>
      <c r="PBX3" t="s">
        <v>11278</v>
      </c>
      <c r="PBY3" t="s">
        <v>11279</v>
      </c>
      <c r="PBZ3" t="s">
        <v>11280</v>
      </c>
      <c r="PCA3" t="s">
        <v>11281</v>
      </c>
      <c r="PCB3" t="s">
        <v>11282</v>
      </c>
      <c r="PCC3" t="s">
        <v>11283</v>
      </c>
      <c r="PCD3" t="s">
        <v>11284</v>
      </c>
      <c r="PCE3" t="s">
        <v>11285</v>
      </c>
      <c r="PCF3" t="s">
        <v>11286</v>
      </c>
      <c r="PCG3" t="s">
        <v>11287</v>
      </c>
      <c r="PCH3" t="s">
        <v>11288</v>
      </c>
      <c r="PCI3" t="s">
        <v>11289</v>
      </c>
      <c r="PCJ3" t="s">
        <v>11290</v>
      </c>
      <c r="PCK3" t="s">
        <v>11291</v>
      </c>
      <c r="PCL3" t="s">
        <v>11292</v>
      </c>
      <c r="PCM3" t="s">
        <v>11293</v>
      </c>
      <c r="PCN3" t="s">
        <v>11294</v>
      </c>
      <c r="PCO3" t="s">
        <v>11295</v>
      </c>
      <c r="PCP3" t="s">
        <v>11296</v>
      </c>
      <c r="PCQ3" t="s">
        <v>11297</v>
      </c>
      <c r="PCR3" t="s">
        <v>11298</v>
      </c>
      <c r="PCS3" t="s">
        <v>11299</v>
      </c>
      <c r="PCT3" t="s">
        <v>11300</v>
      </c>
      <c r="PCU3" t="s">
        <v>11301</v>
      </c>
      <c r="PCV3" t="s">
        <v>11302</v>
      </c>
      <c r="PCW3" t="s">
        <v>11303</v>
      </c>
      <c r="PCX3" t="s">
        <v>11304</v>
      </c>
      <c r="PCY3" t="s">
        <v>11305</v>
      </c>
      <c r="PCZ3" t="s">
        <v>11306</v>
      </c>
      <c r="PDA3" t="s">
        <v>11307</v>
      </c>
      <c r="PDB3" t="s">
        <v>11308</v>
      </c>
      <c r="PDC3" t="s">
        <v>11309</v>
      </c>
      <c r="PDD3" t="s">
        <v>11310</v>
      </c>
      <c r="PDE3" t="s">
        <v>11311</v>
      </c>
      <c r="PDF3" t="s">
        <v>11312</v>
      </c>
      <c r="PDG3" t="s">
        <v>11313</v>
      </c>
      <c r="PDH3" t="s">
        <v>11314</v>
      </c>
      <c r="PDI3" t="s">
        <v>11315</v>
      </c>
      <c r="PDJ3" t="s">
        <v>11316</v>
      </c>
      <c r="PDK3" t="s">
        <v>11317</v>
      </c>
      <c r="PDL3" t="s">
        <v>11318</v>
      </c>
      <c r="PDM3" t="s">
        <v>11319</v>
      </c>
      <c r="PDN3" t="s">
        <v>11320</v>
      </c>
      <c r="PDO3" t="s">
        <v>11321</v>
      </c>
      <c r="PDP3" t="s">
        <v>11322</v>
      </c>
      <c r="PDQ3" t="s">
        <v>11323</v>
      </c>
      <c r="PDR3" t="s">
        <v>11324</v>
      </c>
      <c r="PDS3" t="s">
        <v>11325</v>
      </c>
      <c r="PDT3" t="s">
        <v>11326</v>
      </c>
      <c r="PDU3" t="s">
        <v>11327</v>
      </c>
      <c r="PDV3" t="s">
        <v>11328</v>
      </c>
      <c r="PDW3" t="s">
        <v>11329</v>
      </c>
      <c r="PDX3" t="s">
        <v>11330</v>
      </c>
      <c r="PDY3" t="s">
        <v>11331</v>
      </c>
      <c r="PDZ3" t="s">
        <v>11332</v>
      </c>
      <c r="PEA3" t="s">
        <v>11333</v>
      </c>
      <c r="PEB3" t="s">
        <v>11334</v>
      </c>
      <c r="PEC3" t="s">
        <v>11335</v>
      </c>
      <c r="PED3" t="s">
        <v>11336</v>
      </c>
      <c r="PEE3" t="s">
        <v>11337</v>
      </c>
      <c r="PEF3" t="s">
        <v>11338</v>
      </c>
      <c r="PEG3" t="s">
        <v>11339</v>
      </c>
      <c r="PEH3" t="s">
        <v>11340</v>
      </c>
      <c r="PEI3" t="s">
        <v>11341</v>
      </c>
      <c r="PEJ3" t="s">
        <v>11342</v>
      </c>
      <c r="PEK3" t="s">
        <v>11343</v>
      </c>
      <c r="PEL3" t="s">
        <v>11344</v>
      </c>
      <c r="PEM3" t="s">
        <v>11345</v>
      </c>
      <c r="PEN3" t="s">
        <v>11346</v>
      </c>
      <c r="PEO3" t="s">
        <v>11347</v>
      </c>
      <c r="PEP3" t="s">
        <v>11348</v>
      </c>
      <c r="PEQ3" t="s">
        <v>11349</v>
      </c>
      <c r="PER3" t="s">
        <v>11350</v>
      </c>
      <c r="PES3" t="s">
        <v>11351</v>
      </c>
      <c r="PET3" t="s">
        <v>11352</v>
      </c>
      <c r="PEU3" t="s">
        <v>11353</v>
      </c>
      <c r="PEV3" t="s">
        <v>11354</v>
      </c>
      <c r="PEW3" t="s">
        <v>11355</v>
      </c>
      <c r="PEX3" t="s">
        <v>11356</v>
      </c>
      <c r="PEY3" t="s">
        <v>11357</v>
      </c>
      <c r="PEZ3" t="s">
        <v>11358</v>
      </c>
      <c r="PFA3" t="s">
        <v>11359</v>
      </c>
      <c r="PFB3" t="s">
        <v>11360</v>
      </c>
      <c r="PFC3" t="s">
        <v>11361</v>
      </c>
      <c r="PFD3" t="s">
        <v>11362</v>
      </c>
      <c r="PFE3" t="s">
        <v>11363</v>
      </c>
      <c r="PFF3" t="s">
        <v>11364</v>
      </c>
      <c r="PFG3" t="s">
        <v>11365</v>
      </c>
      <c r="PFH3" t="s">
        <v>11366</v>
      </c>
      <c r="PFI3" t="s">
        <v>11367</v>
      </c>
      <c r="PFJ3" t="s">
        <v>11368</v>
      </c>
      <c r="PFK3" t="s">
        <v>11369</v>
      </c>
      <c r="PFL3" t="s">
        <v>11370</v>
      </c>
      <c r="PFM3" t="s">
        <v>11371</v>
      </c>
      <c r="PFN3" t="s">
        <v>11372</v>
      </c>
      <c r="PFO3" t="s">
        <v>11373</v>
      </c>
      <c r="PFP3" t="s">
        <v>11374</v>
      </c>
      <c r="PFQ3" t="s">
        <v>11375</v>
      </c>
      <c r="PFR3" t="s">
        <v>11376</v>
      </c>
      <c r="PFS3" t="s">
        <v>11377</v>
      </c>
      <c r="PFT3" t="s">
        <v>11378</v>
      </c>
      <c r="PFU3" t="s">
        <v>11379</v>
      </c>
      <c r="PFV3" t="s">
        <v>11380</v>
      </c>
      <c r="PFW3" t="s">
        <v>11381</v>
      </c>
      <c r="PFX3" t="s">
        <v>11382</v>
      </c>
      <c r="PFY3" t="s">
        <v>11383</v>
      </c>
      <c r="PFZ3" t="s">
        <v>11384</v>
      </c>
      <c r="PGA3" t="s">
        <v>11385</v>
      </c>
      <c r="PGB3" t="s">
        <v>11386</v>
      </c>
      <c r="PGC3" t="s">
        <v>11387</v>
      </c>
      <c r="PGD3" t="s">
        <v>11388</v>
      </c>
      <c r="PGE3" t="s">
        <v>11389</v>
      </c>
      <c r="PGF3" t="s">
        <v>11390</v>
      </c>
      <c r="PGG3" t="s">
        <v>11391</v>
      </c>
      <c r="PGH3" t="s">
        <v>11392</v>
      </c>
      <c r="PGI3" t="s">
        <v>11393</v>
      </c>
      <c r="PGJ3" t="s">
        <v>11394</v>
      </c>
      <c r="PGK3" t="s">
        <v>11395</v>
      </c>
      <c r="PGL3" t="s">
        <v>11396</v>
      </c>
      <c r="PGM3" t="s">
        <v>11397</v>
      </c>
      <c r="PGN3" t="s">
        <v>11398</v>
      </c>
      <c r="PGO3" t="s">
        <v>11399</v>
      </c>
      <c r="PGP3" t="s">
        <v>11400</v>
      </c>
      <c r="PGQ3" t="s">
        <v>11401</v>
      </c>
      <c r="PGR3" t="s">
        <v>11402</v>
      </c>
      <c r="PGS3" t="s">
        <v>11403</v>
      </c>
      <c r="PGT3" t="s">
        <v>11404</v>
      </c>
      <c r="PGU3" t="s">
        <v>11405</v>
      </c>
      <c r="PGV3" t="s">
        <v>11406</v>
      </c>
      <c r="PGW3" t="s">
        <v>11407</v>
      </c>
      <c r="PGX3" t="s">
        <v>11408</v>
      </c>
      <c r="PGY3" t="s">
        <v>11409</v>
      </c>
      <c r="PGZ3" t="s">
        <v>11410</v>
      </c>
      <c r="PHA3" t="s">
        <v>11411</v>
      </c>
      <c r="PHB3" t="s">
        <v>11412</v>
      </c>
      <c r="PHC3" t="s">
        <v>11413</v>
      </c>
      <c r="PHD3" t="s">
        <v>11414</v>
      </c>
      <c r="PHE3" t="s">
        <v>11415</v>
      </c>
      <c r="PHF3" t="s">
        <v>11416</v>
      </c>
      <c r="PHG3" t="s">
        <v>11417</v>
      </c>
      <c r="PHH3" t="s">
        <v>11418</v>
      </c>
      <c r="PHI3" t="s">
        <v>11419</v>
      </c>
      <c r="PHJ3" t="s">
        <v>11420</v>
      </c>
      <c r="PHK3" t="s">
        <v>11421</v>
      </c>
      <c r="PHL3" t="s">
        <v>11422</v>
      </c>
      <c r="PHM3" t="s">
        <v>11423</v>
      </c>
      <c r="PHN3" t="s">
        <v>11424</v>
      </c>
      <c r="PHO3" t="s">
        <v>11425</v>
      </c>
      <c r="PHP3" t="s">
        <v>11426</v>
      </c>
      <c r="PHQ3" t="s">
        <v>11427</v>
      </c>
      <c r="PHR3" t="s">
        <v>11428</v>
      </c>
      <c r="PHS3" t="s">
        <v>11429</v>
      </c>
      <c r="PHT3" t="s">
        <v>11430</v>
      </c>
      <c r="PHU3" t="s">
        <v>11431</v>
      </c>
      <c r="PHV3" t="s">
        <v>11432</v>
      </c>
      <c r="PHW3" t="s">
        <v>11433</v>
      </c>
      <c r="PHX3" t="s">
        <v>11434</v>
      </c>
      <c r="PHY3" t="s">
        <v>11435</v>
      </c>
      <c r="PHZ3" t="s">
        <v>11436</v>
      </c>
      <c r="PIA3" t="s">
        <v>11437</v>
      </c>
      <c r="PIB3" t="s">
        <v>11438</v>
      </c>
      <c r="PIC3" t="s">
        <v>11439</v>
      </c>
      <c r="PID3" t="s">
        <v>11440</v>
      </c>
      <c r="PIE3" t="s">
        <v>11441</v>
      </c>
      <c r="PIF3" t="s">
        <v>11442</v>
      </c>
      <c r="PIG3" t="s">
        <v>11443</v>
      </c>
      <c r="PIH3" t="s">
        <v>11444</v>
      </c>
      <c r="PII3" t="s">
        <v>11445</v>
      </c>
      <c r="PIJ3" t="s">
        <v>11446</v>
      </c>
      <c r="PIK3" t="s">
        <v>11447</v>
      </c>
      <c r="PIL3" t="s">
        <v>11448</v>
      </c>
      <c r="PIM3" t="s">
        <v>11449</v>
      </c>
      <c r="PIN3" t="s">
        <v>11450</v>
      </c>
      <c r="PIO3" t="s">
        <v>11451</v>
      </c>
      <c r="PIP3" t="s">
        <v>11452</v>
      </c>
      <c r="PIQ3" t="s">
        <v>11453</v>
      </c>
      <c r="PIR3" t="s">
        <v>11454</v>
      </c>
      <c r="PIS3" t="s">
        <v>11455</v>
      </c>
      <c r="PIT3" t="s">
        <v>11456</v>
      </c>
      <c r="PIU3" t="s">
        <v>11457</v>
      </c>
      <c r="PIV3" t="s">
        <v>11458</v>
      </c>
      <c r="PIW3" t="s">
        <v>11459</v>
      </c>
      <c r="PIX3" t="s">
        <v>11460</v>
      </c>
      <c r="PIY3" t="s">
        <v>11461</v>
      </c>
      <c r="PIZ3" t="s">
        <v>11462</v>
      </c>
      <c r="PJA3" t="s">
        <v>11463</v>
      </c>
      <c r="PJB3" t="s">
        <v>11464</v>
      </c>
      <c r="PJC3" t="s">
        <v>11465</v>
      </c>
      <c r="PJD3" t="s">
        <v>11466</v>
      </c>
      <c r="PJE3" t="s">
        <v>11467</v>
      </c>
      <c r="PJF3" t="s">
        <v>11468</v>
      </c>
      <c r="PJG3" t="s">
        <v>11469</v>
      </c>
      <c r="PJH3" t="s">
        <v>11470</v>
      </c>
      <c r="PJI3" t="s">
        <v>11471</v>
      </c>
      <c r="PJJ3" t="s">
        <v>11472</v>
      </c>
      <c r="PJK3" t="s">
        <v>11473</v>
      </c>
      <c r="PJL3" t="s">
        <v>11474</v>
      </c>
      <c r="PJM3" t="s">
        <v>11475</v>
      </c>
      <c r="PJN3" t="s">
        <v>11476</v>
      </c>
      <c r="PJO3" t="s">
        <v>11477</v>
      </c>
      <c r="PJP3" t="s">
        <v>11478</v>
      </c>
      <c r="PJQ3" t="s">
        <v>11479</v>
      </c>
      <c r="PJR3" t="s">
        <v>11480</v>
      </c>
      <c r="PJS3" t="s">
        <v>11481</v>
      </c>
      <c r="PJT3" t="s">
        <v>11482</v>
      </c>
      <c r="PJU3" t="s">
        <v>11483</v>
      </c>
      <c r="PJV3" t="s">
        <v>11484</v>
      </c>
      <c r="PJW3" t="s">
        <v>11485</v>
      </c>
      <c r="PJX3" t="s">
        <v>11486</v>
      </c>
      <c r="PJY3" t="s">
        <v>11487</v>
      </c>
      <c r="PJZ3" t="s">
        <v>11488</v>
      </c>
      <c r="PKA3" t="s">
        <v>11489</v>
      </c>
      <c r="PKB3" t="s">
        <v>11490</v>
      </c>
      <c r="PKC3" t="s">
        <v>11491</v>
      </c>
      <c r="PKD3" t="s">
        <v>11492</v>
      </c>
      <c r="PKE3" t="s">
        <v>11493</v>
      </c>
      <c r="PKF3" t="s">
        <v>11494</v>
      </c>
      <c r="PKG3" t="s">
        <v>11495</v>
      </c>
      <c r="PKH3" t="s">
        <v>11496</v>
      </c>
      <c r="PKI3" t="s">
        <v>11497</v>
      </c>
      <c r="PKJ3" t="s">
        <v>11498</v>
      </c>
      <c r="PKK3" t="s">
        <v>11499</v>
      </c>
      <c r="PKL3" t="s">
        <v>11500</v>
      </c>
      <c r="PKM3" t="s">
        <v>11501</v>
      </c>
      <c r="PKN3" t="s">
        <v>11502</v>
      </c>
      <c r="PKO3" t="s">
        <v>11503</v>
      </c>
      <c r="PKP3" t="s">
        <v>11504</v>
      </c>
      <c r="PKQ3" t="s">
        <v>11505</v>
      </c>
      <c r="PKR3" t="s">
        <v>11506</v>
      </c>
      <c r="PKS3" t="s">
        <v>11507</v>
      </c>
      <c r="PKT3" t="s">
        <v>11508</v>
      </c>
      <c r="PKU3" t="s">
        <v>11509</v>
      </c>
      <c r="PKV3" t="s">
        <v>11510</v>
      </c>
      <c r="PKW3" t="s">
        <v>11511</v>
      </c>
      <c r="PKX3" t="s">
        <v>11512</v>
      </c>
      <c r="PKY3" t="s">
        <v>11513</v>
      </c>
      <c r="PKZ3" t="s">
        <v>11514</v>
      </c>
      <c r="PLA3" t="s">
        <v>11515</v>
      </c>
      <c r="PLB3" t="s">
        <v>11516</v>
      </c>
      <c r="PLC3" t="s">
        <v>11517</v>
      </c>
      <c r="PLD3" t="s">
        <v>11518</v>
      </c>
      <c r="PLE3" t="s">
        <v>11519</v>
      </c>
      <c r="PLF3" t="s">
        <v>11520</v>
      </c>
      <c r="PLG3" t="s">
        <v>11521</v>
      </c>
      <c r="PLH3" t="s">
        <v>11522</v>
      </c>
      <c r="PLI3" t="s">
        <v>11523</v>
      </c>
      <c r="PLJ3" t="s">
        <v>11524</v>
      </c>
      <c r="PLK3" t="s">
        <v>11525</v>
      </c>
      <c r="PLL3" t="s">
        <v>11526</v>
      </c>
      <c r="PLM3" t="s">
        <v>11527</v>
      </c>
      <c r="PLN3" t="s">
        <v>11528</v>
      </c>
      <c r="PLO3" t="s">
        <v>11529</v>
      </c>
      <c r="PLP3" t="s">
        <v>11530</v>
      </c>
      <c r="PLQ3" t="s">
        <v>11531</v>
      </c>
      <c r="PLR3" t="s">
        <v>11532</v>
      </c>
      <c r="PLS3" t="s">
        <v>11533</v>
      </c>
      <c r="PLT3" t="s">
        <v>11534</v>
      </c>
      <c r="PLU3" t="s">
        <v>11535</v>
      </c>
      <c r="PLV3" t="s">
        <v>11536</v>
      </c>
      <c r="PLW3" t="s">
        <v>11537</v>
      </c>
      <c r="PLX3" t="s">
        <v>11538</v>
      </c>
      <c r="PLY3" t="s">
        <v>11539</v>
      </c>
      <c r="PLZ3" t="s">
        <v>11540</v>
      </c>
      <c r="PMA3" t="s">
        <v>11541</v>
      </c>
      <c r="PMB3" t="s">
        <v>11542</v>
      </c>
      <c r="PMC3" t="s">
        <v>11543</v>
      </c>
      <c r="PMD3" t="s">
        <v>11544</v>
      </c>
      <c r="PME3" t="s">
        <v>11545</v>
      </c>
      <c r="PMF3" t="s">
        <v>11546</v>
      </c>
      <c r="PMG3" t="s">
        <v>11547</v>
      </c>
      <c r="PMH3" t="s">
        <v>11548</v>
      </c>
      <c r="PMI3" t="s">
        <v>11549</v>
      </c>
      <c r="PMJ3" t="s">
        <v>11550</v>
      </c>
      <c r="PMK3" t="s">
        <v>11551</v>
      </c>
      <c r="PML3" t="s">
        <v>11552</v>
      </c>
      <c r="PMM3" t="s">
        <v>11553</v>
      </c>
      <c r="PMN3" t="s">
        <v>11554</v>
      </c>
      <c r="PMO3" t="s">
        <v>11555</v>
      </c>
      <c r="PMP3" t="s">
        <v>11556</v>
      </c>
      <c r="PMQ3" t="s">
        <v>11557</v>
      </c>
      <c r="PMR3" t="s">
        <v>11558</v>
      </c>
      <c r="PMS3" t="s">
        <v>11559</v>
      </c>
      <c r="PMT3" t="s">
        <v>11560</v>
      </c>
      <c r="PMU3" t="s">
        <v>11561</v>
      </c>
      <c r="PMV3" t="s">
        <v>11562</v>
      </c>
      <c r="PMW3" t="s">
        <v>11563</v>
      </c>
      <c r="PMX3" t="s">
        <v>11564</v>
      </c>
      <c r="PMY3" t="s">
        <v>11565</v>
      </c>
      <c r="PMZ3" t="s">
        <v>11566</v>
      </c>
      <c r="PNA3" t="s">
        <v>11567</v>
      </c>
      <c r="PNB3" t="s">
        <v>11568</v>
      </c>
      <c r="PNC3" t="s">
        <v>11569</v>
      </c>
      <c r="PND3" t="s">
        <v>11570</v>
      </c>
      <c r="PNE3" t="s">
        <v>11571</v>
      </c>
      <c r="PNF3" t="s">
        <v>11572</v>
      </c>
      <c r="PNG3" t="s">
        <v>11573</v>
      </c>
      <c r="PNH3" t="s">
        <v>11574</v>
      </c>
      <c r="PNI3" t="s">
        <v>11575</v>
      </c>
      <c r="PNJ3" t="s">
        <v>11576</v>
      </c>
      <c r="PNK3" t="s">
        <v>11577</v>
      </c>
      <c r="PNL3" t="s">
        <v>11578</v>
      </c>
      <c r="PNM3" t="s">
        <v>11579</v>
      </c>
      <c r="PNN3" t="s">
        <v>11580</v>
      </c>
      <c r="PNO3" t="s">
        <v>11581</v>
      </c>
      <c r="PNP3" t="s">
        <v>11582</v>
      </c>
      <c r="PNQ3" t="s">
        <v>11583</v>
      </c>
      <c r="PNR3" t="s">
        <v>11584</v>
      </c>
      <c r="PNS3" t="s">
        <v>11585</v>
      </c>
      <c r="PNT3" t="s">
        <v>11586</v>
      </c>
      <c r="PNU3" t="s">
        <v>11587</v>
      </c>
      <c r="PNV3" t="s">
        <v>11588</v>
      </c>
      <c r="PNW3" t="s">
        <v>11589</v>
      </c>
      <c r="PNX3" t="s">
        <v>11590</v>
      </c>
      <c r="PNY3" t="s">
        <v>11591</v>
      </c>
      <c r="PNZ3" t="s">
        <v>11592</v>
      </c>
      <c r="POA3" t="s">
        <v>11593</v>
      </c>
      <c r="POB3" t="s">
        <v>11594</v>
      </c>
      <c r="POC3" t="s">
        <v>11595</v>
      </c>
      <c r="POD3" t="s">
        <v>11596</v>
      </c>
      <c r="POE3" t="s">
        <v>11597</v>
      </c>
      <c r="POF3" t="s">
        <v>11598</v>
      </c>
      <c r="POG3" t="s">
        <v>11599</v>
      </c>
      <c r="POH3" t="s">
        <v>11600</v>
      </c>
      <c r="POI3" t="s">
        <v>11601</v>
      </c>
      <c r="POJ3" t="s">
        <v>11602</v>
      </c>
      <c r="POK3" t="s">
        <v>11603</v>
      </c>
      <c r="POL3" t="s">
        <v>11604</v>
      </c>
      <c r="POM3" t="s">
        <v>11605</v>
      </c>
      <c r="PON3" t="s">
        <v>11606</v>
      </c>
      <c r="POO3" t="s">
        <v>11607</v>
      </c>
      <c r="POP3" t="s">
        <v>11608</v>
      </c>
      <c r="POQ3" t="s">
        <v>11609</v>
      </c>
      <c r="POR3" t="s">
        <v>11610</v>
      </c>
      <c r="POS3" t="s">
        <v>11611</v>
      </c>
      <c r="POT3" t="s">
        <v>11612</v>
      </c>
      <c r="POU3" t="s">
        <v>11613</v>
      </c>
      <c r="POV3" t="s">
        <v>11614</v>
      </c>
      <c r="POW3" t="s">
        <v>11615</v>
      </c>
      <c r="POX3" t="s">
        <v>11616</v>
      </c>
      <c r="POY3" t="s">
        <v>11617</v>
      </c>
      <c r="POZ3" t="s">
        <v>11618</v>
      </c>
      <c r="PPA3" t="s">
        <v>11619</v>
      </c>
      <c r="PPB3" t="s">
        <v>11620</v>
      </c>
      <c r="PPC3" t="s">
        <v>11621</v>
      </c>
      <c r="PPD3" t="s">
        <v>11622</v>
      </c>
      <c r="PPE3" t="s">
        <v>11623</v>
      </c>
      <c r="PPF3" t="s">
        <v>11624</v>
      </c>
      <c r="PPG3" t="s">
        <v>11625</v>
      </c>
      <c r="PPH3" t="s">
        <v>11626</v>
      </c>
      <c r="PPI3" t="s">
        <v>11627</v>
      </c>
      <c r="PPJ3" t="s">
        <v>11628</v>
      </c>
      <c r="PPK3" t="s">
        <v>11629</v>
      </c>
      <c r="PPL3" t="s">
        <v>11630</v>
      </c>
      <c r="PPM3" t="s">
        <v>11631</v>
      </c>
      <c r="PPN3" t="s">
        <v>11632</v>
      </c>
      <c r="PPO3" t="s">
        <v>11633</v>
      </c>
      <c r="PPP3" t="s">
        <v>11634</v>
      </c>
      <c r="PPQ3" t="s">
        <v>11635</v>
      </c>
      <c r="PPR3" t="s">
        <v>11636</v>
      </c>
      <c r="PPS3" t="s">
        <v>11637</v>
      </c>
      <c r="PPT3" t="s">
        <v>11638</v>
      </c>
      <c r="PPU3" t="s">
        <v>11639</v>
      </c>
      <c r="PPV3" t="s">
        <v>11640</v>
      </c>
      <c r="PPW3" t="s">
        <v>11641</v>
      </c>
      <c r="PPX3" t="s">
        <v>11642</v>
      </c>
      <c r="PPY3" t="s">
        <v>11643</v>
      </c>
      <c r="PPZ3" t="s">
        <v>11644</v>
      </c>
      <c r="PQA3" t="s">
        <v>11645</v>
      </c>
      <c r="PQB3" t="s">
        <v>11646</v>
      </c>
      <c r="PQC3" t="s">
        <v>11647</v>
      </c>
      <c r="PQD3" t="s">
        <v>11648</v>
      </c>
      <c r="PQE3" t="s">
        <v>11649</v>
      </c>
      <c r="PQF3" t="s">
        <v>11650</v>
      </c>
      <c r="PQG3" t="s">
        <v>11651</v>
      </c>
      <c r="PQH3" t="s">
        <v>11652</v>
      </c>
      <c r="PQI3" t="s">
        <v>11653</v>
      </c>
      <c r="PQJ3" t="s">
        <v>11654</v>
      </c>
      <c r="PQK3" t="s">
        <v>11655</v>
      </c>
      <c r="PQL3" t="s">
        <v>11656</v>
      </c>
      <c r="PQM3" t="s">
        <v>11657</v>
      </c>
      <c r="PQN3" t="s">
        <v>11658</v>
      </c>
      <c r="PQO3" t="s">
        <v>11659</v>
      </c>
      <c r="PQP3" t="s">
        <v>11660</v>
      </c>
      <c r="PQQ3" t="s">
        <v>11661</v>
      </c>
      <c r="PQR3" t="s">
        <v>11662</v>
      </c>
      <c r="PQS3" t="s">
        <v>11663</v>
      </c>
      <c r="PQT3" t="s">
        <v>11664</v>
      </c>
      <c r="PQU3" t="s">
        <v>11665</v>
      </c>
      <c r="PQV3" t="s">
        <v>11666</v>
      </c>
      <c r="PQW3" t="s">
        <v>11667</v>
      </c>
      <c r="PQX3" t="s">
        <v>11668</v>
      </c>
      <c r="PQY3" t="s">
        <v>11669</v>
      </c>
      <c r="PQZ3" t="s">
        <v>11670</v>
      </c>
      <c r="PRA3" t="s">
        <v>11671</v>
      </c>
      <c r="PRB3" t="s">
        <v>11672</v>
      </c>
      <c r="PRC3" t="s">
        <v>11673</v>
      </c>
      <c r="PRD3" t="s">
        <v>11674</v>
      </c>
      <c r="PRE3" t="s">
        <v>11675</v>
      </c>
      <c r="PRF3" t="s">
        <v>11676</v>
      </c>
      <c r="PRG3" t="s">
        <v>11677</v>
      </c>
      <c r="PRH3" t="s">
        <v>11678</v>
      </c>
      <c r="PRI3" t="s">
        <v>11679</v>
      </c>
      <c r="PRJ3" t="s">
        <v>11680</v>
      </c>
      <c r="PRK3" t="s">
        <v>11681</v>
      </c>
      <c r="PRL3" t="s">
        <v>11682</v>
      </c>
      <c r="PRM3" t="s">
        <v>11683</v>
      </c>
      <c r="PRN3" t="s">
        <v>11684</v>
      </c>
      <c r="PRO3" t="s">
        <v>11685</v>
      </c>
      <c r="PRP3" t="s">
        <v>11686</v>
      </c>
      <c r="PRQ3" t="s">
        <v>11687</v>
      </c>
      <c r="PRR3" t="s">
        <v>11688</v>
      </c>
      <c r="PRS3" t="s">
        <v>11689</v>
      </c>
      <c r="PRT3" t="s">
        <v>11690</v>
      </c>
      <c r="PRU3" t="s">
        <v>11691</v>
      </c>
      <c r="PRV3" t="s">
        <v>11692</v>
      </c>
      <c r="PRW3" t="s">
        <v>11693</v>
      </c>
      <c r="PRX3" t="s">
        <v>11694</v>
      </c>
      <c r="PRY3" t="s">
        <v>11695</v>
      </c>
      <c r="PRZ3" t="s">
        <v>11696</v>
      </c>
      <c r="PSA3" t="s">
        <v>11697</v>
      </c>
      <c r="PSB3" t="s">
        <v>11698</v>
      </c>
      <c r="PSC3" t="s">
        <v>11699</v>
      </c>
      <c r="PSD3" t="s">
        <v>11700</v>
      </c>
      <c r="PSE3" t="s">
        <v>11701</v>
      </c>
      <c r="PSF3" t="s">
        <v>11702</v>
      </c>
      <c r="PSG3" t="s">
        <v>11703</v>
      </c>
      <c r="PSH3" t="s">
        <v>11704</v>
      </c>
      <c r="PSI3" t="s">
        <v>11705</v>
      </c>
      <c r="PSJ3" t="s">
        <v>11706</v>
      </c>
      <c r="PSK3" t="s">
        <v>11707</v>
      </c>
      <c r="PSL3" t="s">
        <v>11708</v>
      </c>
      <c r="PSM3" t="s">
        <v>11709</v>
      </c>
      <c r="PSN3" t="s">
        <v>11710</v>
      </c>
      <c r="PSO3" t="s">
        <v>11711</v>
      </c>
      <c r="PSP3" t="s">
        <v>11712</v>
      </c>
      <c r="PSQ3" t="s">
        <v>11713</v>
      </c>
      <c r="PSR3" t="s">
        <v>11714</v>
      </c>
      <c r="PSS3" t="s">
        <v>11715</v>
      </c>
      <c r="PST3" t="s">
        <v>11716</v>
      </c>
      <c r="PSU3" t="s">
        <v>11717</v>
      </c>
      <c r="PSV3" t="s">
        <v>11718</v>
      </c>
      <c r="PSW3" t="s">
        <v>11719</v>
      </c>
      <c r="PSX3" t="s">
        <v>11720</v>
      </c>
      <c r="PSY3" t="s">
        <v>11721</v>
      </c>
      <c r="PSZ3" t="s">
        <v>11722</v>
      </c>
      <c r="PTA3" t="s">
        <v>11723</v>
      </c>
      <c r="PTB3" t="s">
        <v>11724</v>
      </c>
      <c r="PTC3" t="s">
        <v>11725</v>
      </c>
      <c r="PTD3" t="s">
        <v>11726</v>
      </c>
      <c r="PTE3" t="s">
        <v>11727</v>
      </c>
      <c r="PTF3" t="s">
        <v>11728</v>
      </c>
      <c r="PTG3" t="s">
        <v>11729</v>
      </c>
      <c r="PTH3" t="s">
        <v>11730</v>
      </c>
      <c r="PTI3" t="s">
        <v>11731</v>
      </c>
      <c r="PTJ3" t="s">
        <v>11732</v>
      </c>
      <c r="PTK3" t="s">
        <v>11733</v>
      </c>
      <c r="PTL3" t="s">
        <v>11734</v>
      </c>
      <c r="PTM3" t="s">
        <v>11735</v>
      </c>
      <c r="PTN3" t="s">
        <v>11736</v>
      </c>
      <c r="PTO3" t="s">
        <v>11737</v>
      </c>
      <c r="PTP3" t="s">
        <v>11738</v>
      </c>
      <c r="PTQ3" t="s">
        <v>11739</v>
      </c>
      <c r="PTR3" t="s">
        <v>11740</v>
      </c>
      <c r="PTS3" t="s">
        <v>11741</v>
      </c>
      <c r="PTT3" t="s">
        <v>11742</v>
      </c>
      <c r="PTU3" t="s">
        <v>11743</v>
      </c>
      <c r="PTV3" t="s">
        <v>11744</v>
      </c>
      <c r="PTW3" t="s">
        <v>11745</v>
      </c>
      <c r="PTX3" t="s">
        <v>11746</v>
      </c>
      <c r="PTY3" t="s">
        <v>11747</v>
      </c>
      <c r="PTZ3" t="s">
        <v>11748</v>
      </c>
      <c r="PUA3" t="s">
        <v>11749</v>
      </c>
      <c r="PUB3" t="s">
        <v>11750</v>
      </c>
      <c r="PUC3" t="s">
        <v>11751</v>
      </c>
      <c r="PUD3" t="s">
        <v>11752</v>
      </c>
      <c r="PUE3" t="s">
        <v>11753</v>
      </c>
      <c r="PUF3" t="s">
        <v>11754</v>
      </c>
      <c r="PUG3" t="s">
        <v>11755</v>
      </c>
      <c r="PUH3" t="s">
        <v>11756</v>
      </c>
      <c r="PUI3" t="s">
        <v>11757</v>
      </c>
      <c r="PUJ3" t="s">
        <v>11758</v>
      </c>
      <c r="PUK3" t="s">
        <v>11759</v>
      </c>
      <c r="PUL3" t="s">
        <v>11760</v>
      </c>
      <c r="PUM3" t="s">
        <v>11761</v>
      </c>
      <c r="PUN3" t="s">
        <v>11762</v>
      </c>
      <c r="PUO3" t="s">
        <v>11763</v>
      </c>
      <c r="PUP3" t="s">
        <v>11764</v>
      </c>
      <c r="PUQ3" t="s">
        <v>11765</v>
      </c>
      <c r="PUR3" t="s">
        <v>11766</v>
      </c>
      <c r="PUS3" t="s">
        <v>11767</v>
      </c>
      <c r="PUT3" t="s">
        <v>11768</v>
      </c>
      <c r="PUU3" t="s">
        <v>11769</v>
      </c>
      <c r="PUV3" t="s">
        <v>11770</v>
      </c>
      <c r="PUW3" t="s">
        <v>11771</v>
      </c>
      <c r="PUX3" t="s">
        <v>11772</v>
      </c>
      <c r="PUY3" t="s">
        <v>11773</v>
      </c>
      <c r="PUZ3" t="s">
        <v>11774</v>
      </c>
      <c r="PVA3" t="s">
        <v>11775</v>
      </c>
      <c r="PVB3" t="s">
        <v>11776</v>
      </c>
      <c r="PVC3" t="s">
        <v>11777</v>
      </c>
      <c r="PVD3" t="s">
        <v>11778</v>
      </c>
      <c r="PVE3" t="s">
        <v>11779</v>
      </c>
      <c r="PVF3" t="s">
        <v>11780</v>
      </c>
      <c r="PVG3" t="s">
        <v>11781</v>
      </c>
      <c r="PVH3" t="s">
        <v>11782</v>
      </c>
      <c r="PVI3" t="s">
        <v>11783</v>
      </c>
      <c r="PVJ3" t="s">
        <v>11784</v>
      </c>
      <c r="PVK3" t="s">
        <v>11785</v>
      </c>
      <c r="PVL3" t="s">
        <v>11786</v>
      </c>
      <c r="PVM3" t="s">
        <v>11787</v>
      </c>
      <c r="PVN3" t="s">
        <v>11788</v>
      </c>
      <c r="PVO3" t="s">
        <v>11789</v>
      </c>
      <c r="PVP3" t="s">
        <v>11790</v>
      </c>
      <c r="PVQ3" t="s">
        <v>11791</v>
      </c>
      <c r="PVR3" t="s">
        <v>11792</v>
      </c>
      <c r="PVS3" t="s">
        <v>11793</v>
      </c>
      <c r="PVT3" t="s">
        <v>11794</v>
      </c>
      <c r="PVU3" t="s">
        <v>11795</v>
      </c>
      <c r="PVV3" t="s">
        <v>11796</v>
      </c>
      <c r="PVW3" t="s">
        <v>11797</v>
      </c>
      <c r="PVX3" t="s">
        <v>11798</v>
      </c>
      <c r="PVY3" t="s">
        <v>11799</v>
      </c>
      <c r="PVZ3" t="s">
        <v>11800</v>
      </c>
      <c r="PWA3" t="s">
        <v>11801</v>
      </c>
      <c r="PWB3" t="s">
        <v>11802</v>
      </c>
      <c r="PWC3" t="s">
        <v>11803</v>
      </c>
      <c r="PWD3" t="s">
        <v>11804</v>
      </c>
      <c r="PWE3" t="s">
        <v>11805</v>
      </c>
      <c r="PWF3" t="s">
        <v>11806</v>
      </c>
      <c r="PWG3" t="s">
        <v>11807</v>
      </c>
      <c r="PWH3" t="s">
        <v>11808</v>
      </c>
      <c r="PWI3" t="s">
        <v>11809</v>
      </c>
      <c r="PWJ3" t="s">
        <v>11810</v>
      </c>
      <c r="PWK3" t="s">
        <v>11811</v>
      </c>
      <c r="PWL3" t="s">
        <v>11812</v>
      </c>
      <c r="PWM3" t="s">
        <v>11813</v>
      </c>
      <c r="PWN3" t="s">
        <v>11814</v>
      </c>
      <c r="PWO3" t="s">
        <v>11815</v>
      </c>
      <c r="PWP3" t="s">
        <v>11816</v>
      </c>
      <c r="PWQ3" t="s">
        <v>11817</v>
      </c>
      <c r="PWR3" t="s">
        <v>11818</v>
      </c>
      <c r="PWS3" t="s">
        <v>11819</v>
      </c>
      <c r="PWT3" t="s">
        <v>11820</v>
      </c>
      <c r="PWU3" t="s">
        <v>11821</v>
      </c>
      <c r="PWV3" t="s">
        <v>11822</v>
      </c>
      <c r="PWW3" t="s">
        <v>11823</v>
      </c>
      <c r="PWX3" t="s">
        <v>11824</v>
      </c>
      <c r="PWY3" t="s">
        <v>11825</v>
      </c>
      <c r="PWZ3" t="s">
        <v>11826</v>
      </c>
      <c r="PXA3" t="s">
        <v>11827</v>
      </c>
      <c r="PXB3" t="s">
        <v>11828</v>
      </c>
      <c r="PXC3" t="s">
        <v>11829</v>
      </c>
      <c r="PXD3" t="s">
        <v>11830</v>
      </c>
      <c r="PXE3" t="s">
        <v>11831</v>
      </c>
      <c r="PXF3" t="s">
        <v>11832</v>
      </c>
      <c r="PXG3" t="s">
        <v>11833</v>
      </c>
      <c r="PXH3" t="s">
        <v>11834</v>
      </c>
      <c r="PXI3" t="s">
        <v>11835</v>
      </c>
      <c r="PXJ3" t="s">
        <v>11836</v>
      </c>
      <c r="PXK3" t="s">
        <v>11837</v>
      </c>
      <c r="PXL3" t="s">
        <v>11838</v>
      </c>
      <c r="PXM3" t="s">
        <v>11839</v>
      </c>
      <c r="PXN3" t="s">
        <v>11840</v>
      </c>
      <c r="PXO3" t="s">
        <v>11841</v>
      </c>
      <c r="PXP3" t="s">
        <v>11842</v>
      </c>
      <c r="PXQ3" t="s">
        <v>11843</v>
      </c>
      <c r="PXR3" t="s">
        <v>11844</v>
      </c>
      <c r="PXS3" t="s">
        <v>11845</v>
      </c>
      <c r="PXT3" t="s">
        <v>11846</v>
      </c>
      <c r="PXU3" t="s">
        <v>11847</v>
      </c>
      <c r="PXV3" t="s">
        <v>11848</v>
      </c>
      <c r="PXW3" t="s">
        <v>11849</v>
      </c>
      <c r="PXX3" t="s">
        <v>11850</v>
      </c>
      <c r="PXY3" t="s">
        <v>11851</v>
      </c>
      <c r="PXZ3" t="s">
        <v>11852</v>
      </c>
      <c r="PYA3" t="s">
        <v>11853</v>
      </c>
      <c r="PYB3" t="s">
        <v>11854</v>
      </c>
      <c r="PYC3" t="s">
        <v>11855</v>
      </c>
      <c r="PYD3" t="s">
        <v>11856</v>
      </c>
      <c r="PYE3" t="s">
        <v>11857</v>
      </c>
      <c r="PYF3" t="s">
        <v>11858</v>
      </c>
      <c r="PYG3" t="s">
        <v>11859</v>
      </c>
      <c r="PYH3" t="s">
        <v>11860</v>
      </c>
      <c r="PYI3" t="s">
        <v>11861</v>
      </c>
      <c r="PYJ3" t="s">
        <v>11862</v>
      </c>
      <c r="PYK3" t="s">
        <v>11863</v>
      </c>
      <c r="PYL3" t="s">
        <v>11864</v>
      </c>
      <c r="PYM3" t="s">
        <v>11865</v>
      </c>
      <c r="PYN3" t="s">
        <v>11866</v>
      </c>
      <c r="PYO3" t="s">
        <v>11867</v>
      </c>
      <c r="PYP3" t="s">
        <v>11868</v>
      </c>
      <c r="PYQ3" t="s">
        <v>11869</v>
      </c>
      <c r="PYR3" t="s">
        <v>11870</v>
      </c>
      <c r="PYS3" t="s">
        <v>11871</v>
      </c>
      <c r="PYT3" t="s">
        <v>11872</v>
      </c>
      <c r="PYU3" t="s">
        <v>11873</v>
      </c>
      <c r="PYV3" t="s">
        <v>11874</v>
      </c>
      <c r="PYW3" t="s">
        <v>11875</v>
      </c>
      <c r="PYX3" t="s">
        <v>11876</v>
      </c>
      <c r="PYY3" t="s">
        <v>11877</v>
      </c>
      <c r="PYZ3" t="s">
        <v>11878</v>
      </c>
      <c r="PZA3" t="s">
        <v>11879</v>
      </c>
      <c r="PZB3" t="s">
        <v>11880</v>
      </c>
      <c r="PZC3" t="s">
        <v>11881</v>
      </c>
      <c r="PZD3" t="s">
        <v>11882</v>
      </c>
      <c r="PZE3" t="s">
        <v>11883</v>
      </c>
      <c r="PZF3" t="s">
        <v>11884</v>
      </c>
      <c r="PZG3" t="s">
        <v>11885</v>
      </c>
      <c r="PZH3" t="s">
        <v>11886</v>
      </c>
      <c r="PZI3" t="s">
        <v>11887</v>
      </c>
      <c r="PZJ3" t="s">
        <v>11888</v>
      </c>
      <c r="PZK3" t="s">
        <v>11889</v>
      </c>
      <c r="PZL3" t="s">
        <v>11890</v>
      </c>
      <c r="PZM3" t="s">
        <v>11891</v>
      </c>
      <c r="PZN3" t="s">
        <v>11892</v>
      </c>
      <c r="PZO3" t="s">
        <v>11893</v>
      </c>
      <c r="PZP3" t="s">
        <v>11894</v>
      </c>
      <c r="PZQ3" t="s">
        <v>11895</v>
      </c>
      <c r="PZR3" t="s">
        <v>11896</v>
      </c>
      <c r="PZS3" t="s">
        <v>11897</v>
      </c>
      <c r="PZT3" t="s">
        <v>11898</v>
      </c>
      <c r="PZU3" t="s">
        <v>11899</v>
      </c>
      <c r="PZV3" t="s">
        <v>11900</v>
      </c>
      <c r="PZW3" t="s">
        <v>11901</v>
      </c>
      <c r="PZX3" t="s">
        <v>11902</v>
      </c>
      <c r="PZY3" t="s">
        <v>11903</v>
      </c>
      <c r="PZZ3" t="s">
        <v>11904</v>
      </c>
      <c r="QAA3" t="s">
        <v>11905</v>
      </c>
      <c r="QAB3" t="s">
        <v>11906</v>
      </c>
      <c r="QAC3" t="s">
        <v>11907</v>
      </c>
      <c r="QAD3" t="s">
        <v>11908</v>
      </c>
      <c r="QAE3" t="s">
        <v>11909</v>
      </c>
      <c r="QAF3" t="s">
        <v>11910</v>
      </c>
      <c r="QAG3" t="s">
        <v>11911</v>
      </c>
      <c r="QAH3" t="s">
        <v>11912</v>
      </c>
      <c r="QAI3" t="s">
        <v>11913</v>
      </c>
      <c r="QAJ3" t="s">
        <v>11914</v>
      </c>
      <c r="QAK3" t="s">
        <v>11915</v>
      </c>
      <c r="QAL3" t="s">
        <v>11916</v>
      </c>
      <c r="QAM3" t="s">
        <v>11917</v>
      </c>
      <c r="QAN3" t="s">
        <v>11918</v>
      </c>
      <c r="QAO3" t="s">
        <v>11919</v>
      </c>
      <c r="QAP3" t="s">
        <v>11920</v>
      </c>
      <c r="QAQ3" t="s">
        <v>11921</v>
      </c>
      <c r="QAR3" t="s">
        <v>11922</v>
      </c>
      <c r="QAS3" t="s">
        <v>11923</v>
      </c>
      <c r="QAT3" t="s">
        <v>11924</v>
      </c>
      <c r="QAU3" t="s">
        <v>11925</v>
      </c>
      <c r="QAV3" t="s">
        <v>11926</v>
      </c>
      <c r="QAW3" t="s">
        <v>11927</v>
      </c>
      <c r="QAX3" t="s">
        <v>11928</v>
      </c>
      <c r="QAY3" t="s">
        <v>11929</v>
      </c>
      <c r="QAZ3" t="s">
        <v>11930</v>
      </c>
      <c r="QBA3" t="s">
        <v>11931</v>
      </c>
      <c r="QBB3" t="s">
        <v>11932</v>
      </c>
      <c r="QBC3" t="s">
        <v>11933</v>
      </c>
      <c r="QBD3" t="s">
        <v>11934</v>
      </c>
      <c r="QBE3" t="s">
        <v>11935</v>
      </c>
      <c r="QBF3" t="s">
        <v>11936</v>
      </c>
      <c r="QBG3" t="s">
        <v>11937</v>
      </c>
      <c r="QBH3" t="s">
        <v>11938</v>
      </c>
      <c r="QBI3" t="s">
        <v>11939</v>
      </c>
      <c r="QBJ3" t="s">
        <v>11940</v>
      </c>
      <c r="QBK3" t="s">
        <v>11941</v>
      </c>
      <c r="QBL3" t="s">
        <v>11942</v>
      </c>
      <c r="QBM3" t="s">
        <v>11943</v>
      </c>
      <c r="QBN3" t="s">
        <v>11944</v>
      </c>
      <c r="QBO3" t="s">
        <v>11945</v>
      </c>
      <c r="QBP3" t="s">
        <v>11946</v>
      </c>
      <c r="QBQ3" t="s">
        <v>11947</v>
      </c>
      <c r="QBR3" t="s">
        <v>11948</v>
      </c>
      <c r="QBS3" t="s">
        <v>11949</v>
      </c>
      <c r="QBT3" t="s">
        <v>11950</v>
      </c>
      <c r="QBU3" t="s">
        <v>11951</v>
      </c>
      <c r="QBV3" t="s">
        <v>11952</v>
      </c>
      <c r="QBW3" t="s">
        <v>11953</v>
      </c>
      <c r="QBX3" t="s">
        <v>11954</v>
      </c>
      <c r="QBY3" t="s">
        <v>11955</v>
      </c>
      <c r="QBZ3" t="s">
        <v>11956</v>
      </c>
      <c r="QCA3" t="s">
        <v>11957</v>
      </c>
      <c r="QCB3" t="s">
        <v>11958</v>
      </c>
      <c r="QCC3" t="s">
        <v>11959</v>
      </c>
      <c r="QCD3" t="s">
        <v>11960</v>
      </c>
      <c r="QCE3" t="s">
        <v>11961</v>
      </c>
      <c r="QCF3" t="s">
        <v>11962</v>
      </c>
      <c r="QCG3" t="s">
        <v>11963</v>
      </c>
      <c r="QCH3" t="s">
        <v>11964</v>
      </c>
      <c r="QCI3" t="s">
        <v>11965</v>
      </c>
      <c r="QCJ3" t="s">
        <v>11966</v>
      </c>
      <c r="QCK3" t="s">
        <v>11967</v>
      </c>
      <c r="QCL3" t="s">
        <v>11968</v>
      </c>
      <c r="QCM3" t="s">
        <v>11969</v>
      </c>
      <c r="QCN3" t="s">
        <v>11970</v>
      </c>
      <c r="QCO3" t="s">
        <v>11971</v>
      </c>
      <c r="QCP3" t="s">
        <v>11972</v>
      </c>
      <c r="QCQ3" t="s">
        <v>11973</v>
      </c>
      <c r="QCR3" t="s">
        <v>11974</v>
      </c>
      <c r="QCS3" t="s">
        <v>11975</v>
      </c>
      <c r="QCT3" t="s">
        <v>11976</v>
      </c>
      <c r="QCU3" t="s">
        <v>11977</v>
      </c>
      <c r="QCV3" t="s">
        <v>11978</v>
      </c>
      <c r="QCW3" t="s">
        <v>11979</v>
      </c>
      <c r="QCX3" t="s">
        <v>11980</v>
      </c>
      <c r="QCY3" t="s">
        <v>11981</v>
      </c>
      <c r="QCZ3" t="s">
        <v>11982</v>
      </c>
      <c r="QDA3" t="s">
        <v>11983</v>
      </c>
      <c r="QDB3" t="s">
        <v>11984</v>
      </c>
      <c r="QDC3" t="s">
        <v>11985</v>
      </c>
      <c r="QDD3" t="s">
        <v>11986</v>
      </c>
      <c r="QDE3" t="s">
        <v>11987</v>
      </c>
      <c r="QDF3" t="s">
        <v>11988</v>
      </c>
      <c r="QDG3" t="s">
        <v>11989</v>
      </c>
      <c r="QDH3" t="s">
        <v>11990</v>
      </c>
      <c r="QDI3" t="s">
        <v>11991</v>
      </c>
      <c r="QDJ3" t="s">
        <v>11992</v>
      </c>
      <c r="QDK3" t="s">
        <v>11993</v>
      </c>
      <c r="QDL3" t="s">
        <v>11994</v>
      </c>
      <c r="QDM3" t="s">
        <v>11995</v>
      </c>
      <c r="QDN3" t="s">
        <v>11996</v>
      </c>
      <c r="QDO3" t="s">
        <v>11997</v>
      </c>
      <c r="QDP3" t="s">
        <v>11998</v>
      </c>
      <c r="QDQ3" t="s">
        <v>11999</v>
      </c>
      <c r="QDR3" t="s">
        <v>12000</v>
      </c>
      <c r="QDS3" t="s">
        <v>12001</v>
      </c>
      <c r="QDT3" t="s">
        <v>12002</v>
      </c>
      <c r="QDU3" t="s">
        <v>12003</v>
      </c>
      <c r="QDV3" t="s">
        <v>12004</v>
      </c>
      <c r="QDW3" t="s">
        <v>12005</v>
      </c>
      <c r="QDX3" t="s">
        <v>12006</v>
      </c>
      <c r="QDY3" t="s">
        <v>12007</v>
      </c>
      <c r="QDZ3" t="s">
        <v>12008</v>
      </c>
      <c r="QEA3" t="s">
        <v>12009</v>
      </c>
      <c r="QEB3" t="s">
        <v>12010</v>
      </c>
      <c r="QEC3" t="s">
        <v>12011</v>
      </c>
      <c r="QED3" t="s">
        <v>12012</v>
      </c>
      <c r="QEE3" t="s">
        <v>12013</v>
      </c>
      <c r="QEF3" t="s">
        <v>12014</v>
      </c>
      <c r="QEG3" t="s">
        <v>12015</v>
      </c>
      <c r="QEH3" t="s">
        <v>12016</v>
      </c>
      <c r="QEI3" t="s">
        <v>12017</v>
      </c>
      <c r="QEJ3" t="s">
        <v>12018</v>
      </c>
      <c r="QEK3" t="s">
        <v>12019</v>
      </c>
      <c r="QEL3" t="s">
        <v>12020</v>
      </c>
      <c r="QEM3" t="s">
        <v>12021</v>
      </c>
      <c r="QEN3" t="s">
        <v>12022</v>
      </c>
      <c r="QEO3" t="s">
        <v>12023</v>
      </c>
      <c r="QEP3" t="s">
        <v>12024</v>
      </c>
      <c r="QEQ3" t="s">
        <v>12025</v>
      </c>
      <c r="QER3" t="s">
        <v>12026</v>
      </c>
      <c r="QES3" t="s">
        <v>12027</v>
      </c>
      <c r="QET3" t="s">
        <v>12028</v>
      </c>
      <c r="QEU3" t="s">
        <v>12029</v>
      </c>
      <c r="QEV3" t="s">
        <v>12030</v>
      </c>
      <c r="QEW3" t="s">
        <v>12031</v>
      </c>
      <c r="QEX3" t="s">
        <v>12032</v>
      </c>
      <c r="QEY3" t="s">
        <v>12033</v>
      </c>
      <c r="QEZ3" t="s">
        <v>12034</v>
      </c>
      <c r="QFA3" t="s">
        <v>12035</v>
      </c>
      <c r="QFB3" t="s">
        <v>12036</v>
      </c>
      <c r="QFC3" t="s">
        <v>12037</v>
      </c>
      <c r="QFD3" t="s">
        <v>12038</v>
      </c>
      <c r="QFE3" t="s">
        <v>12039</v>
      </c>
      <c r="QFF3" t="s">
        <v>12040</v>
      </c>
      <c r="QFG3" t="s">
        <v>12041</v>
      </c>
      <c r="QFH3" t="s">
        <v>12042</v>
      </c>
      <c r="QFI3" t="s">
        <v>12043</v>
      </c>
      <c r="QFJ3" t="s">
        <v>12044</v>
      </c>
      <c r="QFK3" t="s">
        <v>12045</v>
      </c>
      <c r="QFL3" t="s">
        <v>12046</v>
      </c>
      <c r="QFM3" t="s">
        <v>12047</v>
      </c>
      <c r="QFN3" t="s">
        <v>12048</v>
      </c>
      <c r="QFO3" t="s">
        <v>12049</v>
      </c>
      <c r="QFP3" t="s">
        <v>12050</v>
      </c>
      <c r="QFQ3" t="s">
        <v>12051</v>
      </c>
      <c r="QFR3" t="s">
        <v>12052</v>
      </c>
      <c r="QFS3" t="s">
        <v>12053</v>
      </c>
      <c r="QFT3" t="s">
        <v>12054</v>
      </c>
      <c r="QFU3" t="s">
        <v>12055</v>
      </c>
      <c r="QFV3" t="s">
        <v>12056</v>
      </c>
      <c r="QFW3" t="s">
        <v>12057</v>
      </c>
      <c r="QFX3" t="s">
        <v>12058</v>
      </c>
      <c r="QFY3" t="s">
        <v>12059</v>
      </c>
      <c r="QFZ3" t="s">
        <v>12060</v>
      </c>
      <c r="QGA3" t="s">
        <v>12061</v>
      </c>
      <c r="QGB3" t="s">
        <v>12062</v>
      </c>
      <c r="QGC3" t="s">
        <v>12063</v>
      </c>
      <c r="QGD3" t="s">
        <v>12064</v>
      </c>
      <c r="QGE3" t="s">
        <v>12065</v>
      </c>
      <c r="QGF3" t="s">
        <v>12066</v>
      </c>
      <c r="QGG3" t="s">
        <v>12067</v>
      </c>
      <c r="QGH3" t="s">
        <v>12068</v>
      </c>
      <c r="QGI3" t="s">
        <v>12069</v>
      </c>
      <c r="QGJ3" t="s">
        <v>12070</v>
      </c>
      <c r="QGK3" t="s">
        <v>12071</v>
      </c>
      <c r="QGL3" t="s">
        <v>12072</v>
      </c>
      <c r="QGM3" t="s">
        <v>12073</v>
      </c>
      <c r="QGN3" t="s">
        <v>12074</v>
      </c>
      <c r="QGO3" t="s">
        <v>12075</v>
      </c>
      <c r="QGP3" t="s">
        <v>12076</v>
      </c>
      <c r="QGQ3" t="s">
        <v>12077</v>
      </c>
      <c r="QGR3" t="s">
        <v>12078</v>
      </c>
      <c r="QGS3" t="s">
        <v>12079</v>
      </c>
      <c r="QGT3" t="s">
        <v>12080</v>
      </c>
      <c r="QGU3" t="s">
        <v>12081</v>
      </c>
      <c r="QGV3" t="s">
        <v>12082</v>
      </c>
      <c r="QGW3" t="s">
        <v>12083</v>
      </c>
      <c r="QGX3" t="s">
        <v>12084</v>
      </c>
      <c r="QGY3" t="s">
        <v>12085</v>
      </c>
      <c r="QGZ3" t="s">
        <v>12086</v>
      </c>
      <c r="QHA3" t="s">
        <v>12087</v>
      </c>
      <c r="QHB3" t="s">
        <v>12088</v>
      </c>
      <c r="QHC3" t="s">
        <v>12089</v>
      </c>
      <c r="QHD3" t="s">
        <v>12090</v>
      </c>
      <c r="QHE3" t="s">
        <v>12091</v>
      </c>
      <c r="QHF3" t="s">
        <v>12092</v>
      </c>
      <c r="QHG3" t="s">
        <v>12093</v>
      </c>
      <c r="QHH3" t="s">
        <v>12094</v>
      </c>
      <c r="QHI3" t="s">
        <v>12095</v>
      </c>
      <c r="QHJ3" t="s">
        <v>12096</v>
      </c>
      <c r="QHK3" t="s">
        <v>12097</v>
      </c>
      <c r="QHL3" t="s">
        <v>12098</v>
      </c>
      <c r="QHM3" t="s">
        <v>12099</v>
      </c>
      <c r="QHN3" t="s">
        <v>12100</v>
      </c>
      <c r="QHO3" t="s">
        <v>12101</v>
      </c>
      <c r="QHP3" t="s">
        <v>12102</v>
      </c>
      <c r="QHQ3" t="s">
        <v>12103</v>
      </c>
      <c r="QHR3" t="s">
        <v>12104</v>
      </c>
      <c r="QHS3" t="s">
        <v>12105</v>
      </c>
      <c r="QHT3" t="s">
        <v>12106</v>
      </c>
      <c r="QHU3" t="s">
        <v>12107</v>
      </c>
      <c r="QHV3" t="s">
        <v>12108</v>
      </c>
      <c r="QHW3" t="s">
        <v>12109</v>
      </c>
      <c r="QHX3" t="s">
        <v>12110</v>
      </c>
      <c r="QHY3" t="s">
        <v>12111</v>
      </c>
      <c r="QHZ3" t="s">
        <v>12112</v>
      </c>
      <c r="QIA3" t="s">
        <v>12113</v>
      </c>
      <c r="QIB3" t="s">
        <v>12114</v>
      </c>
      <c r="QIC3" t="s">
        <v>12115</v>
      </c>
      <c r="QID3" t="s">
        <v>12116</v>
      </c>
      <c r="QIE3" t="s">
        <v>12117</v>
      </c>
      <c r="QIF3" t="s">
        <v>12118</v>
      </c>
      <c r="QIG3" t="s">
        <v>12119</v>
      </c>
      <c r="QIH3" t="s">
        <v>12120</v>
      </c>
      <c r="QII3" t="s">
        <v>12121</v>
      </c>
      <c r="QIJ3" t="s">
        <v>12122</v>
      </c>
      <c r="QIK3" t="s">
        <v>12123</v>
      </c>
      <c r="QIL3" t="s">
        <v>12124</v>
      </c>
      <c r="QIM3" t="s">
        <v>12125</v>
      </c>
      <c r="QIN3" t="s">
        <v>12126</v>
      </c>
      <c r="QIO3" t="s">
        <v>12127</v>
      </c>
      <c r="QIP3" t="s">
        <v>12128</v>
      </c>
      <c r="QIQ3" t="s">
        <v>12129</v>
      </c>
      <c r="QIR3" t="s">
        <v>12130</v>
      </c>
      <c r="QIS3" t="s">
        <v>12131</v>
      </c>
      <c r="QIT3" t="s">
        <v>12132</v>
      </c>
      <c r="QIU3" t="s">
        <v>12133</v>
      </c>
      <c r="QIV3" t="s">
        <v>12134</v>
      </c>
      <c r="QIW3" t="s">
        <v>12135</v>
      </c>
      <c r="QIX3" t="s">
        <v>12136</v>
      </c>
      <c r="QIY3" t="s">
        <v>12137</v>
      </c>
      <c r="QIZ3" t="s">
        <v>12138</v>
      </c>
      <c r="QJA3" t="s">
        <v>12139</v>
      </c>
      <c r="QJB3" t="s">
        <v>12140</v>
      </c>
      <c r="QJC3" t="s">
        <v>12141</v>
      </c>
      <c r="QJD3" t="s">
        <v>12142</v>
      </c>
      <c r="QJE3" t="s">
        <v>12143</v>
      </c>
      <c r="QJF3" t="s">
        <v>12144</v>
      </c>
      <c r="QJG3" t="s">
        <v>12145</v>
      </c>
      <c r="QJH3" t="s">
        <v>12146</v>
      </c>
      <c r="QJI3" t="s">
        <v>12147</v>
      </c>
      <c r="QJJ3" t="s">
        <v>12148</v>
      </c>
      <c r="QJK3" t="s">
        <v>12149</v>
      </c>
      <c r="QJL3" t="s">
        <v>12150</v>
      </c>
      <c r="QJM3" t="s">
        <v>12151</v>
      </c>
      <c r="QJN3" t="s">
        <v>12152</v>
      </c>
      <c r="QJO3" t="s">
        <v>12153</v>
      </c>
      <c r="QJP3" t="s">
        <v>12154</v>
      </c>
      <c r="QJQ3" t="s">
        <v>12155</v>
      </c>
      <c r="QJR3" t="s">
        <v>12156</v>
      </c>
      <c r="QJS3" t="s">
        <v>12157</v>
      </c>
      <c r="QJT3" t="s">
        <v>12158</v>
      </c>
      <c r="QJU3" t="s">
        <v>12159</v>
      </c>
      <c r="QJV3" t="s">
        <v>12160</v>
      </c>
      <c r="QJW3" t="s">
        <v>12161</v>
      </c>
      <c r="QJX3" t="s">
        <v>12162</v>
      </c>
      <c r="QJY3" t="s">
        <v>12163</v>
      </c>
      <c r="QJZ3" t="s">
        <v>12164</v>
      </c>
      <c r="QKA3" t="s">
        <v>12165</v>
      </c>
      <c r="QKB3" t="s">
        <v>12166</v>
      </c>
      <c r="QKC3" t="s">
        <v>12167</v>
      </c>
      <c r="QKD3" t="s">
        <v>12168</v>
      </c>
      <c r="QKE3" t="s">
        <v>12169</v>
      </c>
      <c r="QKF3" t="s">
        <v>12170</v>
      </c>
      <c r="QKG3" t="s">
        <v>12171</v>
      </c>
      <c r="QKH3" t="s">
        <v>12172</v>
      </c>
      <c r="QKI3" t="s">
        <v>12173</v>
      </c>
      <c r="QKJ3" t="s">
        <v>12174</v>
      </c>
      <c r="QKK3" t="s">
        <v>12175</v>
      </c>
      <c r="QKL3" t="s">
        <v>12176</v>
      </c>
      <c r="QKM3" t="s">
        <v>12177</v>
      </c>
      <c r="QKN3" t="s">
        <v>12178</v>
      </c>
      <c r="QKO3" t="s">
        <v>12179</v>
      </c>
      <c r="QKP3" t="s">
        <v>12180</v>
      </c>
      <c r="QKQ3" t="s">
        <v>12181</v>
      </c>
      <c r="QKR3" t="s">
        <v>12182</v>
      </c>
      <c r="QKS3" t="s">
        <v>12183</v>
      </c>
      <c r="QKT3" t="s">
        <v>12184</v>
      </c>
      <c r="QKU3" t="s">
        <v>12185</v>
      </c>
      <c r="QKV3" t="s">
        <v>12186</v>
      </c>
      <c r="QKW3" t="s">
        <v>12187</v>
      </c>
      <c r="QKX3" t="s">
        <v>12188</v>
      </c>
      <c r="QKY3" t="s">
        <v>12189</v>
      </c>
      <c r="QKZ3" t="s">
        <v>12190</v>
      </c>
      <c r="QLA3" t="s">
        <v>12191</v>
      </c>
      <c r="QLB3" t="s">
        <v>12192</v>
      </c>
      <c r="QLC3" t="s">
        <v>12193</v>
      </c>
      <c r="QLD3" t="s">
        <v>12194</v>
      </c>
      <c r="QLE3" t="s">
        <v>12195</v>
      </c>
      <c r="QLF3" t="s">
        <v>12196</v>
      </c>
      <c r="QLG3" t="s">
        <v>12197</v>
      </c>
      <c r="QLH3" t="s">
        <v>12198</v>
      </c>
      <c r="QLI3" t="s">
        <v>12199</v>
      </c>
      <c r="QLJ3" t="s">
        <v>12200</v>
      </c>
      <c r="QLK3" t="s">
        <v>12201</v>
      </c>
      <c r="QLL3" t="s">
        <v>12202</v>
      </c>
      <c r="QLM3" t="s">
        <v>12203</v>
      </c>
      <c r="QLN3" t="s">
        <v>12204</v>
      </c>
      <c r="QLO3" t="s">
        <v>12205</v>
      </c>
      <c r="QLP3" t="s">
        <v>12206</v>
      </c>
      <c r="QLQ3" t="s">
        <v>12207</v>
      </c>
      <c r="QLR3" t="s">
        <v>12208</v>
      </c>
      <c r="QLS3" t="s">
        <v>12209</v>
      </c>
      <c r="QLT3" t="s">
        <v>12210</v>
      </c>
      <c r="QLU3" t="s">
        <v>12211</v>
      </c>
      <c r="QLV3" t="s">
        <v>12212</v>
      </c>
      <c r="QLW3" t="s">
        <v>12213</v>
      </c>
      <c r="QLX3" t="s">
        <v>12214</v>
      </c>
      <c r="QLY3" t="s">
        <v>12215</v>
      </c>
      <c r="QLZ3" t="s">
        <v>12216</v>
      </c>
      <c r="QMA3" t="s">
        <v>12217</v>
      </c>
      <c r="QMB3" t="s">
        <v>12218</v>
      </c>
      <c r="QMC3" t="s">
        <v>12219</v>
      </c>
      <c r="QMD3" t="s">
        <v>12220</v>
      </c>
      <c r="QME3" t="s">
        <v>12221</v>
      </c>
      <c r="QMF3" t="s">
        <v>12222</v>
      </c>
      <c r="QMG3" t="s">
        <v>12223</v>
      </c>
      <c r="QMH3" t="s">
        <v>12224</v>
      </c>
      <c r="QMI3" t="s">
        <v>12225</v>
      </c>
      <c r="QMJ3" t="s">
        <v>12226</v>
      </c>
      <c r="QMK3" t="s">
        <v>12227</v>
      </c>
      <c r="QML3" t="s">
        <v>12228</v>
      </c>
      <c r="QMM3" t="s">
        <v>12229</v>
      </c>
      <c r="QMN3" t="s">
        <v>12230</v>
      </c>
      <c r="QMO3" t="s">
        <v>12231</v>
      </c>
      <c r="QMP3" t="s">
        <v>12232</v>
      </c>
      <c r="QMQ3" t="s">
        <v>12233</v>
      </c>
      <c r="QMR3" t="s">
        <v>12234</v>
      </c>
      <c r="QMS3" t="s">
        <v>12235</v>
      </c>
      <c r="QMT3" t="s">
        <v>12236</v>
      </c>
      <c r="QMU3" t="s">
        <v>12237</v>
      </c>
      <c r="QMV3" t="s">
        <v>12238</v>
      </c>
      <c r="QMW3" t="s">
        <v>12239</v>
      </c>
      <c r="QMX3" t="s">
        <v>12240</v>
      </c>
      <c r="QMY3" t="s">
        <v>12241</v>
      </c>
      <c r="QMZ3" t="s">
        <v>12242</v>
      </c>
      <c r="QNA3" t="s">
        <v>12243</v>
      </c>
      <c r="QNB3" t="s">
        <v>12244</v>
      </c>
      <c r="QNC3" t="s">
        <v>12245</v>
      </c>
      <c r="QND3" t="s">
        <v>12246</v>
      </c>
      <c r="QNE3" t="s">
        <v>12247</v>
      </c>
      <c r="QNF3" t="s">
        <v>12248</v>
      </c>
      <c r="QNG3" t="s">
        <v>12249</v>
      </c>
      <c r="QNH3" t="s">
        <v>12250</v>
      </c>
      <c r="QNI3" t="s">
        <v>12251</v>
      </c>
      <c r="QNJ3" t="s">
        <v>12252</v>
      </c>
      <c r="QNK3" t="s">
        <v>12253</v>
      </c>
      <c r="QNL3" t="s">
        <v>12254</v>
      </c>
      <c r="QNM3" t="s">
        <v>12255</v>
      </c>
      <c r="QNN3" t="s">
        <v>12256</v>
      </c>
      <c r="QNO3" t="s">
        <v>12257</v>
      </c>
      <c r="QNP3" t="s">
        <v>12258</v>
      </c>
      <c r="QNQ3" t="s">
        <v>12259</v>
      </c>
      <c r="QNR3" t="s">
        <v>12260</v>
      </c>
      <c r="QNS3" t="s">
        <v>12261</v>
      </c>
      <c r="QNT3" t="s">
        <v>12262</v>
      </c>
      <c r="QNU3" t="s">
        <v>12263</v>
      </c>
      <c r="QNV3" t="s">
        <v>12264</v>
      </c>
      <c r="QNW3" t="s">
        <v>12265</v>
      </c>
      <c r="QNX3" t="s">
        <v>12266</v>
      </c>
      <c r="QNY3" t="s">
        <v>12267</v>
      </c>
      <c r="QNZ3" t="s">
        <v>12268</v>
      </c>
      <c r="QOA3" t="s">
        <v>12269</v>
      </c>
      <c r="QOB3" t="s">
        <v>12270</v>
      </c>
      <c r="QOC3" t="s">
        <v>12271</v>
      </c>
      <c r="QOD3" t="s">
        <v>12272</v>
      </c>
      <c r="QOE3" t="s">
        <v>12273</v>
      </c>
      <c r="QOF3" t="s">
        <v>12274</v>
      </c>
      <c r="QOG3" t="s">
        <v>12275</v>
      </c>
      <c r="QOH3" t="s">
        <v>12276</v>
      </c>
      <c r="QOI3" t="s">
        <v>12277</v>
      </c>
      <c r="QOJ3" t="s">
        <v>12278</v>
      </c>
      <c r="QOK3" t="s">
        <v>12279</v>
      </c>
      <c r="QOL3" t="s">
        <v>12280</v>
      </c>
      <c r="QOM3" t="s">
        <v>12281</v>
      </c>
      <c r="QON3" t="s">
        <v>12282</v>
      </c>
      <c r="QOO3" t="s">
        <v>12283</v>
      </c>
      <c r="QOP3" t="s">
        <v>12284</v>
      </c>
      <c r="QOQ3" t="s">
        <v>12285</v>
      </c>
      <c r="QOR3" t="s">
        <v>12286</v>
      </c>
      <c r="QOS3" t="s">
        <v>12287</v>
      </c>
      <c r="QOT3" t="s">
        <v>12288</v>
      </c>
      <c r="QOU3" t="s">
        <v>12289</v>
      </c>
      <c r="QOV3" t="s">
        <v>12290</v>
      </c>
      <c r="QOW3" t="s">
        <v>12291</v>
      </c>
      <c r="QOX3" t="s">
        <v>12292</v>
      </c>
      <c r="QOY3" t="s">
        <v>12293</v>
      </c>
      <c r="QOZ3" t="s">
        <v>12294</v>
      </c>
      <c r="QPA3" t="s">
        <v>12295</v>
      </c>
      <c r="QPB3" t="s">
        <v>12296</v>
      </c>
      <c r="QPC3" t="s">
        <v>12297</v>
      </c>
      <c r="QPD3" t="s">
        <v>12298</v>
      </c>
      <c r="QPE3" t="s">
        <v>12299</v>
      </c>
      <c r="QPF3" t="s">
        <v>12300</v>
      </c>
      <c r="QPG3" t="s">
        <v>12301</v>
      </c>
      <c r="QPH3" t="s">
        <v>12302</v>
      </c>
      <c r="QPI3" t="s">
        <v>12303</v>
      </c>
      <c r="QPJ3" t="s">
        <v>12304</v>
      </c>
      <c r="QPK3" t="s">
        <v>12305</v>
      </c>
      <c r="QPL3" t="s">
        <v>12306</v>
      </c>
      <c r="QPM3" t="s">
        <v>12307</v>
      </c>
      <c r="QPN3" t="s">
        <v>12308</v>
      </c>
      <c r="QPO3" t="s">
        <v>12309</v>
      </c>
      <c r="QPP3" t="s">
        <v>12310</v>
      </c>
      <c r="QPQ3" t="s">
        <v>12311</v>
      </c>
      <c r="QPR3" t="s">
        <v>12312</v>
      </c>
      <c r="QPS3" t="s">
        <v>12313</v>
      </c>
      <c r="QPT3" t="s">
        <v>12314</v>
      </c>
      <c r="QPU3" t="s">
        <v>12315</v>
      </c>
      <c r="QPV3" t="s">
        <v>12316</v>
      </c>
      <c r="QPW3" t="s">
        <v>12317</v>
      </c>
      <c r="QPX3" t="s">
        <v>12318</v>
      </c>
      <c r="QPY3" t="s">
        <v>12319</v>
      </c>
      <c r="QPZ3" t="s">
        <v>12320</v>
      </c>
      <c r="QQA3" t="s">
        <v>12321</v>
      </c>
      <c r="QQB3" t="s">
        <v>12322</v>
      </c>
      <c r="QQC3" t="s">
        <v>12323</v>
      </c>
      <c r="QQD3" t="s">
        <v>12324</v>
      </c>
      <c r="QQE3" t="s">
        <v>12325</v>
      </c>
      <c r="QQF3" t="s">
        <v>12326</v>
      </c>
      <c r="QQG3" t="s">
        <v>12327</v>
      </c>
      <c r="QQH3" t="s">
        <v>12328</v>
      </c>
      <c r="QQI3" t="s">
        <v>12329</v>
      </c>
      <c r="QQJ3" t="s">
        <v>12330</v>
      </c>
      <c r="QQK3" t="s">
        <v>12331</v>
      </c>
      <c r="QQL3" t="s">
        <v>12332</v>
      </c>
      <c r="QQM3" t="s">
        <v>12333</v>
      </c>
      <c r="QQN3" t="s">
        <v>12334</v>
      </c>
      <c r="QQO3" t="s">
        <v>12335</v>
      </c>
      <c r="QQP3" t="s">
        <v>12336</v>
      </c>
      <c r="QQQ3" t="s">
        <v>12337</v>
      </c>
      <c r="QQR3" t="s">
        <v>12338</v>
      </c>
      <c r="QQS3" t="s">
        <v>12339</v>
      </c>
      <c r="QQT3" t="s">
        <v>12340</v>
      </c>
      <c r="QQU3" t="s">
        <v>12341</v>
      </c>
      <c r="QQV3" t="s">
        <v>12342</v>
      </c>
      <c r="QQW3" t="s">
        <v>12343</v>
      </c>
      <c r="QQX3" t="s">
        <v>12344</v>
      </c>
      <c r="QQY3" t="s">
        <v>12345</v>
      </c>
      <c r="QQZ3" t="s">
        <v>12346</v>
      </c>
      <c r="QRA3" t="s">
        <v>12347</v>
      </c>
      <c r="QRB3" t="s">
        <v>12348</v>
      </c>
      <c r="QRC3" t="s">
        <v>12349</v>
      </c>
      <c r="QRD3" t="s">
        <v>12350</v>
      </c>
      <c r="QRE3" t="s">
        <v>12351</v>
      </c>
      <c r="QRF3" t="s">
        <v>12352</v>
      </c>
      <c r="QRG3" t="s">
        <v>12353</v>
      </c>
      <c r="QRH3" t="s">
        <v>12354</v>
      </c>
      <c r="QRI3" t="s">
        <v>12355</v>
      </c>
      <c r="QRJ3" t="s">
        <v>12356</v>
      </c>
      <c r="QRK3" t="s">
        <v>12357</v>
      </c>
      <c r="QRL3" t="s">
        <v>12358</v>
      </c>
      <c r="QRM3" t="s">
        <v>12359</v>
      </c>
      <c r="QRN3" t="s">
        <v>12360</v>
      </c>
      <c r="QRO3" t="s">
        <v>12361</v>
      </c>
      <c r="QRP3" t="s">
        <v>12362</v>
      </c>
      <c r="QRQ3" t="s">
        <v>12363</v>
      </c>
      <c r="QRR3" t="s">
        <v>12364</v>
      </c>
      <c r="QRS3" t="s">
        <v>12365</v>
      </c>
      <c r="QRT3" t="s">
        <v>12366</v>
      </c>
      <c r="QRU3" t="s">
        <v>12367</v>
      </c>
      <c r="QRV3" t="s">
        <v>12368</v>
      </c>
      <c r="QRW3" t="s">
        <v>12369</v>
      </c>
      <c r="QRX3" t="s">
        <v>12370</v>
      </c>
      <c r="QRY3" t="s">
        <v>12371</v>
      </c>
      <c r="QRZ3" t="s">
        <v>12372</v>
      </c>
      <c r="QSA3" t="s">
        <v>12373</v>
      </c>
      <c r="QSB3" t="s">
        <v>12374</v>
      </c>
      <c r="QSC3" t="s">
        <v>12375</v>
      </c>
      <c r="QSD3" t="s">
        <v>12376</v>
      </c>
      <c r="QSE3" t="s">
        <v>12377</v>
      </c>
      <c r="QSF3" t="s">
        <v>12378</v>
      </c>
      <c r="QSG3" t="s">
        <v>12379</v>
      </c>
      <c r="QSH3" t="s">
        <v>12380</v>
      </c>
      <c r="QSI3" t="s">
        <v>12381</v>
      </c>
      <c r="QSJ3" t="s">
        <v>12382</v>
      </c>
      <c r="QSK3" t="s">
        <v>12383</v>
      </c>
      <c r="QSL3" t="s">
        <v>12384</v>
      </c>
      <c r="QSM3" t="s">
        <v>12385</v>
      </c>
      <c r="QSN3" t="s">
        <v>12386</v>
      </c>
      <c r="QSO3" t="s">
        <v>12387</v>
      </c>
      <c r="QSP3" t="s">
        <v>12388</v>
      </c>
      <c r="QSQ3" t="s">
        <v>12389</v>
      </c>
      <c r="QSR3" t="s">
        <v>12390</v>
      </c>
      <c r="QSS3" t="s">
        <v>12391</v>
      </c>
      <c r="QST3" t="s">
        <v>12392</v>
      </c>
      <c r="QSU3" t="s">
        <v>12393</v>
      </c>
      <c r="QSV3" t="s">
        <v>12394</v>
      </c>
      <c r="QSW3" t="s">
        <v>12395</v>
      </c>
      <c r="QSX3" t="s">
        <v>12396</v>
      </c>
      <c r="QSY3" t="s">
        <v>12397</v>
      </c>
      <c r="QSZ3" t="s">
        <v>12398</v>
      </c>
      <c r="QTA3" t="s">
        <v>12399</v>
      </c>
      <c r="QTB3" t="s">
        <v>12400</v>
      </c>
      <c r="QTC3" t="s">
        <v>12401</v>
      </c>
      <c r="QTD3" t="s">
        <v>12402</v>
      </c>
      <c r="QTE3" t="s">
        <v>12403</v>
      </c>
      <c r="QTF3" t="s">
        <v>12404</v>
      </c>
      <c r="QTG3" t="s">
        <v>12405</v>
      </c>
      <c r="QTH3" t="s">
        <v>12406</v>
      </c>
      <c r="QTI3" t="s">
        <v>12407</v>
      </c>
      <c r="QTJ3" t="s">
        <v>12408</v>
      </c>
      <c r="QTK3" t="s">
        <v>12409</v>
      </c>
      <c r="QTL3" t="s">
        <v>12410</v>
      </c>
      <c r="QTM3" t="s">
        <v>12411</v>
      </c>
      <c r="QTN3" t="s">
        <v>12412</v>
      </c>
      <c r="QTO3" t="s">
        <v>12413</v>
      </c>
      <c r="QTP3" t="s">
        <v>12414</v>
      </c>
      <c r="QTQ3" t="s">
        <v>12415</v>
      </c>
      <c r="QTR3" t="s">
        <v>12416</v>
      </c>
      <c r="QTS3" t="s">
        <v>12417</v>
      </c>
      <c r="QTT3" t="s">
        <v>12418</v>
      </c>
      <c r="QTU3" t="s">
        <v>12419</v>
      </c>
      <c r="QTV3" t="s">
        <v>12420</v>
      </c>
      <c r="QTW3" t="s">
        <v>12421</v>
      </c>
      <c r="QTX3" t="s">
        <v>12422</v>
      </c>
      <c r="QTY3" t="s">
        <v>12423</v>
      </c>
      <c r="QTZ3" t="s">
        <v>12424</v>
      </c>
      <c r="QUA3" t="s">
        <v>12425</v>
      </c>
      <c r="QUB3" t="s">
        <v>12426</v>
      </c>
      <c r="QUC3" t="s">
        <v>12427</v>
      </c>
      <c r="QUD3" t="s">
        <v>12428</v>
      </c>
      <c r="QUE3" t="s">
        <v>12429</v>
      </c>
      <c r="QUF3" t="s">
        <v>12430</v>
      </c>
      <c r="QUG3" t="s">
        <v>12431</v>
      </c>
      <c r="QUH3" t="s">
        <v>12432</v>
      </c>
      <c r="QUI3" t="s">
        <v>12433</v>
      </c>
      <c r="QUJ3" t="s">
        <v>12434</v>
      </c>
      <c r="QUK3" t="s">
        <v>12435</v>
      </c>
      <c r="QUL3" t="s">
        <v>12436</v>
      </c>
      <c r="QUM3" t="s">
        <v>12437</v>
      </c>
      <c r="QUN3" t="s">
        <v>12438</v>
      </c>
      <c r="QUO3" t="s">
        <v>12439</v>
      </c>
      <c r="QUP3" t="s">
        <v>12440</v>
      </c>
      <c r="QUQ3" t="s">
        <v>12441</v>
      </c>
      <c r="QUR3" t="s">
        <v>12442</v>
      </c>
      <c r="QUS3" t="s">
        <v>12443</v>
      </c>
      <c r="QUT3" t="s">
        <v>12444</v>
      </c>
      <c r="QUU3" t="s">
        <v>12445</v>
      </c>
      <c r="QUV3" t="s">
        <v>12446</v>
      </c>
      <c r="QUW3" t="s">
        <v>12447</v>
      </c>
      <c r="QUX3" t="s">
        <v>12448</v>
      </c>
      <c r="QUY3" t="s">
        <v>12449</v>
      </c>
      <c r="QUZ3" t="s">
        <v>12450</v>
      </c>
      <c r="QVA3" t="s">
        <v>12451</v>
      </c>
      <c r="QVB3" t="s">
        <v>12452</v>
      </c>
      <c r="QVC3" t="s">
        <v>12453</v>
      </c>
      <c r="QVD3" t="s">
        <v>12454</v>
      </c>
      <c r="QVE3" t="s">
        <v>12455</v>
      </c>
      <c r="QVF3" t="s">
        <v>12456</v>
      </c>
      <c r="QVG3" t="s">
        <v>12457</v>
      </c>
      <c r="QVH3" t="s">
        <v>12458</v>
      </c>
      <c r="QVI3" t="s">
        <v>12459</v>
      </c>
      <c r="QVJ3" t="s">
        <v>12460</v>
      </c>
      <c r="QVK3" t="s">
        <v>12461</v>
      </c>
      <c r="QVL3" t="s">
        <v>12462</v>
      </c>
      <c r="QVM3" t="s">
        <v>12463</v>
      </c>
      <c r="QVN3" t="s">
        <v>12464</v>
      </c>
      <c r="QVO3" t="s">
        <v>12465</v>
      </c>
      <c r="QVP3" t="s">
        <v>12466</v>
      </c>
      <c r="QVQ3" t="s">
        <v>12467</v>
      </c>
      <c r="QVR3" t="s">
        <v>12468</v>
      </c>
      <c r="QVS3" t="s">
        <v>12469</v>
      </c>
      <c r="QVT3" t="s">
        <v>12470</v>
      </c>
      <c r="QVU3" t="s">
        <v>12471</v>
      </c>
      <c r="QVV3" t="s">
        <v>12472</v>
      </c>
      <c r="QVW3" t="s">
        <v>12473</v>
      </c>
      <c r="QVX3" t="s">
        <v>12474</v>
      </c>
      <c r="QVY3" t="s">
        <v>12475</v>
      </c>
      <c r="QVZ3" t="s">
        <v>12476</v>
      </c>
      <c r="QWA3" t="s">
        <v>12477</v>
      </c>
      <c r="QWB3" t="s">
        <v>12478</v>
      </c>
      <c r="QWC3" t="s">
        <v>12479</v>
      </c>
      <c r="QWD3" t="s">
        <v>12480</v>
      </c>
      <c r="QWE3" t="s">
        <v>12481</v>
      </c>
      <c r="QWF3" t="s">
        <v>12482</v>
      </c>
      <c r="QWG3" t="s">
        <v>12483</v>
      </c>
      <c r="QWH3" t="s">
        <v>12484</v>
      </c>
      <c r="QWI3" t="s">
        <v>12485</v>
      </c>
      <c r="QWJ3" t="s">
        <v>12486</v>
      </c>
      <c r="QWK3" t="s">
        <v>12487</v>
      </c>
      <c r="QWL3" t="s">
        <v>12488</v>
      </c>
      <c r="QWM3" t="s">
        <v>12489</v>
      </c>
      <c r="QWN3" t="s">
        <v>12490</v>
      </c>
      <c r="QWO3" t="s">
        <v>12491</v>
      </c>
      <c r="QWP3" t="s">
        <v>12492</v>
      </c>
      <c r="QWQ3" t="s">
        <v>12493</v>
      </c>
      <c r="QWR3" t="s">
        <v>12494</v>
      </c>
      <c r="QWS3" t="s">
        <v>12495</v>
      </c>
      <c r="QWT3" t="s">
        <v>12496</v>
      </c>
      <c r="QWU3" t="s">
        <v>12497</v>
      </c>
      <c r="QWV3" t="s">
        <v>12498</v>
      </c>
      <c r="QWW3" t="s">
        <v>12499</v>
      </c>
      <c r="QWX3" t="s">
        <v>12500</v>
      </c>
      <c r="QWY3" t="s">
        <v>12501</v>
      </c>
      <c r="QWZ3" t="s">
        <v>12502</v>
      </c>
      <c r="QXA3" t="s">
        <v>12503</v>
      </c>
      <c r="QXB3" t="s">
        <v>12504</v>
      </c>
      <c r="QXC3" t="s">
        <v>12505</v>
      </c>
      <c r="QXD3" t="s">
        <v>12506</v>
      </c>
      <c r="QXE3" t="s">
        <v>12507</v>
      </c>
      <c r="QXF3" t="s">
        <v>12508</v>
      </c>
      <c r="QXG3" t="s">
        <v>12509</v>
      </c>
      <c r="QXH3" t="s">
        <v>12510</v>
      </c>
      <c r="QXI3" t="s">
        <v>12511</v>
      </c>
      <c r="QXJ3" t="s">
        <v>12512</v>
      </c>
      <c r="QXK3" t="s">
        <v>12513</v>
      </c>
      <c r="QXL3" t="s">
        <v>12514</v>
      </c>
      <c r="QXM3" t="s">
        <v>12515</v>
      </c>
      <c r="QXN3" t="s">
        <v>12516</v>
      </c>
      <c r="QXO3" t="s">
        <v>12517</v>
      </c>
      <c r="QXP3" t="s">
        <v>12518</v>
      </c>
      <c r="QXQ3" t="s">
        <v>12519</v>
      </c>
      <c r="QXR3" t="s">
        <v>12520</v>
      </c>
      <c r="QXS3" t="s">
        <v>12521</v>
      </c>
      <c r="QXT3" t="s">
        <v>12522</v>
      </c>
      <c r="QXU3" t="s">
        <v>12523</v>
      </c>
      <c r="QXV3" t="s">
        <v>12524</v>
      </c>
      <c r="QXW3" t="s">
        <v>12525</v>
      </c>
      <c r="QXX3" t="s">
        <v>12526</v>
      </c>
      <c r="QXY3" t="s">
        <v>12527</v>
      </c>
      <c r="QXZ3" t="s">
        <v>12528</v>
      </c>
      <c r="QYA3" t="s">
        <v>12529</v>
      </c>
      <c r="QYB3" t="s">
        <v>12530</v>
      </c>
      <c r="QYC3" t="s">
        <v>12531</v>
      </c>
      <c r="QYD3" t="s">
        <v>12532</v>
      </c>
      <c r="QYE3" t="s">
        <v>12533</v>
      </c>
      <c r="QYF3" t="s">
        <v>12534</v>
      </c>
      <c r="QYG3" t="s">
        <v>12535</v>
      </c>
      <c r="QYH3" t="s">
        <v>12536</v>
      </c>
      <c r="QYI3" t="s">
        <v>12537</v>
      </c>
      <c r="QYJ3" t="s">
        <v>12538</v>
      </c>
      <c r="QYK3" t="s">
        <v>12539</v>
      </c>
      <c r="QYL3" t="s">
        <v>12540</v>
      </c>
      <c r="QYM3" t="s">
        <v>12541</v>
      </c>
      <c r="QYN3" t="s">
        <v>12542</v>
      </c>
      <c r="QYO3" t="s">
        <v>12543</v>
      </c>
      <c r="QYP3" t="s">
        <v>12544</v>
      </c>
      <c r="QYQ3" t="s">
        <v>12545</v>
      </c>
      <c r="QYR3" t="s">
        <v>12546</v>
      </c>
      <c r="QYS3" t="s">
        <v>12547</v>
      </c>
      <c r="QYT3" t="s">
        <v>12548</v>
      </c>
      <c r="QYU3" t="s">
        <v>12549</v>
      </c>
      <c r="QYV3" t="s">
        <v>12550</v>
      </c>
      <c r="QYW3" t="s">
        <v>12551</v>
      </c>
      <c r="QYX3" t="s">
        <v>12552</v>
      </c>
      <c r="QYY3" t="s">
        <v>12553</v>
      </c>
      <c r="QYZ3" t="s">
        <v>12554</v>
      </c>
      <c r="QZA3" t="s">
        <v>12555</v>
      </c>
      <c r="QZB3" t="s">
        <v>12556</v>
      </c>
      <c r="QZC3" t="s">
        <v>12557</v>
      </c>
      <c r="QZD3" t="s">
        <v>12558</v>
      </c>
      <c r="QZE3" t="s">
        <v>12559</v>
      </c>
      <c r="QZF3" t="s">
        <v>12560</v>
      </c>
      <c r="QZG3" t="s">
        <v>12561</v>
      </c>
      <c r="QZH3" t="s">
        <v>12562</v>
      </c>
      <c r="QZI3" t="s">
        <v>12563</v>
      </c>
      <c r="QZJ3" t="s">
        <v>12564</v>
      </c>
      <c r="QZK3" t="s">
        <v>12565</v>
      </c>
      <c r="QZL3" t="s">
        <v>12566</v>
      </c>
      <c r="QZM3" t="s">
        <v>12567</v>
      </c>
      <c r="QZN3" t="s">
        <v>12568</v>
      </c>
      <c r="QZO3" t="s">
        <v>12569</v>
      </c>
      <c r="QZP3" t="s">
        <v>12570</v>
      </c>
      <c r="QZQ3" t="s">
        <v>12571</v>
      </c>
      <c r="QZR3" t="s">
        <v>12572</v>
      </c>
      <c r="QZS3" t="s">
        <v>12573</v>
      </c>
      <c r="QZT3" t="s">
        <v>12574</v>
      </c>
      <c r="QZU3" t="s">
        <v>12575</v>
      </c>
      <c r="QZV3" t="s">
        <v>12576</v>
      </c>
      <c r="QZW3" t="s">
        <v>12577</v>
      </c>
      <c r="QZX3" t="s">
        <v>12578</v>
      </c>
      <c r="QZY3" t="s">
        <v>12579</v>
      </c>
      <c r="QZZ3" t="s">
        <v>12580</v>
      </c>
      <c r="RAA3" t="s">
        <v>12581</v>
      </c>
      <c r="RAB3" t="s">
        <v>12582</v>
      </c>
      <c r="RAC3" t="s">
        <v>12583</v>
      </c>
      <c r="RAD3" t="s">
        <v>12584</v>
      </c>
      <c r="RAE3" t="s">
        <v>12585</v>
      </c>
      <c r="RAF3" t="s">
        <v>12586</v>
      </c>
      <c r="RAG3" t="s">
        <v>12587</v>
      </c>
      <c r="RAH3" t="s">
        <v>12588</v>
      </c>
      <c r="RAI3" t="s">
        <v>12589</v>
      </c>
      <c r="RAJ3" t="s">
        <v>12590</v>
      </c>
      <c r="RAK3" t="s">
        <v>12591</v>
      </c>
      <c r="RAL3" t="s">
        <v>12592</v>
      </c>
      <c r="RAM3" t="s">
        <v>12593</v>
      </c>
      <c r="RAN3" t="s">
        <v>12594</v>
      </c>
      <c r="RAO3" t="s">
        <v>12595</v>
      </c>
      <c r="RAP3" t="s">
        <v>12596</v>
      </c>
      <c r="RAQ3" t="s">
        <v>12597</v>
      </c>
      <c r="RAR3" t="s">
        <v>12598</v>
      </c>
      <c r="RAS3" t="s">
        <v>12599</v>
      </c>
      <c r="RAT3" t="s">
        <v>12600</v>
      </c>
      <c r="RAU3" t="s">
        <v>12601</v>
      </c>
      <c r="RAV3" t="s">
        <v>12602</v>
      </c>
      <c r="RAW3" t="s">
        <v>12603</v>
      </c>
      <c r="RAX3" t="s">
        <v>12604</v>
      </c>
      <c r="RAY3" t="s">
        <v>12605</v>
      </c>
      <c r="RAZ3" t="s">
        <v>12606</v>
      </c>
      <c r="RBA3" t="s">
        <v>12607</v>
      </c>
      <c r="RBB3" t="s">
        <v>12608</v>
      </c>
      <c r="RBC3" t="s">
        <v>12609</v>
      </c>
      <c r="RBD3" t="s">
        <v>12610</v>
      </c>
      <c r="RBE3" t="s">
        <v>12611</v>
      </c>
      <c r="RBF3" t="s">
        <v>12612</v>
      </c>
      <c r="RBG3" t="s">
        <v>12613</v>
      </c>
      <c r="RBH3" t="s">
        <v>12614</v>
      </c>
      <c r="RBI3" t="s">
        <v>12615</v>
      </c>
      <c r="RBJ3" t="s">
        <v>12616</v>
      </c>
      <c r="RBK3" t="s">
        <v>12617</v>
      </c>
      <c r="RBL3" t="s">
        <v>12618</v>
      </c>
      <c r="RBM3" t="s">
        <v>12619</v>
      </c>
      <c r="RBN3" t="s">
        <v>12620</v>
      </c>
      <c r="RBO3" t="s">
        <v>12621</v>
      </c>
      <c r="RBP3" t="s">
        <v>12622</v>
      </c>
      <c r="RBQ3" t="s">
        <v>12623</v>
      </c>
      <c r="RBR3" t="s">
        <v>12624</v>
      </c>
      <c r="RBS3" t="s">
        <v>12625</v>
      </c>
      <c r="RBT3" t="s">
        <v>12626</v>
      </c>
      <c r="RBU3" t="s">
        <v>12627</v>
      </c>
      <c r="RBV3" t="s">
        <v>12628</v>
      </c>
      <c r="RBW3" t="s">
        <v>12629</v>
      </c>
      <c r="RBX3" t="s">
        <v>12630</v>
      </c>
      <c r="RBY3" t="s">
        <v>12631</v>
      </c>
      <c r="RBZ3" t="s">
        <v>12632</v>
      </c>
      <c r="RCA3" t="s">
        <v>12633</v>
      </c>
      <c r="RCB3" t="s">
        <v>12634</v>
      </c>
      <c r="RCC3" t="s">
        <v>12635</v>
      </c>
      <c r="RCD3" t="s">
        <v>12636</v>
      </c>
      <c r="RCE3" t="s">
        <v>12637</v>
      </c>
      <c r="RCF3" t="s">
        <v>12638</v>
      </c>
      <c r="RCG3" t="s">
        <v>12639</v>
      </c>
      <c r="RCH3" t="s">
        <v>12640</v>
      </c>
      <c r="RCI3" t="s">
        <v>12641</v>
      </c>
      <c r="RCJ3" t="s">
        <v>12642</v>
      </c>
      <c r="RCK3" t="s">
        <v>12643</v>
      </c>
      <c r="RCL3" t="s">
        <v>12644</v>
      </c>
      <c r="RCM3" t="s">
        <v>12645</v>
      </c>
      <c r="RCN3" t="s">
        <v>12646</v>
      </c>
      <c r="RCO3" t="s">
        <v>12647</v>
      </c>
      <c r="RCP3" t="s">
        <v>12648</v>
      </c>
      <c r="RCQ3" t="s">
        <v>12649</v>
      </c>
      <c r="RCR3" t="s">
        <v>12650</v>
      </c>
      <c r="RCS3" t="s">
        <v>12651</v>
      </c>
      <c r="RCT3" t="s">
        <v>12652</v>
      </c>
      <c r="RCU3" t="s">
        <v>12653</v>
      </c>
      <c r="RCV3" t="s">
        <v>12654</v>
      </c>
      <c r="RCW3" t="s">
        <v>12655</v>
      </c>
      <c r="RCX3" t="s">
        <v>12656</v>
      </c>
      <c r="RCY3" t="s">
        <v>12657</v>
      </c>
      <c r="RCZ3" t="s">
        <v>12658</v>
      </c>
      <c r="RDA3" t="s">
        <v>12659</v>
      </c>
      <c r="RDB3" t="s">
        <v>12660</v>
      </c>
      <c r="RDC3" t="s">
        <v>12661</v>
      </c>
      <c r="RDD3" t="s">
        <v>12662</v>
      </c>
      <c r="RDE3" t="s">
        <v>12663</v>
      </c>
      <c r="RDF3" t="s">
        <v>12664</v>
      </c>
      <c r="RDG3" t="s">
        <v>12665</v>
      </c>
      <c r="RDH3" t="s">
        <v>12666</v>
      </c>
      <c r="RDI3" t="s">
        <v>12667</v>
      </c>
      <c r="RDJ3" t="s">
        <v>12668</v>
      </c>
      <c r="RDK3" t="s">
        <v>12669</v>
      </c>
      <c r="RDL3" t="s">
        <v>12670</v>
      </c>
      <c r="RDM3" t="s">
        <v>12671</v>
      </c>
      <c r="RDN3" t="s">
        <v>12672</v>
      </c>
      <c r="RDO3" t="s">
        <v>12673</v>
      </c>
      <c r="RDP3" t="s">
        <v>12674</v>
      </c>
      <c r="RDQ3" t="s">
        <v>12675</v>
      </c>
      <c r="RDR3" t="s">
        <v>12676</v>
      </c>
      <c r="RDS3" t="s">
        <v>12677</v>
      </c>
      <c r="RDT3" t="s">
        <v>12678</v>
      </c>
      <c r="RDU3" t="s">
        <v>12679</v>
      </c>
      <c r="RDV3" t="s">
        <v>12680</v>
      </c>
      <c r="RDW3" t="s">
        <v>12681</v>
      </c>
      <c r="RDX3" t="s">
        <v>12682</v>
      </c>
      <c r="RDY3" t="s">
        <v>12683</v>
      </c>
      <c r="RDZ3" t="s">
        <v>12684</v>
      </c>
      <c r="REA3" t="s">
        <v>12685</v>
      </c>
      <c r="REB3" t="s">
        <v>12686</v>
      </c>
      <c r="REC3" t="s">
        <v>12687</v>
      </c>
      <c r="RED3" t="s">
        <v>12688</v>
      </c>
      <c r="REE3" t="s">
        <v>12689</v>
      </c>
      <c r="REF3" t="s">
        <v>12690</v>
      </c>
      <c r="REG3" t="s">
        <v>12691</v>
      </c>
      <c r="REH3" t="s">
        <v>12692</v>
      </c>
      <c r="REI3" t="s">
        <v>12693</v>
      </c>
      <c r="REJ3" t="s">
        <v>12694</v>
      </c>
      <c r="REK3" t="s">
        <v>12695</v>
      </c>
      <c r="REL3" t="s">
        <v>12696</v>
      </c>
      <c r="REM3" t="s">
        <v>12697</v>
      </c>
      <c r="REN3" t="s">
        <v>12698</v>
      </c>
      <c r="REO3" t="s">
        <v>12699</v>
      </c>
      <c r="REP3" t="s">
        <v>12700</v>
      </c>
      <c r="REQ3" t="s">
        <v>12701</v>
      </c>
      <c r="RER3" t="s">
        <v>12702</v>
      </c>
      <c r="RES3" t="s">
        <v>12703</v>
      </c>
      <c r="RET3" t="s">
        <v>12704</v>
      </c>
      <c r="REU3" t="s">
        <v>12705</v>
      </c>
      <c r="REV3" t="s">
        <v>12706</v>
      </c>
      <c r="REW3" t="s">
        <v>12707</v>
      </c>
      <c r="REX3" t="s">
        <v>12708</v>
      </c>
      <c r="REY3" t="s">
        <v>12709</v>
      </c>
      <c r="REZ3" t="s">
        <v>12710</v>
      </c>
      <c r="RFA3" t="s">
        <v>12711</v>
      </c>
      <c r="RFB3" t="s">
        <v>12712</v>
      </c>
      <c r="RFC3" t="s">
        <v>12713</v>
      </c>
      <c r="RFD3" t="s">
        <v>12714</v>
      </c>
      <c r="RFE3" t="s">
        <v>12715</v>
      </c>
      <c r="RFF3" t="s">
        <v>12716</v>
      </c>
      <c r="RFG3" t="s">
        <v>12717</v>
      </c>
      <c r="RFH3" t="s">
        <v>12718</v>
      </c>
      <c r="RFI3" t="s">
        <v>12719</v>
      </c>
      <c r="RFJ3" t="s">
        <v>12720</v>
      </c>
      <c r="RFK3" t="s">
        <v>12721</v>
      </c>
      <c r="RFL3" t="s">
        <v>12722</v>
      </c>
      <c r="RFM3" t="s">
        <v>12723</v>
      </c>
      <c r="RFN3" t="s">
        <v>12724</v>
      </c>
      <c r="RFO3" t="s">
        <v>12725</v>
      </c>
      <c r="RFP3" t="s">
        <v>12726</v>
      </c>
      <c r="RFQ3" t="s">
        <v>12727</v>
      </c>
      <c r="RFR3" t="s">
        <v>12728</v>
      </c>
      <c r="RFS3" t="s">
        <v>12729</v>
      </c>
      <c r="RFT3" t="s">
        <v>12730</v>
      </c>
      <c r="RFU3" t="s">
        <v>12731</v>
      </c>
      <c r="RFV3" t="s">
        <v>12732</v>
      </c>
      <c r="RFW3" t="s">
        <v>12733</v>
      </c>
      <c r="RFX3" t="s">
        <v>12734</v>
      </c>
      <c r="RFY3" t="s">
        <v>12735</v>
      </c>
      <c r="RFZ3" t="s">
        <v>12736</v>
      </c>
      <c r="RGA3" t="s">
        <v>12737</v>
      </c>
      <c r="RGB3" t="s">
        <v>12738</v>
      </c>
      <c r="RGC3" t="s">
        <v>12739</v>
      </c>
      <c r="RGD3" t="s">
        <v>12740</v>
      </c>
      <c r="RGE3" t="s">
        <v>12741</v>
      </c>
      <c r="RGF3" t="s">
        <v>12742</v>
      </c>
      <c r="RGG3" t="s">
        <v>12743</v>
      </c>
      <c r="RGH3" t="s">
        <v>12744</v>
      </c>
      <c r="RGI3" t="s">
        <v>12745</v>
      </c>
      <c r="RGJ3" t="s">
        <v>12746</v>
      </c>
      <c r="RGK3" t="s">
        <v>12747</v>
      </c>
      <c r="RGL3" t="s">
        <v>12748</v>
      </c>
      <c r="RGM3" t="s">
        <v>12749</v>
      </c>
      <c r="RGN3" t="s">
        <v>12750</v>
      </c>
      <c r="RGO3" t="s">
        <v>12751</v>
      </c>
      <c r="RGP3" t="s">
        <v>12752</v>
      </c>
      <c r="RGQ3" t="s">
        <v>12753</v>
      </c>
      <c r="RGR3" t="s">
        <v>12754</v>
      </c>
      <c r="RGS3" t="s">
        <v>12755</v>
      </c>
      <c r="RGT3" t="s">
        <v>12756</v>
      </c>
      <c r="RGU3" t="s">
        <v>12757</v>
      </c>
      <c r="RGV3" t="s">
        <v>12758</v>
      </c>
      <c r="RGW3" t="s">
        <v>12759</v>
      </c>
      <c r="RGX3" t="s">
        <v>12760</v>
      </c>
      <c r="RGY3" t="s">
        <v>12761</v>
      </c>
      <c r="RGZ3" t="s">
        <v>12762</v>
      </c>
      <c r="RHA3" t="s">
        <v>12763</v>
      </c>
      <c r="RHB3" t="s">
        <v>12764</v>
      </c>
      <c r="RHC3" t="s">
        <v>12765</v>
      </c>
      <c r="RHD3" t="s">
        <v>12766</v>
      </c>
      <c r="RHE3" t="s">
        <v>12767</v>
      </c>
      <c r="RHF3" t="s">
        <v>12768</v>
      </c>
      <c r="RHG3" t="s">
        <v>12769</v>
      </c>
      <c r="RHH3" t="s">
        <v>12770</v>
      </c>
      <c r="RHI3" t="s">
        <v>12771</v>
      </c>
      <c r="RHJ3" t="s">
        <v>12772</v>
      </c>
      <c r="RHK3" t="s">
        <v>12773</v>
      </c>
      <c r="RHL3" t="s">
        <v>12774</v>
      </c>
      <c r="RHM3" t="s">
        <v>12775</v>
      </c>
      <c r="RHN3" t="s">
        <v>12776</v>
      </c>
      <c r="RHO3" t="s">
        <v>12777</v>
      </c>
      <c r="RHP3" t="s">
        <v>12778</v>
      </c>
      <c r="RHQ3" t="s">
        <v>12779</v>
      </c>
      <c r="RHR3" t="s">
        <v>12780</v>
      </c>
      <c r="RHS3" t="s">
        <v>12781</v>
      </c>
      <c r="RHT3" t="s">
        <v>12782</v>
      </c>
      <c r="RHU3" t="s">
        <v>12783</v>
      </c>
      <c r="RHV3" t="s">
        <v>12784</v>
      </c>
      <c r="RHW3" t="s">
        <v>12785</v>
      </c>
      <c r="RHX3" t="s">
        <v>12786</v>
      </c>
      <c r="RHY3" t="s">
        <v>12787</v>
      </c>
      <c r="RHZ3" t="s">
        <v>12788</v>
      </c>
      <c r="RIA3" t="s">
        <v>12789</v>
      </c>
      <c r="RIB3" t="s">
        <v>12790</v>
      </c>
      <c r="RIC3" t="s">
        <v>12791</v>
      </c>
      <c r="RID3" t="s">
        <v>12792</v>
      </c>
      <c r="RIE3" t="s">
        <v>12793</v>
      </c>
      <c r="RIF3" t="s">
        <v>12794</v>
      </c>
      <c r="RIG3" t="s">
        <v>12795</v>
      </c>
      <c r="RIH3" t="s">
        <v>12796</v>
      </c>
      <c r="RII3" t="s">
        <v>12797</v>
      </c>
      <c r="RIJ3" t="s">
        <v>12798</v>
      </c>
      <c r="RIK3" t="s">
        <v>12799</v>
      </c>
      <c r="RIL3" t="s">
        <v>12800</v>
      </c>
      <c r="RIM3" t="s">
        <v>12801</v>
      </c>
      <c r="RIN3" t="s">
        <v>12802</v>
      </c>
      <c r="RIO3" t="s">
        <v>12803</v>
      </c>
      <c r="RIP3" t="s">
        <v>12804</v>
      </c>
      <c r="RIQ3" t="s">
        <v>12805</v>
      </c>
      <c r="RIR3" t="s">
        <v>12806</v>
      </c>
      <c r="RIS3" t="s">
        <v>12807</v>
      </c>
      <c r="RIT3" t="s">
        <v>12808</v>
      </c>
      <c r="RIU3" t="s">
        <v>12809</v>
      </c>
      <c r="RIV3" t="s">
        <v>12810</v>
      </c>
      <c r="RIW3" t="s">
        <v>12811</v>
      </c>
      <c r="RIX3" t="s">
        <v>12812</v>
      </c>
      <c r="RIY3" t="s">
        <v>12813</v>
      </c>
      <c r="RIZ3" t="s">
        <v>12814</v>
      </c>
      <c r="RJA3" t="s">
        <v>12815</v>
      </c>
      <c r="RJB3" t="s">
        <v>12816</v>
      </c>
      <c r="RJC3" t="s">
        <v>12817</v>
      </c>
      <c r="RJD3" t="s">
        <v>12818</v>
      </c>
      <c r="RJE3" t="s">
        <v>12819</v>
      </c>
      <c r="RJF3" t="s">
        <v>12820</v>
      </c>
      <c r="RJG3" t="s">
        <v>12821</v>
      </c>
      <c r="RJH3" t="s">
        <v>12822</v>
      </c>
      <c r="RJI3" t="s">
        <v>12823</v>
      </c>
      <c r="RJJ3" t="s">
        <v>12824</v>
      </c>
      <c r="RJK3" t="s">
        <v>12825</v>
      </c>
      <c r="RJL3" t="s">
        <v>12826</v>
      </c>
      <c r="RJM3" t="s">
        <v>12827</v>
      </c>
      <c r="RJN3" t="s">
        <v>12828</v>
      </c>
      <c r="RJO3" t="s">
        <v>12829</v>
      </c>
      <c r="RJP3" t="s">
        <v>12830</v>
      </c>
      <c r="RJQ3" t="s">
        <v>12831</v>
      </c>
      <c r="RJR3" t="s">
        <v>12832</v>
      </c>
      <c r="RJS3" t="s">
        <v>12833</v>
      </c>
      <c r="RJT3" t="s">
        <v>12834</v>
      </c>
      <c r="RJU3" t="s">
        <v>12835</v>
      </c>
      <c r="RJV3" t="s">
        <v>12836</v>
      </c>
      <c r="RJW3" t="s">
        <v>12837</v>
      </c>
      <c r="RJX3" t="s">
        <v>12838</v>
      </c>
      <c r="RJY3" t="s">
        <v>12839</v>
      </c>
      <c r="RJZ3" t="s">
        <v>12840</v>
      </c>
      <c r="RKA3" t="s">
        <v>12841</v>
      </c>
      <c r="RKB3" t="s">
        <v>12842</v>
      </c>
      <c r="RKC3" t="s">
        <v>12843</v>
      </c>
      <c r="RKD3" t="s">
        <v>12844</v>
      </c>
      <c r="RKE3" t="s">
        <v>12845</v>
      </c>
      <c r="RKF3" t="s">
        <v>12846</v>
      </c>
      <c r="RKG3" t="s">
        <v>12847</v>
      </c>
      <c r="RKH3" t="s">
        <v>12848</v>
      </c>
      <c r="RKI3" t="s">
        <v>12849</v>
      </c>
      <c r="RKJ3" t="s">
        <v>12850</v>
      </c>
      <c r="RKK3" t="s">
        <v>12851</v>
      </c>
      <c r="RKL3" t="s">
        <v>12852</v>
      </c>
      <c r="RKM3" t="s">
        <v>12853</v>
      </c>
      <c r="RKN3" t="s">
        <v>12854</v>
      </c>
      <c r="RKO3" t="s">
        <v>12855</v>
      </c>
      <c r="RKP3" t="s">
        <v>12856</v>
      </c>
      <c r="RKQ3" t="s">
        <v>12857</v>
      </c>
      <c r="RKR3" t="s">
        <v>12858</v>
      </c>
      <c r="RKS3" t="s">
        <v>12859</v>
      </c>
      <c r="RKT3" t="s">
        <v>12860</v>
      </c>
      <c r="RKU3" t="s">
        <v>12861</v>
      </c>
      <c r="RKV3" t="s">
        <v>12862</v>
      </c>
      <c r="RKW3" t="s">
        <v>12863</v>
      </c>
      <c r="RKX3" t="s">
        <v>12864</v>
      </c>
      <c r="RKY3" t="s">
        <v>12865</v>
      </c>
      <c r="RKZ3" t="s">
        <v>12866</v>
      </c>
      <c r="RLA3" t="s">
        <v>12867</v>
      </c>
      <c r="RLB3" t="s">
        <v>12868</v>
      </c>
      <c r="RLC3" t="s">
        <v>12869</v>
      </c>
      <c r="RLD3" t="s">
        <v>12870</v>
      </c>
      <c r="RLE3" t="s">
        <v>12871</v>
      </c>
      <c r="RLF3" t="s">
        <v>12872</v>
      </c>
      <c r="RLG3" t="s">
        <v>12873</v>
      </c>
      <c r="RLH3" t="s">
        <v>12874</v>
      </c>
      <c r="RLI3" t="s">
        <v>12875</v>
      </c>
      <c r="RLJ3" t="s">
        <v>12876</v>
      </c>
      <c r="RLK3" t="s">
        <v>12877</v>
      </c>
      <c r="RLL3" t="s">
        <v>12878</v>
      </c>
      <c r="RLM3" t="s">
        <v>12879</v>
      </c>
      <c r="RLN3" t="s">
        <v>12880</v>
      </c>
      <c r="RLO3" t="s">
        <v>12881</v>
      </c>
      <c r="RLP3" t="s">
        <v>12882</v>
      </c>
      <c r="RLQ3" t="s">
        <v>12883</v>
      </c>
      <c r="RLR3" t="s">
        <v>12884</v>
      </c>
      <c r="RLS3" t="s">
        <v>12885</v>
      </c>
      <c r="RLT3" t="s">
        <v>12886</v>
      </c>
      <c r="RLU3" t="s">
        <v>12887</v>
      </c>
      <c r="RLV3" t="s">
        <v>12888</v>
      </c>
      <c r="RLW3" t="s">
        <v>12889</v>
      </c>
      <c r="RLX3" t="s">
        <v>12890</v>
      </c>
      <c r="RLY3" t="s">
        <v>12891</v>
      </c>
      <c r="RLZ3" t="s">
        <v>12892</v>
      </c>
      <c r="RMA3" t="s">
        <v>12893</v>
      </c>
      <c r="RMB3" t="s">
        <v>12894</v>
      </c>
      <c r="RMC3" t="s">
        <v>12895</v>
      </c>
      <c r="RMD3" t="s">
        <v>12896</v>
      </c>
      <c r="RME3" t="s">
        <v>12897</v>
      </c>
      <c r="RMF3" t="s">
        <v>12898</v>
      </c>
      <c r="RMG3" t="s">
        <v>12899</v>
      </c>
      <c r="RMH3" t="s">
        <v>12900</v>
      </c>
      <c r="RMI3" t="s">
        <v>12901</v>
      </c>
      <c r="RMJ3" t="s">
        <v>12902</v>
      </c>
      <c r="RMK3" t="s">
        <v>12903</v>
      </c>
      <c r="RML3" t="s">
        <v>12904</v>
      </c>
      <c r="RMM3" t="s">
        <v>12905</v>
      </c>
      <c r="RMN3" t="s">
        <v>12906</v>
      </c>
      <c r="RMO3" t="s">
        <v>12907</v>
      </c>
      <c r="RMP3" t="s">
        <v>12908</v>
      </c>
      <c r="RMQ3" t="s">
        <v>12909</v>
      </c>
      <c r="RMR3" t="s">
        <v>12910</v>
      </c>
      <c r="RMS3" t="s">
        <v>12911</v>
      </c>
      <c r="RMT3" t="s">
        <v>12912</v>
      </c>
      <c r="RMU3" t="s">
        <v>12913</v>
      </c>
      <c r="RMV3" t="s">
        <v>12914</v>
      </c>
      <c r="RMW3" t="s">
        <v>12915</v>
      </c>
      <c r="RMX3" t="s">
        <v>12916</v>
      </c>
      <c r="RMY3" t="s">
        <v>12917</v>
      </c>
      <c r="RMZ3" t="s">
        <v>12918</v>
      </c>
      <c r="RNA3" t="s">
        <v>12919</v>
      </c>
      <c r="RNB3" t="s">
        <v>12920</v>
      </c>
      <c r="RNC3" t="s">
        <v>12921</v>
      </c>
      <c r="RND3" t="s">
        <v>12922</v>
      </c>
      <c r="RNE3" t="s">
        <v>12923</v>
      </c>
      <c r="RNF3" t="s">
        <v>12924</v>
      </c>
      <c r="RNG3" t="s">
        <v>12925</v>
      </c>
      <c r="RNH3" t="s">
        <v>12926</v>
      </c>
      <c r="RNI3" t="s">
        <v>12927</v>
      </c>
      <c r="RNJ3" t="s">
        <v>12928</v>
      </c>
      <c r="RNK3" t="s">
        <v>12929</v>
      </c>
      <c r="RNL3" t="s">
        <v>12930</v>
      </c>
      <c r="RNM3" t="s">
        <v>12931</v>
      </c>
      <c r="RNN3" t="s">
        <v>12932</v>
      </c>
      <c r="RNO3" t="s">
        <v>12933</v>
      </c>
      <c r="RNP3" t="s">
        <v>12934</v>
      </c>
      <c r="RNQ3" t="s">
        <v>12935</v>
      </c>
      <c r="RNR3" t="s">
        <v>12936</v>
      </c>
      <c r="RNS3" t="s">
        <v>12937</v>
      </c>
      <c r="RNT3" t="s">
        <v>12938</v>
      </c>
      <c r="RNU3" t="s">
        <v>12939</v>
      </c>
      <c r="RNV3" t="s">
        <v>12940</v>
      </c>
      <c r="RNW3" t="s">
        <v>12941</v>
      </c>
      <c r="RNX3" t="s">
        <v>12942</v>
      </c>
      <c r="RNY3" t="s">
        <v>12943</v>
      </c>
      <c r="RNZ3" t="s">
        <v>12944</v>
      </c>
      <c r="ROA3" t="s">
        <v>12945</v>
      </c>
      <c r="ROB3" t="s">
        <v>12946</v>
      </c>
      <c r="ROC3" t="s">
        <v>12947</v>
      </c>
      <c r="ROD3" t="s">
        <v>12948</v>
      </c>
      <c r="ROE3" t="s">
        <v>12949</v>
      </c>
      <c r="ROF3" t="s">
        <v>12950</v>
      </c>
      <c r="ROG3" t="s">
        <v>12951</v>
      </c>
      <c r="ROH3" t="s">
        <v>12952</v>
      </c>
      <c r="ROI3" t="s">
        <v>12953</v>
      </c>
      <c r="ROJ3" t="s">
        <v>12954</v>
      </c>
      <c r="ROK3" t="s">
        <v>12955</v>
      </c>
      <c r="ROL3" t="s">
        <v>12956</v>
      </c>
      <c r="ROM3" t="s">
        <v>12957</v>
      </c>
      <c r="RON3" t="s">
        <v>12958</v>
      </c>
      <c r="ROO3" t="s">
        <v>12959</v>
      </c>
      <c r="ROP3" t="s">
        <v>12960</v>
      </c>
      <c r="ROQ3" t="s">
        <v>12961</v>
      </c>
      <c r="ROR3" t="s">
        <v>12962</v>
      </c>
      <c r="ROS3" t="s">
        <v>12963</v>
      </c>
      <c r="ROT3" t="s">
        <v>12964</v>
      </c>
      <c r="ROU3" t="s">
        <v>12965</v>
      </c>
      <c r="ROV3" t="s">
        <v>12966</v>
      </c>
      <c r="ROW3" t="s">
        <v>12967</v>
      </c>
      <c r="ROX3" t="s">
        <v>12968</v>
      </c>
      <c r="ROY3" t="s">
        <v>12969</v>
      </c>
      <c r="ROZ3" t="s">
        <v>12970</v>
      </c>
      <c r="RPA3" t="s">
        <v>12971</v>
      </c>
      <c r="RPB3" t="s">
        <v>12972</v>
      </c>
      <c r="RPC3" t="s">
        <v>12973</v>
      </c>
      <c r="RPD3" t="s">
        <v>12974</v>
      </c>
      <c r="RPE3" t="s">
        <v>12975</v>
      </c>
      <c r="RPF3" t="s">
        <v>12976</v>
      </c>
      <c r="RPG3" t="s">
        <v>12977</v>
      </c>
      <c r="RPH3" t="s">
        <v>12978</v>
      </c>
      <c r="RPI3" t="s">
        <v>12979</v>
      </c>
      <c r="RPJ3" t="s">
        <v>12980</v>
      </c>
      <c r="RPK3" t="s">
        <v>12981</v>
      </c>
      <c r="RPL3" t="s">
        <v>12982</v>
      </c>
      <c r="RPM3" t="s">
        <v>12983</v>
      </c>
      <c r="RPN3" t="s">
        <v>12984</v>
      </c>
      <c r="RPO3" t="s">
        <v>12985</v>
      </c>
      <c r="RPP3" t="s">
        <v>12986</v>
      </c>
      <c r="RPQ3" t="s">
        <v>12987</v>
      </c>
      <c r="RPR3" t="s">
        <v>12988</v>
      </c>
      <c r="RPS3" t="s">
        <v>12989</v>
      </c>
      <c r="RPT3" t="s">
        <v>12990</v>
      </c>
      <c r="RPU3" t="s">
        <v>12991</v>
      </c>
      <c r="RPV3" t="s">
        <v>12992</v>
      </c>
      <c r="RPW3" t="s">
        <v>12993</v>
      </c>
      <c r="RPX3" t="s">
        <v>12994</v>
      </c>
      <c r="RPY3" t="s">
        <v>12995</v>
      </c>
      <c r="RPZ3" t="s">
        <v>12996</v>
      </c>
      <c r="RQA3" t="s">
        <v>12997</v>
      </c>
      <c r="RQB3" t="s">
        <v>12998</v>
      </c>
      <c r="RQC3" t="s">
        <v>12999</v>
      </c>
      <c r="RQD3" t="s">
        <v>13000</v>
      </c>
      <c r="RQE3" t="s">
        <v>13001</v>
      </c>
      <c r="RQF3" t="s">
        <v>13002</v>
      </c>
      <c r="RQG3" t="s">
        <v>13003</v>
      </c>
      <c r="RQH3" t="s">
        <v>13004</v>
      </c>
      <c r="RQI3" t="s">
        <v>13005</v>
      </c>
      <c r="RQJ3" t="s">
        <v>13006</v>
      </c>
      <c r="RQK3" t="s">
        <v>13007</v>
      </c>
      <c r="RQL3" t="s">
        <v>13008</v>
      </c>
      <c r="RQM3" t="s">
        <v>13009</v>
      </c>
      <c r="RQN3" t="s">
        <v>13010</v>
      </c>
      <c r="RQO3" t="s">
        <v>13011</v>
      </c>
      <c r="RQP3" t="s">
        <v>13012</v>
      </c>
      <c r="RQQ3" t="s">
        <v>13013</v>
      </c>
      <c r="RQR3" t="s">
        <v>13014</v>
      </c>
      <c r="RQS3" t="s">
        <v>13015</v>
      </c>
      <c r="RQT3" t="s">
        <v>13016</v>
      </c>
      <c r="RQU3" t="s">
        <v>13017</v>
      </c>
      <c r="RQV3" t="s">
        <v>13018</v>
      </c>
      <c r="RQW3" t="s">
        <v>13019</v>
      </c>
      <c r="RQX3" t="s">
        <v>13020</v>
      </c>
      <c r="RQY3" t="s">
        <v>13021</v>
      </c>
      <c r="RQZ3" t="s">
        <v>13022</v>
      </c>
      <c r="RRA3" t="s">
        <v>13023</v>
      </c>
      <c r="RRB3" t="s">
        <v>13024</v>
      </c>
      <c r="RRC3" t="s">
        <v>13025</v>
      </c>
      <c r="RRD3" t="s">
        <v>13026</v>
      </c>
      <c r="RRE3" t="s">
        <v>13027</v>
      </c>
      <c r="RRF3" t="s">
        <v>13028</v>
      </c>
      <c r="RRG3" t="s">
        <v>13029</v>
      </c>
      <c r="RRH3" t="s">
        <v>13030</v>
      </c>
      <c r="RRI3" t="s">
        <v>13031</v>
      </c>
      <c r="RRJ3" t="s">
        <v>13032</v>
      </c>
      <c r="RRK3" t="s">
        <v>13033</v>
      </c>
      <c r="RRL3" t="s">
        <v>13034</v>
      </c>
      <c r="RRM3" t="s">
        <v>13035</v>
      </c>
      <c r="RRN3" t="s">
        <v>13036</v>
      </c>
      <c r="RRO3" t="s">
        <v>13037</v>
      </c>
      <c r="RRP3" t="s">
        <v>13038</v>
      </c>
      <c r="RRQ3" t="s">
        <v>13039</v>
      </c>
      <c r="RRR3" t="s">
        <v>13040</v>
      </c>
      <c r="RRS3" t="s">
        <v>13041</v>
      </c>
      <c r="RRT3" t="s">
        <v>13042</v>
      </c>
      <c r="RRU3" t="s">
        <v>13043</v>
      </c>
      <c r="RRV3" t="s">
        <v>13044</v>
      </c>
      <c r="RRW3" t="s">
        <v>13045</v>
      </c>
      <c r="RRX3" t="s">
        <v>13046</v>
      </c>
      <c r="RRY3" t="s">
        <v>13047</v>
      </c>
      <c r="RRZ3" t="s">
        <v>13048</v>
      </c>
      <c r="RSA3" t="s">
        <v>13049</v>
      </c>
      <c r="RSB3" t="s">
        <v>13050</v>
      </c>
      <c r="RSC3" t="s">
        <v>13051</v>
      </c>
      <c r="RSD3" t="s">
        <v>13052</v>
      </c>
      <c r="RSE3" t="s">
        <v>13053</v>
      </c>
      <c r="RSF3" t="s">
        <v>13054</v>
      </c>
      <c r="RSG3" t="s">
        <v>13055</v>
      </c>
      <c r="RSH3" t="s">
        <v>13056</v>
      </c>
      <c r="RSI3" t="s">
        <v>13057</v>
      </c>
      <c r="RSJ3" t="s">
        <v>13058</v>
      </c>
      <c r="RSK3" t="s">
        <v>13059</v>
      </c>
      <c r="RSL3" t="s">
        <v>13060</v>
      </c>
      <c r="RSM3" t="s">
        <v>13061</v>
      </c>
      <c r="RSN3" t="s">
        <v>13062</v>
      </c>
      <c r="RSO3" t="s">
        <v>13063</v>
      </c>
      <c r="RSP3" t="s">
        <v>13064</v>
      </c>
      <c r="RSQ3" t="s">
        <v>13065</v>
      </c>
      <c r="RSR3" t="s">
        <v>13066</v>
      </c>
      <c r="RSS3" t="s">
        <v>13067</v>
      </c>
      <c r="RST3" t="s">
        <v>13068</v>
      </c>
      <c r="RSU3" t="s">
        <v>13069</v>
      </c>
      <c r="RSV3" t="s">
        <v>13070</v>
      </c>
      <c r="RSW3" t="s">
        <v>13071</v>
      </c>
      <c r="RSX3" t="s">
        <v>13072</v>
      </c>
      <c r="RSY3" t="s">
        <v>13073</v>
      </c>
      <c r="RSZ3" t="s">
        <v>13074</v>
      </c>
      <c r="RTA3" t="s">
        <v>13075</v>
      </c>
      <c r="RTB3" t="s">
        <v>13076</v>
      </c>
      <c r="RTC3" t="s">
        <v>13077</v>
      </c>
      <c r="RTD3" t="s">
        <v>13078</v>
      </c>
      <c r="RTE3" t="s">
        <v>13079</v>
      </c>
      <c r="RTF3" t="s">
        <v>13080</v>
      </c>
      <c r="RTG3" t="s">
        <v>13081</v>
      </c>
      <c r="RTH3" t="s">
        <v>13082</v>
      </c>
      <c r="RTI3" t="s">
        <v>13083</v>
      </c>
      <c r="RTJ3" t="s">
        <v>13084</v>
      </c>
      <c r="RTK3" t="s">
        <v>13085</v>
      </c>
      <c r="RTL3" t="s">
        <v>13086</v>
      </c>
      <c r="RTM3" t="s">
        <v>13087</v>
      </c>
      <c r="RTN3" t="s">
        <v>13088</v>
      </c>
      <c r="RTO3" t="s">
        <v>13089</v>
      </c>
      <c r="RTP3" t="s">
        <v>13090</v>
      </c>
      <c r="RTQ3" t="s">
        <v>13091</v>
      </c>
      <c r="RTR3" t="s">
        <v>13092</v>
      </c>
      <c r="RTS3" t="s">
        <v>13093</v>
      </c>
      <c r="RTT3" t="s">
        <v>13094</v>
      </c>
      <c r="RTU3" t="s">
        <v>13095</v>
      </c>
      <c r="RTV3" t="s">
        <v>13096</v>
      </c>
      <c r="RTW3" t="s">
        <v>13097</v>
      </c>
      <c r="RTX3" t="s">
        <v>13098</v>
      </c>
      <c r="RTY3" t="s">
        <v>13099</v>
      </c>
      <c r="RTZ3" t="s">
        <v>13100</v>
      </c>
      <c r="RUA3" t="s">
        <v>13101</v>
      </c>
      <c r="RUB3" t="s">
        <v>13102</v>
      </c>
      <c r="RUC3" t="s">
        <v>13103</v>
      </c>
      <c r="RUD3" t="s">
        <v>13104</v>
      </c>
      <c r="RUE3" t="s">
        <v>13105</v>
      </c>
      <c r="RUF3" t="s">
        <v>13106</v>
      </c>
      <c r="RUG3" t="s">
        <v>13107</v>
      </c>
      <c r="RUH3" t="s">
        <v>13108</v>
      </c>
      <c r="RUI3" t="s">
        <v>13109</v>
      </c>
      <c r="RUJ3" t="s">
        <v>13110</v>
      </c>
      <c r="RUK3" t="s">
        <v>13111</v>
      </c>
      <c r="RUL3" t="s">
        <v>13112</v>
      </c>
      <c r="RUM3" t="s">
        <v>13113</v>
      </c>
      <c r="RUN3" t="s">
        <v>13114</v>
      </c>
      <c r="RUO3" t="s">
        <v>13115</v>
      </c>
      <c r="RUP3" t="s">
        <v>13116</v>
      </c>
      <c r="RUQ3" t="s">
        <v>13117</v>
      </c>
      <c r="RUR3" t="s">
        <v>13118</v>
      </c>
      <c r="RUS3" t="s">
        <v>13119</v>
      </c>
      <c r="RUT3" t="s">
        <v>13120</v>
      </c>
      <c r="RUU3" t="s">
        <v>13121</v>
      </c>
      <c r="RUV3" t="s">
        <v>13122</v>
      </c>
      <c r="RUW3" t="s">
        <v>13123</v>
      </c>
      <c r="RUX3" t="s">
        <v>13124</v>
      </c>
      <c r="RUY3" t="s">
        <v>13125</v>
      </c>
      <c r="RUZ3" t="s">
        <v>13126</v>
      </c>
      <c r="RVA3" t="s">
        <v>13127</v>
      </c>
      <c r="RVB3" t="s">
        <v>13128</v>
      </c>
      <c r="RVC3" t="s">
        <v>13129</v>
      </c>
      <c r="RVD3" t="s">
        <v>13130</v>
      </c>
      <c r="RVE3" t="s">
        <v>13131</v>
      </c>
      <c r="RVF3" t="s">
        <v>13132</v>
      </c>
      <c r="RVG3" t="s">
        <v>13133</v>
      </c>
      <c r="RVH3" t="s">
        <v>13134</v>
      </c>
      <c r="RVI3" t="s">
        <v>13135</v>
      </c>
      <c r="RVJ3" t="s">
        <v>13136</v>
      </c>
      <c r="RVK3" t="s">
        <v>13137</v>
      </c>
      <c r="RVL3" t="s">
        <v>13138</v>
      </c>
      <c r="RVM3" t="s">
        <v>13139</v>
      </c>
      <c r="RVN3" t="s">
        <v>13140</v>
      </c>
      <c r="RVO3" t="s">
        <v>13141</v>
      </c>
      <c r="RVP3" t="s">
        <v>13142</v>
      </c>
      <c r="RVQ3" t="s">
        <v>13143</v>
      </c>
      <c r="RVR3" t="s">
        <v>13144</v>
      </c>
      <c r="RVS3" t="s">
        <v>13145</v>
      </c>
      <c r="RVT3" t="s">
        <v>13146</v>
      </c>
      <c r="RVU3" t="s">
        <v>13147</v>
      </c>
      <c r="RVV3" t="s">
        <v>13148</v>
      </c>
      <c r="RVW3" t="s">
        <v>13149</v>
      </c>
      <c r="RVX3" t="s">
        <v>13150</v>
      </c>
      <c r="RVY3" t="s">
        <v>13151</v>
      </c>
      <c r="RVZ3" t="s">
        <v>13152</v>
      </c>
      <c r="RWA3" t="s">
        <v>13153</v>
      </c>
      <c r="RWB3" t="s">
        <v>13154</v>
      </c>
      <c r="RWC3" t="s">
        <v>13155</v>
      </c>
      <c r="RWD3" t="s">
        <v>13156</v>
      </c>
      <c r="RWE3" t="s">
        <v>13157</v>
      </c>
      <c r="RWF3" t="s">
        <v>13158</v>
      </c>
      <c r="RWG3" t="s">
        <v>13159</v>
      </c>
      <c r="RWH3" t="s">
        <v>13160</v>
      </c>
      <c r="RWI3" t="s">
        <v>13161</v>
      </c>
      <c r="RWJ3" t="s">
        <v>13162</v>
      </c>
      <c r="RWK3" t="s">
        <v>13163</v>
      </c>
      <c r="RWL3" t="s">
        <v>13164</v>
      </c>
      <c r="RWM3" t="s">
        <v>13165</v>
      </c>
      <c r="RWN3" t="s">
        <v>13166</v>
      </c>
      <c r="RWO3" t="s">
        <v>13167</v>
      </c>
      <c r="RWP3" t="s">
        <v>13168</v>
      </c>
      <c r="RWQ3" t="s">
        <v>13169</v>
      </c>
      <c r="RWR3" t="s">
        <v>13170</v>
      </c>
      <c r="RWS3" t="s">
        <v>13171</v>
      </c>
      <c r="RWT3" t="s">
        <v>13172</v>
      </c>
      <c r="RWU3" t="s">
        <v>13173</v>
      </c>
      <c r="RWV3" t="s">
        <v>13174</v>
      </c>
      <c r="RWW3" t="s">
        <v>13175</v>
      </c>
      <c r="RWX3" t="s">
        <v>13176</v>
      </c>
      <c r="RWY3" t="s">
        <v>13177</v>
      </c>
      <c r="RWZ3" t="s">
        <v>13178</v>
      </c>
      <c r="RXA3" t="s">
        <v>13179</v>
      </c>
      <c r="RXB3" t="s">
        <v>13180</v>
      </c>
      <c r="RXC3" t="s">
        <v>13181</v>
      </c>
      <c r="RXD3" t="s">
        <v>13182</v>
      </c>
      <c r="RXE3" t="s">
        <v>13183</v>
      </c>
      <c r="RXF3" t="s">
        <v>13184</v>
      </c>
      <c r="RXG3" t="s">
        <v>13185</v>
      </c>
      <c r="RXH3" t="s">
        <v>13186</v>
      </c>
      <c r="RXI3" t="s">
        <v>13187</v>
      </c>
      <c r="RXJ3" t="s">
        <v>13188</v>
      </c>
      <c r="RXK3" t="s">
        <v>13189</v>
      </c>
      <c r="RXL3" t="s">
        <v>13190</v>
      </c>
      <c r="RXM3" t="s">
        <v>13191</v>
      </c>
      <c r="RXN3" t="s">
        <v>13192</v>
      </c>
      <c r="RXO3" t="s">
        <v>13193</v>
      </c>
      <c r="RXP3" t="s">
        <v>13194</v>
      </c>
      <c r="RXQ3" t="s">
        <v>13195</v>
      </c>
      <c r="RXR3" t="s">
        <v>13196</v>
      </c>
      <c r="RXS3" t="s">
        <v>13197</v>
      </c>
      <c r="RXT3" t="s">
        <v>13198</v>
      </c>
      <c r="RXU3" t="s">
        <v>13199</v>
      </c>
      <c r="RXV3" t="s">
        <v>13200</v>
      </c>
      <c r="RXW3" t="s">
        <v>13201</v>
      </c>
      <c r="RXX3" t="s">
        <v>13202</v>
      </c>
      <c r="RXY3" t="s">
        <v>13203</v>
      </c>
      <c r="RXZ3" t="s">
        <v>13204</v>
      </c>
      <c r="RYA3" t="s">
        <v>13205</v>
      </c>
      <c r="RYB3" t="s">
        <v>13206</v>
      </c>
      <c r="RYC3" t="s">
        <v>13207</v>
      </c>
      <c r="RYD3" t="s">
        <v>13208</v>
      </c>
      <c r="RYE3" t="s">
        <v>13209</v>
      </c>
      <c r="RYF3" t="s">
        <v>13210</v>
      </c>
      <c r="RYG3" t="s">
        <v>13211</v>
      </c>
      <c r="RYH3" t="s">
        <v>13212</v>
      </c>
      <c r="RYI3" t="s">
        <v>13213</v>
      </c>
      <c r="RYJ3" t="s">
        <v>13214</v>
      </c>
      <c r="RYK3" t="s">
        <v>13215</v>
      </c>
      <c r="RYL3" t="s">
        <v>13216</v>
      </c>
      <c r="RYM3" t="s">
        <v>13217</v>
      </c>
      <c r="RYN3" t="s">
        <v>13218</v>
      </c>
      <c r="RYO3" t="s">
        <v>13219</v>
      </c>
      <c r="RYP3" t="s">
        <v>13220</v>
      </c>
      <c r="RYQ3" t="s">
        <v>13221</v>
      </c>
      <c r="RYR3" t="s">
        <v>13222</v>
      </c>
      <c r="RYS3" t="s">
        <v>13223</v>
      </c>
      <c r="RYT3" t="s">
        <v>13224</v>
      </c>
      <c r="RYU3" t="s">
        <v>13225</v>
      </c>
      <c r="RYV3" t="s">
        <v>13226</v>
      </c>
      <c r="RYW3" t="s">
        <v>13227</v>
      </c>
      <c r="RYX3" t="s">
        <v>13228</v>
      </c>
      <c r="RYY3" t="s">
        <v>13229</v>
      </c>
      <c r="RYZ3" t="s">
        <v>13230</v>
      </c>
      <c r="RZA3" t="s">
        <v>13231</v>
      </c>
      <c r="RZB3" t="s">
        <v>13232</v>
      </c>
      <c r="RZC3" t="s">
        <v>13233</v>
      </c>
      <c r="RZD3" t="s">
        <v>13234</v>
      </c>
      <c r="RZE3" t="s">
        <v>13235</v>
      </c>
      <c r="RZF3" t="s">
        <v>13236</v>
      </c>
      <c r="RZG3" t="s">
        <v>13237</v>
      </c>
      <c r="RZH3" t="s">
        <v>13238</v>
      </c>
      <c r="RZI3" t="s">
        <v>13239</v>
      </c>
      <c r="RZJ3" t="s">
        <v>13240</v>
      </c>
      <c r="RZK3" t="s">
        <v>13241</v>
      </c>
      <c r="RZL3" t="s">
        <v>13242</v>
      </c>
      <c r="RZM3" t="s">
        <v>13243</v>
      </c>
      <c r="RZN3" t="s">
        <v>13244</v>
      </c>
      <c r="RZO3" t="s">
        <v>13245</v>
      </c>
      <c r="RZP3" t="s">
        <v>13246</v>
      </c>
      <c r="RZQ3" t="s">
        <v>13247</v>
      </c>
      <c r="RZR3" t="s">
        <v>13248</v>
      </c>
      <c r="RZS3" t="s">
        <v>13249</v>
      </c>
      <c r="RZT3" t="s">
        <v>13250</v>
      </c>
      <c r="RZU3" t="s">
        <v>13251</v>
      </c>
      <c r="RZV3" t="s">
        <v>13252</v>
      </c>
      <c r="RZW3" t="s">
        <v>13253</v>
      </c>
      <c r="RZX3" t="s">
        <v>13254</v>
      </c>
      <c r="RZY3" t="s">
        <v>13255</v>
      </c>
      <c r="RZZ3" t="s">
        <v>13256</v>
      </c>
      <c r="SAA3" t="s">
        <v>13257</v>
      </c>
      <c r="SAB3" t="s">
        <v>13258</v>
      </c>
      <c r="SAC3" t="s">
        <v>13259</v>
      </c>
      <c r="SAD3" t="s">
        <v>13260</v>
      </c>
      <c r="SAE3" t="s">
        <v>13261</v>
      </c>
      <c r="SAF3" t="s">
        <v>13262</v>
      </c>
      <c r="SAG3" t="s">
        <v>13263</v>
      </c>
      <c r="SAH3" t="s">
        <v>13264</v>
      </c>
      <c r="SAI3" t="s">
        <v>13265</v>
      </c>
      <c r="SAJ3" t="s">
        <v>13266</v>
      </c>
      <c r="SAK3" t="s">
        <v>13267</v>
      </c>
      <c r="SAL3" t="s">
        <v>13268</v>
      </c>
      <c r="SAM3" t="s">
        <v>13269</v>
      </c>
      <c r="SAN3" t="s">
        <v>13270</v>
      </c>
      <c r="SAO3" t="s">
        <v>13271</v>
      </c>
      <c r="SAP3" t="s">
        <v>13272</v>
      </c>
      <c r="SAQ3" t="s">
        <v>13273</v>
      </c>
      <c r="SAR3" t="s">
        <v>13274</v>
      </c>
      <c r="SAS3" t="s">
        <v>13275</v>
      </c>
      <c r="SAT3" t="s">
        <v>13276</v>
      </c>
      <c r="SAU3" t="s">
        <v>13277</v>
      </c>
      <c r="SAV3" t="s">
        <v>13278</v>
      </c>
      <c r="SAW3" t="s">
        <v>13279</v>
      </c>
      <c r="SAX3" t="s">
        <v>13280</v>
      </c>
      <c r="SAY3" t="s">
        <v>13281</v>
      </c>
      <c r="SAZ3" t="s">
        <v>13282</v>
      </c>
      <c r="SBA3" t="s">
        <v>13283</v>
      </c>
      <c r="SBB3" t="s">
        <v>13284</v>
      </c>
      <c r="SBC3" t="s">
        <v>13285</v>
      </c>
      <c r="SBD3" t="s">
        <v>13286</v>
      </c>
      <c r="SBE3" t="s">
        <v>13287</v>
      </c>
      <c r="SBF3" t="s">
        <v>13288</v>
      </c>
      <c r="SBG3" t="s">
        <v>13289</v>
      </c>
      <c r="SBH3" t="s">
        <v>13290</v>
      </c>
      <c r="SBI3" t="s">
        <v>13291</v>
      </c>
      <c r="SBJ3" t="s">
        <v>13292</v>
      </c>
      <c r="SBK3" t="s">
        <v>13293</v>
      </c>
      <c r="SBL3" t="s">
        <v>13294</v>
      </c>
      <c r="SBM3" t="s">
        <v>13295</v>
      </c>
      <c r="SBN3" t="s">
        <v>13296</v>
      </c>
      <c r="SBO3" t="s">
        <v>13297</v>
      </c>
      <c r="SBP3" t="s">
        <v>13298</v>
      </c>
      <c r="SBQ3" t="s">
        <v>13299</v>
      </c>
      <c r="SBR3" t="s">
        <v>13300</v>
      </c>
      <c r="SBS3" t="s">
        <v>13301</v>
      </c>
      <c r="SBT3" t="s">
        <v>13302</v>
      </c>
      <c r="SBU3" t="s">
        <v>13303</v>
      </c>
      <c r="SBV3" t="s">
        <v>13304</v>
      </c>
      <c r="SBW3" t="s">
        <v>13305</v>
      </c>
      <c r="SBX3" t="s">
        <v>13306</v>
      </c>
      <c r="SBY3" t="s">
        <v>13307</v>
      </c>
      <c r="SBZ3" t="s">
        <v>13308</v>
      </c>
      <c r="SCA3" t="s">
        <v>13309</v>
      </c>
      <c r="SCB3" t="s">
        <v>13310</v>
      </c>
      <c r="SCC3" t="s">
        <v>13311</v>
      </c>
      <c r="SCD3" t="s">
        <v>13312</v>
      </c>
      <c r="SCE3" t="s">
        <v>13313</v>
      </c>
      <c r="SCF3" t="s">
        <v>13314</v>
      </c>
      <c r="SCG3" t="s">
        <v>13315</v>
      </c>
      <c r="SCH3" t="s">
        <v>13316</v>
      </c>
      <c r="SCI3" t="s">
        <v>13317</v>
      </c>
      <c r="SCJ3" t="s">
        <v>13318</v>
      </c>
      <c r="SCK3" t="s">
        <v>13319</v>
      </c>
      <c r="SCL3" t="s">
        <v>13320</v>
      </c>
      <c r="SCM3" t="s">
        <v>13321</v>
      </c>
      <c r="SCN3" t="s">
        <v>13322</v>
      </c>
      <c r="SCO3" t="s">
        <v>13323</v>
      </c>
      <c r="SCP3" t="s">
        <v>13324</v>
      </c>
      <c r="SCQ3" t="s">
        <v>13325</v>
      </c>
      <c r="SCR3" t="s">
        <v>13326</v>
      </c>
      <c r="SCS3" t="s">
        <v>13327</v>
      </c>
      <c r="SCT3" t="s">
        <v>13328</v>
      </c>
      <c r="SCU3" t="s">
        <v>13329</v>
      </c>
      <c r="SCV3" t="s">
        <v>13330</v>
      </c>
      <c r="SCW3" t="s">
        <v>13331</v>
      </c>
      <c r="SCX3" t="s">
        <v>13332</v>
      </c>
      <c r="SCY3" t="s">
        <v>13333</v>
      </c>
      <c r="SCZ3" t="s">
        <v>13334</v>
      </c>
      <c r="SDA3" t="s">
        <v>13335</v>
      </c>
      <c r="SDB3" t="s">
        <v>13336</v>
      </c>
      <c r="SDC3" t="s">
        <v>13337</v>
      </c>
      <c r="SDD3" t="s">
        <v>13338</v>
      </c>
      <c r="SDE3" t="s">
        <v>13339</v>
      </c>
      <c r="SDF3" t="s">
        <v>13340</v>
      </c>
      <c r="SDG3" t="s">
        <v>13341</v>
      </c>
      <c r="SDH3" t="s">
        <v>13342</v>
      </c>
      <c r="SDI3" t="s">
        <v>13343</v>
      </c>
      <c r="SDJ3" t="s">
        <v>13344</v>
      </c>
      <c r="SDK3" t="s">
        <v>13345</v>
      </c>
      <c r="SDL3" t="s">
        <v>13346</v>
      </c>
      <c r="SDM3" t="s">
        <v>13347</v>
      </c>
      <c r="SDN3" t="s">
        <v>13348</v>
      </c>
      <c r="SDO3" t="s">
        <v>13349</v>
      </c>
      <c r="SDP3" t="s">
        <v>13350</v>
      </c>
      <c r="SDQ3" t="s">
        <v>13351</v>
      </c>
      <c r="SDR3" t="s">
        <v>13352</v>
      </c>
      <c r="SDS3" t="s">
        <v>13353</v>
      </c>
      <c r="SDT3" t="s">
        <v>13354</v>
      </c>
      <c r="SDU3" t="s">
        <v>13355</v>
      </c>
      <c r="SDV3" t="s">
        <v>13356</v>
      </c>
      <c r="SDW3" t="s">
        <v>13357</v>
      </c>
      <c r="SDX3" t="s">
        <v>13358</v>
      </c>
      <c r="SDY3" t="s">
        <v>13359</v>
      </c>
      <c r="SDZ3" t="s">
        <v>13360</v>
      </c>
      <c r="SEA3" t="s">
        <v>13361</v>
      </c>
      <c r="SEB3" t="s">
        <v>13362</v>
      </c>
      <c r="SEC3" t="s">
        <v>13363</v>
      </c>
      <c r="SED3" t="s">
        <v>13364</v>
      </c>
      <c r="SEE3" t="s">
        <v>13365</v>
      </c>
      <c r="SEF3" t="s">
        <v>13366</v>
      </c>
      <c r="SEG3" t="s">
        <v>13367</v>
      </c>
      <c r="SEH3" t="s">
        <v>13368</v>
      </c>
      <c r="SEI3" t="s">
        <v>13369</v>
      </c>
      <c r="SEJ3" t="s">
        <v>13370</v>
      </c>
      <c r="SEK3" t="s">
        <v>13371</v>
      </c>
      <c r="SEL3" t="s">
        <v>13372</v>
      </c>
      <c r="SEM3" t="s">
        <v>13373</v>
      </c>
      <c r="SEN3" t="s">
        <v>13374</v>
      </c>
      <c r="SEO3" t="s">
        <v>13375</v>
      </c>
      <c r="SEP3" t="s">
        <v>13376</v>
      </c>
      <c r="SEQ3" t="s">
        <v>13377</v>
      </c>
      <c r="SER3" t="s">
        <v>13378</v>
      </c>
      <c r="SES3" t="s">
        <v>13379</v>
      </c>
      <c r="SET3" t="s">
        <v>13380</v>
      </c>
      <c r="SEU3" t="s">
        <v>13381</v>
      </c>
      <c r="SEV3" t="s">
        <v>13382</v>
      </c>
      <c r="SEW3" t="s">
        <v>13383</v>
      </c>
      <c r="SEX3" t="s">
        <v>13384</v>
      </c>
      <c r="SEY3" t="s">
        <v>13385</v>
      </c>
      <c r="SEZ3" t="s">
        <v>13386</v>
      </c>
      <c r="SFA3" t="s">
        <v>13387</v>
      </c>
      <c r="SFB3" t="s">
        <v>13388</v>
      </c>
      <c r="SFC3" t="s">
        <v>13389</v>
      </c>
      <c r="SFD3" t="s">
        <v>13390</v>
      </c>
      <c r="SFE3" t="s">
        <v>13391</v>
      </c>
      <c r="SFF3" t="s">
        <v>13392</v>
      </c>
      <c r="SFG3" t="s">
        <v>13393</v>
      </c>
      <c r="SFH3" t="s">
        <v>13394</v>
      </c>
      <c r="SFI3" t="s">
        <v>13395</v>
      </c>
      <c r="SFJ3" t="s">
        <v>13396</v>
      </c>
      <c r="SFK3" t="s">
        <v>13397</v>
      </c>
      <c r="SFL3" t="s">
        <v>13398</v>
      </c>
      <c r="SFM3" t="s">
        <v>13399</v>
      </c>
      <c r="SFN3" t="s">
        <v>13400</v>
      </c>
      <c r="SFO3" t="s">
        <v>13401</v>
      </c>
      <c r="SFP3" t="s">
        <v>13402</v>
      </c>
      <c r="SFQ3" t="s">
        <v>13403</v>
      </c>
      <c r="SFR3" t="s">
        <v>13404</v>
      </c>
      <c r="SFS3" t="s">
        <v>13405</v>
      </c>
      <c r="SFT3" t="s">
        <v>13406</v>
      </c>
      <c r="SFU3" t="s">
        <v>13407</v>
      </c>
      <c r="SFV3" t="s">
        <v>13408</v>
      </c>
      <c r="SFW3" t="s">
        <v>13409</v>
      </c>
      <c r="SFX3" t="s">
        <v>13410</v>
      </c>
      <c r="SFY3" t="s">
        <v>13411</v>
      </c>
      <c r="SFZ3" t="s">
        <v>13412</v>
      </c>
      <c r="SGA3" t="s">
        <v>13413</v>
      </c>
      <c r="SGB3" t="s">
        <v>13414</v>
      </c>
      <c r="SGC3" t="s">
        <v>13415</v>
      </c>
      <c r="SGD3" t="s">
        <v>13416</v>
      </c>
      <c r="SGE3" t="s">
        <v>13417</v>
      </c>
      <c r="SGF3" t="s">
        <v>13418</v>
      </c>
      <c r="SGG3" t="s">
        <v>13419</v>
      </c>
      <c r="SGH3" t="s">
        <v>13420</v>
      </c>
      <c r="SGI3" t="s">
        <v>13421</v>
      </c>
      <c r="SGJ3" t="s">
        <v>13422</v>
      </c>
      <c r="SGK3" t="s">
        <v>13423</v>
      </c>
      <c r="SGL3" t="s">
        <v>13424</v>
      </c>
      <c r="SGM3" t="s">
        <v>13425</v>
      </c>
      <c r="SGN3" t="s">
        <v>13426</v>
      </c>
      <c r="SGO3" t="s">
        <v>13427</v>
      </c>
      <c r="SGP3" t="s">
        <v>13428</v>
      </c>
      <c r="SGQ3" t="s">
        <v>13429</v>
      </c>
      <c r="SGR3" t="s">
        <v>13430</v>
      </c>
      <c r="SGS3" t="s">
        <v>13431</v>
      </c>
      <c r="SGT3" t="s">
        <v>13432</v>
      </c>
      <c r="SGU3" t="s">
        <v>13433</v>
      </c>
      <c r="SGV3" t="s">
        <v>13434</v>
      </c>
      <c r="SGW3" t="s">
        <v>13435</v>
      </c>
      <c r="SGX3" t="s">
        <v>13436</v>
      </c>
      <c r="SGY3" t="s">
        <v>13437</v>
      </c>
      <c r="SGZ3" t="s">
        <v>13438</v>
      </c>
      <c r="SHA3" t="s">
        <v>13439</v>
      </c>
      <c r="SHB3" t="s">
        <v>13440</v>
      </c>
      <c r="SHC3" t="s">
        <v>13441</v>
      </c>
      <c r="SHD3" t="s">
        <v>13442</v>
      </c>
      <c r="SHE3" t="s">
        <v>13443</v>
      </c>
      <c r="SHF3" t="s">
        <v>13444</v>
      </c>
      <c r="SHG3" t="s">
        <v>13445</v>
      </c>
      <c r="SHH3" t="s">
        <v>13446</v>
      </c>
      <c r="SHI3" t="s">
        <v>13447</v>
      </c>
      <c r="SHJ3" t="s">
        <v>13448</v>
      </c>
      <c r="SHK3" t="s">
        <v>13449</v>
      </c>
      <c r="SHL3" t="s">
        <v>13450</v>
      </c>
      <c r="SHM3" t="s">
        <v>13451</v>
      </c>
      <c r="SHN3" t="s">
        <v>13452</v>
      </c>
      <c r="SHO3" t="s">
        <v>13453</v>
      </c>
      <c r="SHP3" t="s">
        <v>13454</v>
      </c>
      <c r="SHQ3" t="s">
        <v>13455</v>
      </c>
      <c r="SHR3" t="s">
        <v>13456</v>
      </c>
      <c r="SHS3" t="s">
        <v>13457</v>
      </c>
      <c r="SHT3" t="s">
        <v>13458</v>
      </c>
      <c r="SHU3" t="s">
        <v>13459</v>
      </c>
      <c r="SHV3" t="s">
        <v>13460</v>
      </c>
      <c r="SHW3" t="s">
        <v>13461</v>
      </c>
      <c r="SHX3" t="s">
        <v>13462</v>
      </c>
      <c r="SHY3" t="s">
        <v>13463</v>
      </c>
      <c r="SHZ3" t="s">
        <v>13464</v>
      </c>
      <c r="SIA3" t="s">
        <v>13465</v>
      </c>
      <c r="SIB3" t="s">
        <v>13466</v>
      </c>
      <c r="SIC3" t="s">
        <v>13467</v>
      </c>
      <c r="SID3" t="s">
        <v>13468</v>
      </c>
      <c r="SIE3" t="s">
        <v>13469</v>
      </c>
      <c r="SIF3" t="s">
        <v>13470</v>
      </c>
      <c r="SIG3" t="s">
        <v>13471</v>
      </c>
      <c r="SIH3" t="s">
        <v>13472</v>
      </c>
      <c r="SII3" t="s">
        <v>13473</v>
      </c>
      <c r="SIJ3" t="s">
        <v>13474</v>
      </c>
      <c r="SIK3" t="s">
        <v>13475</v>
      </c>
      <c r="SIL3" t="s">
        <v>13476</v>
      </c>
      <c r="SIM3" t="s">
        <v>13477</v>
      </c>
      <c r="SIN3" t="s">
        <v>13478</v>
      </c>
      <c r="SIO3" t="s">
        <v>13479</v>
      </c>
      <c r="SIP3" t="s">
        <v>13480</v>
      </c>
      <c r="SIQ3" t="s">
        <v>13481</v>
      </c>
      <c r="SIR3" t="s">
        <v>13482</v>
      </c>
      <c r="SIS3" t="s">
        <v>13483</v>
      </c>
      <c r="SIT3" t="s">
        <v>13484</v>
      </c>
      <c r="SIU3" t="s">
        <v>13485</v>
      </c>
      <c r="SIV3" t="s">
        <v>13486</v>
      </c>
      <c r="SIW3" t="s">
        <v>13487</v>
      </c>
      <c r="SIX3" t="s">
        <v>13488</v>
      </c>
      <c r="SIY3" t="s">
        <v>13489</v>
      </c>
      <c r="SIZ3" t="s">
        <v>13490</v>
      </c>
      <c r="SJA3" t="s">
        <v>13491</v>
      </c>
      <c r="SJB3" t="s">
        <v>13492</v>
      </c>
      <c r="SJC3" t="s">
        <v>13493</v>
      </c>
      <c r="SJD3" t="s">
        <v>13494</v>
      </c>
      <c r="SJE3" t="s">
        <v>13495</v>
      </c>
      <c r="SJF3" t="s">
        <v>13496</v>
      </c>
      <c r="SJG3" t="s">
        <v>13497</v>
      </c>
      <c r="SJH3" t="s">
        <v>13498</v>
      </c>
      <c r="SJI3" t="s">
        <v>13499</v>
      </c>
      <c r="SJJ3" t="s">
        <v>13500</v>
      </c>
      <c r="SJK3" t="s">
        <v>13501</v>
      </c>
      <c r="SJL3" t="s">
        <v>13502</v>
      </c>
      <c r="SJM3" t="s">
        <v>13503</v>
      </c>
      <c r="SJN3" t="s">
        <v>13504</v>
      </c>
      <c r="SJO3" t="s">
        <v>13505</v>
      </c>
      <c r="SJP3" t="s">
        <v>13506</v>
      </c>
      <c r="SJQ3" t="s">
        <v>13507</v>
      </c>
      <c r="SJR3" t="s">
        <v>13508</v>
      </c>
      <c r="SJS3" t="s">
        <v>13509</v>
      </c>
      <c r="SJT3" t="s">
        <v>13510</v>
      </c>
      <c r="SJU3" t="s">
        <v>13511</v>
      </c>
      <c r="SJV3" t="s">
        <v>13512</v>
      </c>
      <c r="SJW3" t="s">
        <v>13513</v>
      </c>
      <c r="SJX3" t="s">
        <v>13514</v>
      </c>
      <c r="SJY3" t="s">
        <v>13515</v>
      </c>
      <c r="SJZ3" t="s">
        <v>13516</v>
      </c>
      <c r="SKA3" t="s">
        <v>13517</v>
      </c>
      <c r="SKB3" t="s">
        <v>13518</v>
      </c>
      <c r="SKC3" t="s">
        <v>13519</v>
      </c>
      <c r="SKD3" t="s">
        <v>13520</v>
      </c>
      <c r="SKE3" t="s">
        <v>13521</v>
      </c>
      <c r="SKF3" t="s">
        <v>13522</v>
      </c>
      <c r="SKG3" t="s">
        <v>13523</v>
      </c>
      <c r="SKH3" t="s">
        <v>13524</v>
      </c>
      <c r="SKI3" t="s">
        <v>13525</v>
      </c>
      <c r="SKJ3" t="s">
        <v>13526</v>
      </c>
      <c r="SKK3" t="s">
        <v>13527</v>
      </c>
      <c r="SKL3" t="s">
        <v>13528</v>
      </c>
      <c r="SKM3" t="s">
        <v>13529</v>
      </c>
      <c r="SKN3" t="s">
        <v>13530</v>
      </c>
      <c r="SKO3" t="s">
        <v>13531</v>
      </c>
      <c r="SKP3" t="s">
        <v>13532</v>
      </c>
      <c r="SKQ3" t="s">
        <v>13533</v>
      </c>
      <c r="SKR3" t="s">
        <v>13534</v>
      </c>
      <c r="SKS3" t="s">
        <v>13535</v>
      </c>
      <c r="SKT3" t="s">
        <v>13536</v>
      </c>
      <c r="SKU3" t="s">
        <v>13537</v>
      </c>
      <c r="SKV3" t="s">
        <v>13538</v>
      </c>
      <c r="SKW3" t="s">
        <v>13539</v>
      </c>
      <c r="SKX3" t="s">
        <v>13540</v>
      </c>
      <c r="SKY3" t="s">
        <v>13541</v>
      </c>
      <c r="SKZ3" t="s">
        <v>13542</v>
      </c>
      <c r="SLA3" t="s">
        <v>13543</v>
      </c>
      <c r="SLB3" t="s">
        <v>13544</v>
      </c>
      <c r="SLC3" t="s">
        <v>13545</v>
      </c>
      <c r="SLD3" t="s">
        <v>13546</v>
      </c>
      <c r="SLE3" t="s">
        <v>13547</v>
      </c>
      <c r="SLF3" t="s">
        <v>13548</v>
      </c>
      <c r="SLG3" t="s">
        <v>13549</v>
      </c>
      <c r="SLH3" t="s">
        <v>13550</v>
      </c>
      <c r="SLI3" t="s">
        <v>13551</v>
      </c>
      <c r="SLJ3" t="s">
        <v>13552</v>
      </c>
      <c r="SLK3" t="s">
        <v>13553</v>
      </c>
      <c r="SLL3" t="s">
        <v>13554</v>
      </c>
      <c r="SLM3" t="s">
        <v>13555</v>
      </c>
      <c r="SLN3" t="s">
        <v>13556</v>
      </c>
      <c r="SLO3" t="s">
        <v>13557</v>
      </c>
      <c r="SLP3" t="s">
        <v>13558</v>
      </c>
      <c r="SLQ3" t="s">
        <v>13559</v>
      </c>
      <c r="SLR3" t="s">
        <v>13560</v>
      </c>
      <c r="SLS3" t="s">
        <v>13561</v>
      </c>
      <c r="SLT3" t="s">
        <v>13562</v>
      </c>
      <c r="SLU3" t="s">
        <v>13563</v>
      </c>
      <c r="SLV3" t="s">
        <v>13564</v>
      </c>
      <c r="SLW3" t="s">
        <v>13565</v>
      </c>
      <c r="SLX3" t="s">
        <v>13566</v>
      </c>
      <c r="SLY3" t="s">
        <v>13567</v>
      </c>
      <c r="SLZ3" t="s">
        <v>13568</v>
      </c>
      <c r="SMA3" t="s">
        <v>13569</v>
      </c>
      <c r="SMB3" t="s">
        <v>13570</v>
      </c>
      <c r="SMC3" t="s">
        <v>13571</v>
      </c>
      <c r="SMD3" t="s">
        <v>13572</v>
      </c>
      <c r="SME3" t="s">
        <v>13573</v>
      </c>
      <c r="SMF3" t="s">
        <v>13574</v>
      </c>
      <c r="SMG3" t="s">
        <v>13575</v>
      </c>
      <c r="SMH3" t="s">
        <v>13576</v>
      </c>
      <c r="SMI3" t="s">
        <v>13577</v>
      </c>
      <c r="SMJ3" t="s">
        <v>13578</v>
      </c>
      <c r="SMK3" t="s">
        <v>13579</v>
      </c>
      <c r="SML3" t="s">
        <v>13580</v>
      </c>
      <c r="SMM3" t="s">
        <v>13581</v>
      </c>
      <c r="SMN3" t="s">
        <v>13582</v>
      </c>
      <c r="SMO3" t="s">
        <v>13583</v>
      </c>
      <c r="SMP3" t="s">
        <v>13584</v>
      </c>
      <c r="SMQ3" t="s">
        <v>13585</v>
      </c>
      <c r="SMR3" t="s">
        <v>13586</v>
      </c>
      <c r="SMS3" t="s">
        <v>13587</v>
      </c>
      <c r="SMT3" t="s">
        <v>13588</v>
      </c>
      <c r="SMU3" t="s">
        <v>13589</v>
      </c>
      <c r="SMV3" t="s">
        <v>13590</v>
      </c>
      <c r="SMW3" t="s">
        <v>13591</v>
      </c>
      <c r="SMX3" t="s">
        <v>13592</v>
      </c>
      <c r="SMY3" t="s">
        <v>13593</v>
      </c>
      <c r="SMZ3" t="s">
        <v>13594</v>
      </c>
      <c r="SNA3" t="s">
        <v>13595</v>
      </c>
      <c r="SNB3" t="s">
        <v>13596</v>
      </c>
      <c r="SNC3" t="s">
        <v>13597</v>
      </c>
      <c r="SND3" t="s">
        <v>13598</v>
      </c>
      <c r="SNE3" t="s">
        <v>13599</v>
      </c>
      <c r="SNF3" t="s">
        <v>13600</v>
      </c>
      <c r="SNG3" t="s">
        <v>13601</v>
      </c>
      <c r="SNH3" t="s">
        <v>13602</v>
      </c>
      <c r="SNI3" t="s">
        <v>13603</v>
      </c>
      <c r="SNJ3" t="s">
        <v>13604</v>
      </c>
      <c r="SNK3" t="s">
        <v>13605</v>
      </c>
      <c r="SNL3" t="s">
        <v>13606</v>
      </c>
      <c r="SNM3" t="s">
        <v>13607</v>
      </c>
      <c r="SNN3" t="s">
        <v>13608</v>
      </c>
      <c r="SNO3" t="s">
        <v>13609</v>
      </c>
      <c r="SNP3" t="s">
        <v>13610</v>
      </c>
      <c r="SNQ3" t="s">
        <v>13611</v>
      </c>
      <c r="SNR3" t="s">
        <v>13612</v>
      </c>
      <c r="SNS3" t="s">
        <v>13613</v>
      </c>
      <c r="SNT3" t="s">
        <v>13614</v>
      </c>
      <c r="SNU3" t="s">
        <v>13615</v>
      </c>
      <c r="SNV3" t="s">
        <v>13616</v>
      </c>
      <c r="SNW3" t="s">
        <v>13617</v>
      </c>
      <c r="SNX3" t="s">
        <v>13618</v>
      </c>
      <c r="SNY3" t="s">
        <v>13619</v>
      </c>
      <c r="SNZ3" t="s">
        <v>13620</v>
      </c>
      <c r="SOA3" t="s">
        <v>13621</v>
      </c>
      <c r="SOB3" t="s">
        <v>13622</v>
      </c>
      <c r="SOC3" t="s">
        <v>13623</v>
      </c>
      <c r="SOD3" t="s">
        <v>13624</v>
      </c>
      <c r="SOE3" t="s">
        <v>13625</v>
      </c>
      <c r="SOF3" t="s">
        <v>13626</v>
      </c>
      <c r="SOG3" t="s">
        <v>13627</v>
      </c>
      <c r="SOH3" t="s">
        <v>13628</v>
      </c>
      <c r="SOI3" t="s">
        <v>13629</v>
      </c>
      <c r="SOJ3" t="s">
        <v>13630</v>
      </c>
      <c r="SOK3" t="s">
        <v>13631</v>
      </c>
      <c r="SOL3" t="s">
        <v>13632</v>
      </c>
      <c r="SOM3" t="s">
        <v>13633</v>
      </c>
      <c r="SON3" t="s">
        <v>13634</v>
      </c>
      <c r="SOO3" t="s">
        <v>13635</v>
      </c>
      <c r="SOP3" t="s">
        <v>13636</v>
      </c>
      <c r="SOQ3" t="s">
        <v>13637</v>
      </c>
      <c r="SOR3" t="s">
        <v>13638</v>
      </c>
      <c r="SOS3" t="s">
        <v>13639</v>
      </c>
      <c r="SOT3" t="s">
        <v>13640</v>
      </c>
      <c r="SOU3" t="s">
        <v>13641</v>
      </c>
      <c r="SOV3" t="s">
        <v>13642</v>
      </c>
      <c r="SOW3" t="s">
        <v>13643</v>
      </c>
      <c r="SOX3" t="s">
        <v>13644</v>
      </c>
      <c r="SOY3" t="s">
        <v>13645</v>
      </c>
      <c r="SOZ3" t="s">
        <v>13646</v>
      </c>
      <c r="SPA3" t="s">
        <v>13647</v>
      </c>
      <c r="SPB3" t="s">
        <v>13648</v>
      </c>
      <c r="SPC3" t="s">
        <v>13649</v>
      </c>
      <c r="SPD3" t="s">
        <v>13650</v>
      </c>
      <c r="SPE3" t="s">
        <v>13651</v>
      </c>
      <c r="SPF3" t="s">
        <v>13652</v>
      </c>
      <c r="SPG3" t="s">
        <v>13653</v>
      </c>
      <c r="SPH3" t="s">
        <v>13654</v>
      </c>
      <c r="SPI3" t="s">
        <v>13655</v>
      </c>
      <c r="SPJ3" t="s">
        <v>13656</v>
      </c>
      <c r="SPK3" t="s">
        <v>13657</v>
      </c>
      <c r="SPL3" t="s">
        <v>13658</v>
      </c>
      <c r="SPM3" t="s">
        <v>13659</v>
      </c>
      <c r="SPN3" t="s">
        <v>13660</v>
      </c>
      <c r="SPO3" t="s">
        <v>13661</v>
      </c>
      <c r="SPP3" t="s">
        <v>13662</v>
      </c>
      <c r="SPQ3" t="s">
        <v>13663</v>
      </c>
      <c r="SPR3" t="s">
        <v>13664</v>
      </c>
      <c r="SPS3" t="s">
        <v>13665</v>
      </c>
      <c r="SPT3" t="s">
        <v>13666</v>
      </c>
      <c r="SPU3" t="s">
        <v>13667</v>
      </c>
      <c r="SPV3" t="s">
        <v>13668</v>
      </c>
      <c r="SPW3" t="s">
        <v>13669</v>
      </c>
      <c r="SPX3" t="s">
        <v>13670</v>
      </c>
      <c r="SPY3" t="s">
        <v>13671</v>
      </c>
      <c r="SPZ3" t="s">
        <v>13672</v>
      </c>
      <c r="SQA3" t="s">
        <v>13673</v>
      </c>
      <c r="SQB3" t="s">
        <v>13674</v>
      </c>
      <c r="SQC3" t="s">
        <v>13675</v>
      </c>
      <c r="SQD3" t="s">
        <v>13676</v>
      </c>
      <c r="SQE3" t="s">
        <v>13677</v>
      </c>
      <c r="SQF3" t="s">
        <v>13678</v>
      </c>
      <c r="SQG3" t="s">
        <v>13679</v>
      </c>
      <c r="SQH3" t="s">
        <v>13680</v>
      </c>
      <c r="SQI3" t="s">
        <v>13681</v>
      </c>
      <c r="SQJ3" t="s">
        <v>13682</v>
      </c>
      <c r="SQK3" t="s">
        <v>13683</v>
      </c>
      <c r="SQL3" t="s">
        <v>13684</v>
      </c>
      <c r="SQM3" t="s">
        <v>13685</v>
      </c>
      <c r="SQN3" t="s">
        <v>13686</v>
      </c>
      <c r="SQO3" t="s">
        <v>13687</v>
      </c>
      <c r="SQP3" t="s">
        <v>13688</v>
      </c>
      <c r="SQQ3" t="s">
        <v>13689</v>
      </c>
      <c r="SQR3" t="s">
        <v>13690</v>
      </c>
      <c r="SQS3" t="s">
        <v>13691</v>
      </c>
      <c r="SQT3" t="s">
        <v>13692</v>
      </c>
      <c r="SQU3" t="s">
        <v>13693</v>
      </c>
      <c r="SQV3" t="s">
        <v>13694</v>
      </c>
      <c r="SQW3" t="s">
        <v>13695</v>
      </c>
      <c r="SQX3" t="s">
        <v>13696</v>
      </c>
      <c r="SQY3" t="s">
        <v>13697</v>
      </c>
      <c r="SQZ3" t="s">
        <v>13698</v>
      </c>
      <c r="SRA3" t="s">
        <v>13699</v>
      </c>
      <c r="SRB3" t="s">
        <v>13700</v>
      </c>
      <c r="SRC3" t="s">
        <v>13701</v>
      </c>
      <c r="SRD3" t="s">
        <v>13702</v>
      </c>
      <c r="SRE3" t="s">
        <v>13703</v>
      </c>
      <c r="SRF3" t="s">
        <v>13704</v>
      </c>
      <c r="SRG3" t="s">
        <v>13705</v>
      </c>
      <c r="SRH3" t="s">
        <v>13706</v>
      </c>
      <c r="SRI3" t="s">
        <v>13707</v>
      </c>
      <c r="SRJ3" t="s">
        <v>13708</v>
      </c>
      <c r="SRK3" t="s">
        <v>13709</v>
      </c>
      <c r="SRL3" t="s">
        <v>13710</v>
      </c>
      <c r="SRM3" t="s">
        <v>13711</v>
      </c>
      <c r="SRN3" t="s">
        <v>13712</v>
      </c>
      <c r="SRO3" t="s">
        <v>13713</v>
      </c>
      <c r="SRP3" t="s">
        <v>13714</v>
      </c>
      <c r="SRQ3" t="s">
        <v>13715</v>
      </c>
      <c r="SRR3" t="s">
        <v>13716</v>
      </c>
      <c r="SRS3" t="s">
        <v>13717</v>
      </c>
      <c r="SRT3" t="s">
        <v>13718</v>
      </c>
      <c r="SRU3" t="s">
        <v>13719</v>
      </c>
      <c r="SRV3" t="s">
        <v>13720</v>
      </c>
      <c r="SRW3" t="s">
        <v>13721</v>
      </c>
      <c r="SRX3" t="s">
        <v>13722</v>
      </c>
      <c r="SRY3" t="s">
        <v>13723</v>
      </c>
      <c r="SRZ3" t="s">
        <v>13724</v>
      </c>
      <c r="SSA3" t="s">
        <v>13725</v>
      </c>
      <c r="SSB3" t="s">
        <v>13726</v>
      </c>
      <c r="SSC3" t="s">
        <v>13727</v>
      </c>
      <c r="SSD3" t="s">
        <v>13728</v>
      </c>
      <c r="SSE3" t="s">
        <v>13729</v>
      </c>
      <c r="SSF3" t="s">
        <v>13730</v>
      </c>
      <c r="SSG3" t="s">
        <v>13731</v>
      </c>
      <c r="SSH3" t="s">
        <v>13732</v>
      </c>
      <c r="SSI3" t="s">
        <v>13733</v>
      </c>
      <c r="SSJ3" t="s">
        <v>13734</v>
      </c>
      <c r="SSK3" t="s">
        <v>13735</v>
      </c>
      <c r="SSL3" t="s">
        <v>13736</v>
      </c>
      <c r="SSM3" t="s">
        <v>13737</v>
      </c>
      <c r="SSN3" t="s">
        <v>13738</v>
      </c>
      <c r="SSO3" t="s">
        <v>13739</v>
      </c>
      <c r="SSP3" t="s">
        <v>13740</v>
      </c>
      <c r="SSQ3" t="s">
        <v>13741</v>
      </c>
      <c r="SSR3" t="s">
        <v>13742</v>
      </c>
      <c r="SSS3" t="s">
        <v>13743</v>
      </c>
      <c r="SST3" t="s">
        <v>13744</v>
      </c>
      <c r="SSU3" t="s">
        <v>13745</v>
      </c>
      <c r="SSV3" t="s">
        <v>13746</v>
      </c>
      <c r="SSW3" t="s">
        <v>13747</v>
      </c>
      <c r="SSX3" t="s">
        <v>13748</v>
      </c>
      <c r="SSY3" t="s">
        <v>13749</v>
      </c>
      <c r="SSZ3" t="s">
        <v>13750</v>
      </c>
      <c r="STA3" t="s">
        <v>13751</v>
      </c>
      <c r="STB3" t="s">
        <v>13752</v>
      </c>
      <c r="STC3" t="s">
        <v>13753</v>
      </c>
      <c r="STD3" t="s">
        <v>13754</v>
      </c>
      <c r="STE3" t="s">
        <v>13755</v>
      </c>
      <c r="STF3" t="s">
        <v>13756</v>
      </c>
      <c r="STG3" t="s">
        <v>13757</v>
      </c>
      <c r="STH3" t="s">
        <v>13758</v>
      </c>
      <c r="STI3" t="s">
        <v>13759</v>
      </c>
      <c r="STJ3" t="s">
        <v>13760</v>
      </c>
      <c r="STK3" t="s">
        <v>13761</v>
      </c>
      <c r="STL3" t="s">
        <v>13762</v>
      </c>
      <c r="STM3" t="s">
        <v>13763</v>
      </c>
      <c r="STN3" t="s">
        <v>13764</v>
      </c>
      <c r="STO3" t="s">
        <v>13765</v>
      </c>
      <c r="STP3" t="s">
        <v>13766</v>
      </c>
      <c r="STQ3" t="s">
        <v>13767</v>
      </c>
      <c r="STR3" t="s">
        <v>13768</v>
      </c>
      <c r="STS3" t="s">
        <v>13769</v>
      </c>
      <c r="STT3" t="s">
        <v>13770</v>
      </c>
      <c r="STU3" t="s">
        <v>13771</v>
      </c>
      <c r="STV3" t="s">
        <v>13772</v>
      </c>
      <c r="STW3" t="s">
        <v>13773</v>
      </c>
      <c r="STX3" t="s">
        <v>13774</v>
      </c>
      <c r="STY3" t="s">
        <v>13775</v>
      </c>
      <c r="STZ3" t="s">
        <v>13776</v>
      </c>
      <c r="SUA3" t="s">
        <v>13777</v>
      </c>
      <c r="SUB3" t="s">
        <v>13778</v>
      </c>
      <c r="SUC3" t="s">
        <v>13779</v>
      </c>
      <c r="SUD3" t="s">
        <v>13780</v>
      </c>
      <c r="SUE3" t="s">
        <v>13781</v>
      </c>
      <c r="SUF3" t="s">
        <v>13782</v>
      </c>
      <c r="SUG3" t="s">
        <v>13783</v>
      </c>
      <c r="SUH3" t="s">
        <v>13784</v>
      </c>
      <c r="SUI3" t="s">
        <v>13785</v>
      </c>
      <c r="SUJ3" t="s">
        <v>13786</v>
      </c>
      <c r="SUK3" t="s">
        <v>13787</v>
      </c>
      <c r="SUL3" t="s">
        <v>13788</v>
      </c>
      <c r="SUM3" t="s">
        <v>13789</v>
      </c>
      <c r="SUN3" t="s">
        <v>13790</v>
      </c>
      <c r="SUO3" t="s">
        <v>13791</v>
      </c>
      <c r="SUP3" t="s">
        <v>13792</v>
      </c>
      <c r="SUQ3" t="s">
        <v>13793</v>
      </c>
      <c r="SUR3" t="s">
        <v>13794</v>
      </c>
      <c r="SUS3" t="s">
        <v>13795</v>
      </c>
      <c r="SUT3" t="s">
        <v>13796</v>
      </c>
      <c r="SUU3" t="s">
        <v>13797</v>
      </c>
      <c r="SUV3" t="s">
        <v>13798</v>
      </c>
      <c r="SUW3" t="s">
        <v>13799</v>
      </c>
      <c r="SUX3" t="s">
        <v>13800</v>
      </c>
      <c r="SUY3" t="s">
        <v>13801</v>
      </c>
      <c r="SUZ3" t="s">
        <v>13802</v>
      </c>
      <c r="SVA3" t="s">
        <v>13803</v>
      </c>
      <c r="SVB3" t="s">
        <v>13804</v>
      </c>
      <c r="SVC3" t="s">
        <v>13805</v>
      </c>
      <c r="SVD3" t="s">
        <v>13806</v>
      </c>
      <c r="SVE3" t="s">
        <v>13807</v>
      </c>
      <c r="SVF3" t="s">
        <v>13808</v>
      </c>
      <c r="SVG3" t="s">
        <v>13809</v>
      </c>
      <c r="SVH3" t="s">
        <v>13810</v>
      </c>
      <c r="SVI3" t="s">
        <v>13811</v>
      </c>
      <c r="SVJ3" t="s">
        <v>13812</v>
      </c>
      <c r="SVK3" t="s">
        <v>13813</v>
      </c>
      <c r="SVL3" t="s">
        <v>13814</v>
      </c>
      <c r="SVM3" t="s">
        <v>13815</v>
      </c>
      <c r="SVN3" t="s">
        <v>13816</v>
      </c>
      <c r="SVO3" t="s">
        <v>13817</v>
      </c>
      <c r="SVP3" t="s">
        <v>13818</v>
      </c>
      <c r="SVQ3" t="s">
        <v>13819</v>
      </c>
      <c r="SVR3" t="s">
        <v>13820</v>
      </c>
      <c r="SVS3" t="s">
        <v>13821</v>
      </c>
      <c r="SVT3" t="s">
        <v>13822</v>
      </c>
      <c r="SVU3" t="s">
        <v>13823</v>
      </c>
      <c r="SVV3" t="s">
        <v>13824</v>
      </c>
      <c r="SVW3" t="s">
        <v>13825</v>
      </c>
      <c r="SVX3" t="s">
        <v>13826</v>
      </c>
      <c r="SVY3" t="s">
        <v>13827</v>
      </c>
      <c r="SVZ3" t="s">
        <v>13828</v>
      </c>
      <c r="SWA3" t="s">
        <v>13829</v>
      </c>
      <c r="SWB3" t="s">
        <v>13830</v>
      </c>
      <c r="SWC3" t="s">
        <v>13831</v>
      </c>
      <c r="SWD3" t="s">
        <v>13832</v>
      </c>
      <c r="SWE3" t="s">
        <v>13833</v>
      </c>
      <c r="SWF3" t="s">
        <v>13834</v>
      </c>
      <c r="SWG3" t="s">
        <v>13835</v>
      </c>
      <c r="SWH3" t="s">
        <v>13836</v>
      </c>
      <c r="SWI3" t="s">
        <v>13837</v>
      </c>
      <c r="SWJ3" t="s">
        <v>13838</v>
      </c>
      <c r="SWK3" t="s">
        <v>13839</v>
      </c>
      <c r="SWL3" t="s">
        <v>13840</v>
      </c>
      <c r="SWM3" t="s">
        <v>13841</v>
      </c>
      <c r="SWN3" t="s">
        <v>13842</v>
      </c>
      <c r="SWO3" t="s">
        <v>13843</v>
      </c>
      <c r="SWP3" t="s">
        <v>13844</v>
      </c>
      <c r="SWQ3" t="s">
        <v>13845</v>
      </c>
      <c r="SWR3" t="s">
        <v>13846</v>
      </c>
      <c r="SWS3" t="s">
        <v>13847</v>
      </c>
      <c r="SWT3" t="s">
        <v>13848</v>
      </c>
      <c r="SWU3" t="s">
        <v>13849</v>
      </c>
      <c r="SWV3" t="s">
        <v>13850</v>
      </c>
      <c r="SWW3" t="s">
        <v>13851</v>
      </c>
      <c r="SWX3" t="s">
        <v>13852</v>
      </c>
      <c r="SWY3" t="s">
        <v>13853</v>
      </c>
      <c r="SWZ3" t="s">
        <v>13854</v>
      </c>
      <c r="SXA3" t="s">
        <v>13855</v>
      </c>
      <c r="SXB3" t="s">
        <v>13856</v>
      </c>
      <c r="SXC3" t="s">
        <v>13857</v>
      </c>
      <c r="SXD3" t="s">
        <v>13858</v>
      </c>
      <c r="SXE3" t="s">
        <v>13859</v>
      </c>
      <c r="SXF3" t="s">
        <v>13860</v>
      </c>
      <c r="SXG3" t="s">
        <v>13861</v>
      </c>
      <c r="SXH3" t="s">
        <v>13862</v>
      </c>
      <c r="SXI3" t="s">
        <v>13863</v>
      </c>
      <c r="SXJ3" t="s">
        <v>13864</v>
      </c>
      <c r="SXK3" t="s">
        <v>13865</v>
      </c>
      <c r="SXL3" t="s">
        <v>13866</v>
      </c>
      <c r="SXM3" t="s">
        <v>13867</v>
      </c>
      <c r="SXN3" t="s">
        <v>13868</v>
      </c>
      <c r="SXO3" t="s">
        <v>13869</v>
      </c>
      <c r="SXP3" t="s">
        <v>13870</v>
      </c>
      <c r="SXQ3" t="s">
        <v>13871</v>
      </c>
      <c r="SXR3" t="s">
        <v>13872</v>
      </c>
      <c r="SXS3" t="s">
        <v>13873</v>
      </c>
      <c r="SXT3" t="s">
        <v>13874</v>
      </c>
      <c r="SXU3" t="s">
        <v>13875</v>
      </c>
      <c r="SXV3" t="s">
        <v>13876</v>
      </c>
      <c r="SXW3" t="s">
        <v>13877</v>
      </c>
      <c r="SXX3" t="s">
        <v>13878</v>
      </c>
      <c r="SXY3" t="s">
        <v>13879</v>
      </c>
      <c r="SXZ3" t="s">
        <v>13880</v>
      </c>
      <c r="SYA3" t="s">
        <v>13881</v>
      </c>
      <c r="SYB3" t="s">
        <v>13882</v>
      </c>
      <c r="SYC3" t="s">
        <v>13883</v>
      </c>
      <c r="SYD3" t="s">
        <v>13884</v>
      </c>
      <c r="SYE3" t="s">
        <v>13885</v>
      </c>
      <c r="SYF3" t="s">
        <v>13886</v>
      </c>
      <c r="SYG3" t="s">
        <v>13887</v>
      </c>
      <c r="SYH3" t="s">
        <v>13888</v>
      </c>
      <c r="SYI3" t="s">
        <v>13889</v>
      </c>
      <c r="SYJ3" t="s">
        <v>13890</v>
      </c>
      <c r="SYK3" t="s">
        <v>13891</v>
      </c>
      <c r="SYL3" t="s">
        <v>13892</v>
      </c>
      <c r="SYM3" t="s">
        <v>13893</v>
      </c>
      <c r="SYN3" t="s">
        <v>13894</v>
      </c>
      <c r="SYO3" t="s">
        <v>13895</v>
      </c>
      <c r="SYP3" t="s">
        <v>13896</v>
      </c>
      <c r="SYQ3" t="s">
        <v>13897</v>
      </c>
      <c r="SYR3" t="s">
        <v>13898</v>
      </c>
      <c r="SYS3" t="s">
        <v>13899</v>
      </c>
      <c r="SYT3" t="s">
        <v>13900</v>
      </c>
      <c r="SYU3" t="s">
        <v>13901</v>
      </c>
      <c r="SYV3" t="s">
        <v>13902</v>
      </c>
      <c r="SYW3" t="s">
        <v>13903</v>
      </c>
      <c r="SYX3" t="s">
        <v>13904</v>
      </c>
      <c r="SYY3" t="s">
        <v>13905</v>
      </c>
      <c r="SYZ3" t="s">
        <v>13906</v>
      </c>
      <c r="SZA3" t="s">
        <v>13907</v>
      </c>
      <c r="SZB3" t="s">
        <v>13908</v>
      </c>
      <c r="SZC3" t="s">
        <v>13909</v>
      </c>
      <c r="SZD3" t="s">
        <v>13910</v>
      </c>
      <c r="SZE3" t="s">
        <v>13911</v>
      </c>
      <c r="SZF3" t="s">
        <v>13912</v>
      </c>
      <c r="SZG3" t="s">
        <v>13913</v>
      </c>
      <c r="SZH3" t="s">
        <v>13914</v>
      </c>
      <c r="SZI3" t="s">
        <v>13915</v>
      </c>
      <c r="SZJ3" t="s">
        <v>13916</v>
      </c>
      <c r="SZK3" t="s">
        <v>13917</v>
      </c>
      <c r="SZL3" t="s">
        <v>13918</v>
      </c>
      <c r="SZM3" t="s">
        <v>13919</v>
      </c>
      <c r="SZN3" t="s">
        <v>13920</v>
      </c>
      <c r="SZO3" t="s">
        <v>13921</v>
      </c>
      <c r="SZP3" t="s">
        <v>13922</v>
      </c>
      <c r="SZQ3" t="s">
        <v>13923</v>
      </c>
      <c r="SZR3" t="s">
        <v>13924</v>
      </c>
      <c r="SZS3" t="s">
        <v>13925</v>
      </c>
      <c r="SZT3" t="s">
        <v>13926</v>
      </c>
      <c r="SZU3" t="s">
        <v>13927</v>
      </c>
      <c r="SZV3" t="s">
        <v>13928</v>
      </c>
      <c r="SZW3" t="s">
        <v>13929</v>
      </c>
      <c r="SZX3" t="s">
        <v>13930</v>
      </c>
      <c r="SZY3" t="s">
        <v>13931</v>
      </c>
      <c r="SZZ3" t="s">
        <v>13932</v>
      </c>
      <c r="TAA3" t="s">
        <v>13933</v>
      </c>
      <c r="TAB3" t="s">
        <v>13934</v>
      </c>
      <c r="TAC3" t="s">
        <v>13935</v>
      </c>
      <c r="TAD3" t="s">
        <v>13936</v>
      </c>
      <c r="TAE3" t="s">
        <v>13937</v>
      </c>
      <c r="TAF3" t="s">
        <v>13938</v>
      </c>
      <c r="TAG3" t="s">
        <v>13939</v>
      </c>
      <c r="TAH3" t="s">
        <v>13940</v>
      </c>
      <c r="TAI3" t="s">
        <v>13941</v>
      </c>
      <c r="TAJ3" t="s">
        <v>13942</v>
      </c>
      <c r="TAK3" t="s">
        <v>13943</v>
      </c>
      <c r="TAL3" t="s">
        <v>13944</v>
      </c>
      <c r="TAM3" t="s">
        <v>13945</v>
      </c>
      <c r="TAN3" t="s">
        <v>13946</v>
      </c>
      <c r="TAO3" t="s">
        <v>13947</v>
      </c>
      <c r="TAP3" t="s">
        <v>13948</v>
      </c>
      <c r="TAQ3" t="s">
        <v>13949</v>
      </c>
      <c r="TAR3" t="s">
        <v>13950</v>
      </c>
      <c r="TAS3" t="s">
        <v>13951</v>
      </c>
      <c r="TAT3" t="s">
        <v>13952</v>
      </c>
      <c r="TAU3" t="s">
        <v>13953</v>
      </c>
      <c r="TAV3" t="s">
        <v>13954</v>
      </c>
      <c r="TAW3" t="s">
        <v>13955</v>
      </c>
      <c r="TAX3" t="s">
        <v>13956</v>
      </c>
      <c r="TAY3" t="s">
        <v>13957</v>
      </c>
      <c r="TAZ3" t="s">
        <v>13958</v>
      </c>
      <c r="TBA3" t="s">
        <v>13959</v>
      </c>
      <c r="TBB3" t="s">
        <v>13960</v>
      </c>
      <c r="TBC3" t="s">
        <v>13961</v>
      </c>
      <c r="TBD3" t="s">
        <v>13962</v>
      </c>
      <c r="TBE3" t="s">
        <v>13963</v>
      </c>
      <c r="TBF3" t="s">
        <v>13964</v>
      </c>
      <c r="TBG3" t="s">
        <v>13965</v>
      </c>
      <c r="TBH3" t="s">
        <v>13966</v>
      </c>
      <c r="TBI3" t="s">
        <v>13967</v>
      </c>
      <c r="TBJ3" t="s">
        <v>13968</v>
      </c>
      <c r="TBK3" t="s">
        <v>13969</v>
      </c>
      <c r="TBL3" t="s">
        <v>13970</v>
      </c>
      <c r="TBM3" t="s">
        <v>13971</v>
      </c>
      <c r="TBN3" t="s">
        <v>13972</v>
      </c>
      <c r="TBO3" t="s">
        <v>13973</v>
      </c>
      <c r="TBP3" t="s">
        <v>13974</v>
      </c>
      <c r="TBQ3" t="s">
        <v>13975</v>
      </c>
      <c r="TBR3" t="s">
        <v>13976</v>
      </c>
      <c r="TBS3" t="s">
        <v>13977</v>
      </c>
      <c r="TBT3" t="s">
        <v>13978</v>
      </c>
      <c r="TBU3" t="s">
        <v>13979</v>
      </c>
      <c r="TBV3" t="s">
        <v>13980</v>
      </c>
      <c r="TBW3" t="s">
        <v>13981</v>
      </c>
      <c r="TBX3" t="s">
        <v>13982</v>
      </c>
      <c r="TBY3" t="s">
        <v>13983</v>
      </c>
      <c r="TBZ3" t="s">
        <v>13984</v>
      </c>
      <c r="TCA3" t="s">
        <v>13985</v>
      </c>
      <c r="TCB3" t="s">
        <v>13986</v>
      </c>
      <c r="TCC3" t="s">
        <v>13987</v>
      </c>
      <c r="TCD3" t="s">
        <v>13988</v>
      </c>
      <c r="TCE3" t="s">
        <v>13989</v>
      </c>
      <c r="TCF3" t="s">
        <v>13990</v>
      </c>
      <c r="TCG3" t="s">
        <v>13991</v>
      </c>
      <c r="TCH3" t="s">
        <v>13992</v>
      </c>
      <c r="TCI3" t="s">
        <v>13993</v>
      </c>
      <c r="TCJ3" t="s">
        <v>13994</v>
      </c>
      <c r="TCK3" t="s">
        <v>13995</v>
      </c>
      <c r="TCL3" t="s">
        <v>13996</v>
      </c>
      <c r="TCM3" t="s">
        <v>13997</v>
      </c>
      <c r="TCN3" t="s">
        <v>13998</v>
      </c>
      <c r="TCO3" t="s">
        <v>13999</v>
      </c>
      <c r="TCP3" t="s">
        <v>14000</v>
      </c>
      <c r="TCQ3" t="s">
        <v>14001</v>
      </c>
      <c r="TCR3" t="s">
        <v>14002</v>
      </c>
      <c r="TCS3" t="s">
        <v>14003</v>
      </c>
      <c r="TCT3" t="s">
        <v>14004</v>
      </c>
      <c r="TCU3" t="s">
        <v>14005</v>
      </c>
      <c r="TCV3" t="s">
        <v>14006</v>
      </c>
      <c r="TCW3" t="s">
        <v>14007</v>
      </c>
      <c r="TCX3" t="s">
        <v>14008</v>
      </c>
      <c r="TCY3" t="s">
        <v>14009</v>
      </c>
      <c r="TCZ3" t="s">
        <v>14010</v>
      </c>
      <c r="TDA3" t="s">
        <v>14011</v>
      </c>
      <c r="TDB3" t="s">
        <v>14012</v>
      </c>
      <c r="TDC3" t="s">
        <v>14013</v>
      </c>
      <c r="TDD3" t="s">
        <v>14014</v>
      </c>
      <c r="TDE3" t="s">
        <v>14015</v>
      </c>
      <c r="TDF3" t="s">
        <v>14016</v>
      </c>
      <c r="TDG3" t="s">
        <v>14017</v>
      </c>
      <c r="TDH3" t="s">
        <v>14018</v>
      </c>
      <c r="TDI3" t="s">
        <v>14019</v>
      </c>
      <c r="TDJ3" t="s">
        <v>14020</v>
      </c>
      <c r="TDK3" t="s">
        <v>14021</v>
      </c>
      <c r="TDL3" t="s">
        <v>14022</v>
      </c>
      <c r="TDM3" t="s">
        <v>14023</v>
      </c>
      <c r="TDN3" t="s">
        <v>14024</v>
      </c>
      <c r="TDO3" t="s">
        <v>14025</v>
      </c>
      <c r="TDP3" t="s">
        <v>14026</v>
      </c>
      <c r="TDQ3" t="s">
        <v>14027</v>
      </c>
      <c r="TDR3" t="s">
        <v>14028</v>
      </c>
      <c r="TDS3" t="s">
        <v>14029</v>
      </c>
      <c r="TDT3" t="s">
        <v>14030</v>
      </c>
      <c r="TDU3" t="s">
        <v>14031</v>
      </c>
      <c r="TDV3" t="s">
        <v>14032</v>
      </c>
      <c r="TDW3" t="s">
        <v>14033</v>
      </c>
      <c r="TDX3" t="s">
        <v>14034</v>
      </c>
      <c r="TDY3" t="s">
        <v>14035</v>
      </c>
      <c r="TDZ3" t="s">
        <v>14036</v>
      </c>
      <c r="TEA3" t="s">
        <v>14037</v>
      </c>
      <c r="TEB3" t="s">
        <v>14038</v>
      </c>
      <c r="TEC3" t="s">
        <v>14039</v>
      </c>
      <c r="TED3" t="s">
        <v>14040</v>
      </c>
      <c r="TEE3" t="s">
        <v>14041</v>
      </c>
      <c r="TEF3" t="s">
        <v>14042</v>
      </c>
      <c r="TEG3" t="s">
        <v>14043</v>
      </c>
      <c r="TEH3" t="s">
        <v>14044</v>
      </c>
      <c r="TEI3" t="s">
        <v>14045</v>
      </c>
      <c r="TEJ3" t="s">
        <v>14046</v>
      </c>
      <c r="TEK3" t="s">
        <v>14047</v>
      </c>
      <c r="TEL3" t="s">
        <v>14048</v>
      </c>
      <c r="TEM3" t="s">
        <v>14049</v>
      </c>
      <c r="TEN3" t="s">
        <v>14050</v>
      </c>
      <c r="TEO3" t="s">
        <v>14051</v>
      </c>
      <c r="TEP3" t="s">
        <v>14052</v>
      </c>
      <c r="TEQ3" t="s">
        <v>14053</v>
      </c>
      <c r="TER3" t="s">
        <v>14054</v>
      </c>
      <c r="TES3" t="s">
        <v>14055</v>
      </c>
      <c r="TET3" t="s">
        <v>14056</v>
      </c>
      <c r="TEU3" t="s">
        <v>14057</v>
      </c>
      <c r="TEV3" t="s">
        <v>14058</v>
      </c>
      <c r="TEW3" t="s">
        <v>14059</v>
      </c>
      <c r="TEX3" t="s">
        <v>14060</v>
      </c>
      <c r="TEY3" t="s">
        <v>14061</v>
      </c>
      <c r="TEZ3" t="s">
        <v>14062</v>
      </c>
      <c r="TFA3" t="s">
        <v>14063</v>
      </c>
      <c r="TFB3" t="s">
        <v>14064</v>
      </c>
      <c r="TFC3" t="s">
        <v>14065</v>
      </c>
      <c r="TFD3" t="s">
        <v>14066</v>
      </c>
      <c r="TFE3" t="s">
        <v>14067</v>
      </c>
      <c r="TFF3" t="s">
        <v>14068</v>
      </c>
      <c r="TFG3" t="s">
        <v>14069</v>
      </c>
      <c r="TFH3" t="s">
        <v>14070</v>
      </c>
      <c r="TFI3" t="s">
        <v>14071</v>
      </c>
      <c r="TFJ3" t="s">
        <v>14072</v>
      </c>
      <c r="TFK3" t="s">
        <v>14073</v>
      </c>
      <c r="TFL3" t="s">
        <v>14074</v>
      </c>
      <c r="TFM3" t="s">
        <v>14075</v>
      </c>
      <c r="TFN3" t="s">
        <v>14076</v>
      </c>
      <c r="TFO3" t="s">
        <v>14077</v>
      </c>
      <c r="TFP3" t="s">
        <v>14078</v>
      </c>
      <c r="TFQ3" t="s">
        <v>14079</v>
      </c>
      <c r="TFR3" t="s">
        <v>14080</v>
      </c>
      <c r="TFS3" t="s">
        <v>14081</v>
      </c>
      <c r="TFT3" t="s">
        <v>14082</v>
      </c>
      <c r="TFU3" t="s">
        <v>14083</v>
      </c>
      <c r="TFV3" t="s">
        <v>14084</v>
      </c>
      <c r="TFW3" t="s">
        <v>14085</v>
      </c>
      <c r="TFX3" t="s">
        <v>14086</v>
      </c>
      <c r="TFY3" t="s">
        <v>14087</v>
      </c>
      <c r="TFZ3" t="s">
        <v>14088</v>
      </c>
      <c r="TGA3" t="s">
        <v>14089</v>
      </c>
      <c r="TGB3" t="s">
        <v>14090</v>
      </c>
      <c r="TGC3" t="s">
        <v>14091</v>
      </c>
      <c r="TGD3" t="s">
        <v>14092</v>
      </c>
      <c r="TGE3" t="s">
        <v>14093</v>
      </c>
      <c r="TGF3" t="s">
        <v>14094</v>
      </c>
      <c r="TGG3" t="s">
        <v>14095</v>
      </c>
      <c r="TGH3" t="s">
        <v>14096</v>
      </c>
      <c r="TGI3" t="s">
        <v>14097</v>
      </c>
      <c r="TGJ3" t="s">
        <v>14098</v>
      </c>
      <c r="TGK3" t="s">
        <v>14099</v>
      </c>
      <c r="TGL3" t="s">
        <v>14100</v>
      </c>
      <c r="TGM3" t="s">
        <v>14101</v>
      </c>
      <c r="TGN3" t="s">
        <v>14102</v>
      </c>
      <c r="TGO3" t="s">
        <v>14103</v>
      </c>
      <c r="TGP3" t="s">
        <v>14104</v>
      </c>
      <c r="TGQ3" t="s">
        <v>14105</v>
      </c>
      <c r="TGR3" t="s">
        <v>14106</v>
      </c>
      <c r="TGS3" t="s">
        <v>14107</v>
      </c>
      <c r="TGT3" t="s">
        <v>14108</v>
      </c>
      <c r="TGU3" t="s">
        <v>14109</v>
      </c>
      <c r="TGV3" t="s">
        <v>14110</v>
      </c>
      <c r="TGW3" t="s">
        <v>14111</v>
      </c>
      <c r="TGX3" t="s">
        <v>14112</v>
      </c>
      <c r="TGY3" t="s">
        <v>14113</v>
      </c>
      <c r="TGZ3" t="s">
        <v>14114</v>
      </c>
      <c r="THA3" t="s">
        <v>14115</v>
      </c>
      <c r="THB3" t="s">
        <v>14116</v>
      </c>
      <c r="THC3" t="s">
        <v>14117</v>
      </c>
      <c r="THD3" t="s">
        <v>14118</v>
      </c>
      <c r="THE3" t="s">
        <v>14119</v>
      </c>
      <c r="THF3" t="s">
        <v>14120</v>
      </c>
      <c r="THG3" t="s">
        <v>14121</v>
      </c>
      <c r="THH3" t="s">
        <v>14122</v>
      </c>
      <c r="THI3" t="s">
        <v>14123</v>
      </c>
      <c r="THJ3" t="s">
        <v>14124</v>
      </c>
      <c r="THK3" t="s">
        <v>14125</v>
      </c>
      <c r="THL3" t="s">
        <v>14126</v>
      </c>
      <c r="THM3" t="s">
        <v>14127</v>
      </c>
      <c r="THN3" t="s">
        <v>14128</v>
      </c>
      <c r="THO3" t="s">
        <v>14129</v>
      </c>
      <c r="THP3" t="s">
        <v>14130</v>
      </c>
      <c r="THQ3" t="s">
        <v>14131</v>
      </c>
      <c r="THR3" t="s">
        <v>14132</v>
      </c>
      <c r="THS3" t="s">
        <v>14133</v>
      </c>
      <c r="THT3" t="s">
        <v>14134</v>
      </c>
      <c r="THU3" t="s">
        <v>14135</v>
      </c>
      <c r="THV3" t="s">
        <v>14136</v>
      </c>
      <c r="THW3" t="s">
        <v>14137</v>
      </c>
      <c r="THX3" t="s">
        <v>14138</v>
      </c>
      <c r="THY3" t="s">
        <v>14139</v>
      </c>
      <c r="THZ3" t="s">
        <v>14140</v>
      </c>
      <c r="TIA3" t="s">
        <v>14141</v>
      </c>
      <c r="TIB3" t="s">
        <v>14142</v>
      </c>
      <c r="TIC3" t="s">
        <v>14143</v>
      </c>
      <c r="TID3" t="s">
        <v>14144</v>
      </c>
      <c r="TIE3" t="s">
        <v>14145</v>
      </c>
      <c r="TIF3" t="s">
        <v>14146</v>
      </c>
      <c r="TIG3" t="s">
        <v>14147</v>
      </c>
      <c r="TIH3" t="s">
        <v>14148</v>
      </c>
      <c r="TII3" t="s">
        <v>14149</v>
      </c>
      <c r="TIJ3" t="s">
        <v>14150</v>
      </c>
      <c r="TIK3" t="s">
        <v>14151</v>
      </c>
      <c r="TIL3" t="s">
        <v>14152</v>
      </c>
      <c r="TIM3" t="s">
        <v>14153</v>
      </c>
      <c r="TIN3" t="s">
        <v>14154</v>
      </c>
      <c r="TIO3" t="s">
        <v>14155</v>
      </c>
      <c r="TIP3" t="s">
        <v>14156</v>
      </c>
      <c r="TIQ3" t="s">
        <v>14157</v>
      </c>
      <c r="TIR3" t="s">
        <v>14158</v>
      </c>
      <c r="TIS3" t="s">
        <v>14159</v>
      </c>
      <c r="TIT3" t="s">
        <v>14160</v>
      </c>
      <c r="TIU3" t="s">
        <v>14161</v>
      </c>
      <c r="TIV3" t="s">
        <v>14162</v>
      </c>
      <c r="TIW3" t="s">
        <v>14163</v>
      </c>
      <c r="TIX3" t="s">
        <v>14164</v>
      </c>
      <c r="TIY3" t="s">
        <v>14165</v>
      </c>
      <c r="TIZ3" t="s">
        <v>14166</v>
      </c>
      <c r="TJA3" t="s">
        <v>14167</v>
      </c>
      <c r="TJB3" t="s">
        <v>14168</v>
      </c>
      <c r="TJC3" t="s">
        <v>14169</v>
      </c>
      <c r="TJD3" t="s">
        <v>14170</v>
      </c>
      <c r="TJE3" t="s">
        <v>14171</v>
      </c>
      <c r="TJF3" t="s">
        <v>14172</v>
      </c>
      <c r="TJG3" t="s">
        <v>14173</v>
      </c>
      <c r="TJH3" t="s">
        <v>14174</v>
      </c>
      <c r="TJI3" t="s">
        <v>14175</v>
      </c>
      <c r="TJJ3" t="s">
        <v>14176</v>
      </c>
      <c r="TJK3" t="s">
        <v>14177</v>
      </c>
      <c r="TJL3" t="s">
        <v>14178</v>
      </c>
      <c r="TJM3" t="s">
        <v>14179</v>
      </c>
      <c r="TJN3" t="s">
        <v>14180</v>
      </c>
      <c r="TJO3" t="s">
        <v>14181</v>
      </c>
      <c r="TJP3" t="s">
        <v>14182</v>
      </c>
      <c r="TJQ3" t="s">
        <v>14183</v>
      </c>
      <c r="TJR3" t="s">
        <v>14184</v>
      </c>
      <c r="TJS3" t="s">
        <v>14185</v>
      </c>
      <c r="TJT3" t="s">
        <v>14186</v>
      </c>
      <c r="TJU3" t="s">
        <v>14187</v>
      </c>
      <c r="TJV3" t="s">
        <v>14188</v>
      </c>
      <c r="TJW3" t="s">
        <v>14189</v>
      </c>
      <c r="TJX3" t="s">
        <v>14190</v>
      </c>
      <c r="TJY3" t="s">
        <v>14191</v>
      </c>
      <c r="TJZ3" t="s">
        <v>14192</v>
      </c>
      <c r="TKA3" t="s">
        <v>14193</v>
      </c>
      <c r="TKB3" t="s">
        <v>14194</v>
      </c>
      <c r="TKC3" t="s">
        <v>14195</v>
      </c>
      <c r="TKD3" t="s">
        <v>14196</v>
      </c>
      <c r="TKE3" t="s">
        <v>14197</v>
      </c>
      <c r="TKF3" t="s">
        <v>14198</v>
      </c>
      <c r="TKG3" t="s">
        <v>14199</v>
      </c>
      <c r="TKH3" t="s">
        <v>14200</v>
      </c>
      <c r="TKI3" t="s">
        <v>14201</v>
      </c>
      <c r="TKJ3" t="s">
        <v>14202</v>
      </c>
      <c r="TKK3" t="s">
        <v>14203</v>
      </c>
      <c r="TKL3" t="s">
        <v>14204</v>
      </c>
      <c r="TKM3" t="s">
        <v>14205</v>
      </c>
      <c r="TKN3" t="s">
        <v>14206</v>
      </c>
      <c r="TKO3" t="s">
        <v>14207</v>
      </c>
      <c r="TKP3" t="s">
        <v>14208</v>
      </c>
      <c r="TKQ3" t="s">
        <v>14209</v>
      </c>
      <c r="TKR3" t="s">
        <v>14210</v>
      </c>
      <c r="TKS3" t="s">
        <v>14211</v>
      </c>
      <c r="TKT3" t="s">
        <v>14212</v>
      </c>
      <c r="TKU3" t="s">
        <v>14213</v>
      </c>
      <c r="TKV3" t="s">
        <v>14214</v>
      </c>
      <c r="TKW3" t="s">
        <v>14215</v>
      </c>
      <c r="TKX3" t="s">
        <v>14216</v>
      </c>
      <c r="TKY3" t="s">
        <v>14217</v>
      </c>
      <c r="TKZ3" t="s">
        <v>14218</v>
      </c>
      <c r="TLA3" t="s">
        <v>14219</v>
      </c>
      <c r="TLB3" t="s">
        <v>14220</v>
      </c>
      <c r="TLC3" t="s">
        <v>14221</v>
      </c>
      <c r="TLD3" t="s">
        <v>14222</v>
      </c>
      <c r="TLE3" t="s">
        <v>14223</v>
      </c>
      <c r="TLF3" t="s">
        <v>14224</v>
      </c>
      <c r="TLG3" t="s">
        <v>14225</v>
      </c>
      <c r="TLH3" t="s">
        <v>14226</v>
      </c>
      <c r="TLI3" t="s">
        <v>14227</v>
      </c>
      <c r="TLJ3" t="s">
        <v>14228</v>
      </c>
      <c r="TLK3" t="s">
        <v>14229</v>
      </c>
      <c r="TLL3" t="s">
        <v>14230</v>
      </c>
      <c r="TLM3" t="s">
        <v>14231</v>
      </c>
      <c r="TLN3" t="s">
        <v>14232</v>
      </c>
      <c r="TLO3" t="s">
        <v>14233</v>
      </c>
      <c r="TLP3" t="s">
        <v>14234</v>
      </c>
      <c r="TLQ3" t="s">
        <v>14235</v>
      </c>
      <c r="TLR3" t="s">
        <v>14236</v>
      </c>
      <c r="TLS3" t="s">
        <v>14237</v>
      </c>
      <c r="TLT3" t="s">
        <v>14238</v>
      </c>
      <c r="TLU3" t="s">
        <v>14239</v>
      </c>
      <c r="TLV3" t="s">
        <v>14240</v>
      </c>
      <c r="TLW3" t="s">
        <v>14241</v>
      </c>
      <c r="TLX3" t="s">
        <v>14242</v>
      </c>
      <c r="TLY3" t="s">
        <v>14243</v>
      </c>
      <c r="TLZ3" t="s">
        <v>14244</v>
      </c>
      <c r="TMA3" t="s">
        <v>14245</v>
      </c>
      <c r="TMB3" t="s">
        <v>14246</v>
      </c>
      <c r="TMC3" t="s">
        <v>14247</v>
      </c>
      <c r="TMD3" t="s">
        <v>14248</v>
      </c>
      <c r="TME3" t="s">
        <v>14249</v>
      </c>
      <c r="TMF3" t="s">
        <v>14250</v>
      </c>
      <c r="TMG3" t="s">
        <v>14251</v>
      </c>
      <c r="TMH3" t="s">
        <v>14252</v>
      </c>
      <c r="TMI3" t="s">
        <v>14253</v>
      </c>
      <c r="TMJ3" t="s">
        <v>14254</v>
      </c>
      <c r="TMK3" t="s">
        <v>14255</v>
      </c>
      <c r="TML3" t="s">
        <v>14256</v>
      </c>
      <c r="TMM3" t="s">
        <v>14257</v>
      </c>
      <c r="TMN3" t="s">
        <v>14258</v>
      </c>
      <c r="TMO3" t="s">
        <v>14259</v>
      </c>
      <c r="TMP3" t="s">
        <v>14260</v>
      </c>
      <c r="TMQ3" t="s">
        <v>14261</v>
      </c>
      <c r="TMR3" t="s">
        <v>14262</v>
      </c>
      <c r="TMS3" t="s">
        <v>14263</v>
      </c>
      <c r="TMT3" t="s">
        <v>14264</v>
      </c>
      <c r="TMU3" t="s">
        <v>14265</v>
      </c>
      <c r="TMV3" t="s">
        <v>14266</v>
      </c>
      <c r="TMW3" t="s">
        <v>14267</v>
      </c>
      <c r="TMX3" t="s">
        <v>14268</v>
      </c>
      <c r="TMY3" t="s">
        <v>14269</v>
      </c>
      <c r="TMZ3" t="s">
        <v>14270</v>
      </c>
      <c r="TNA3" t="s">
        <v>14271</v>
      </c>
      <c r="TNB3" t="s">
        <v>14272</v>
      </c>
      <c r="TNC3" t="s">
        <v>14273</v>
      </c>
      <c r="TND3" t="s">
        <v>14274</v>
      </c>
      <c r="TNE3" t="s">
        <v>14275</v>
      </c>
      <c r="TNF3" t="s">
        <v>14276</v>
      </c>
      <c r="TNG3" t="s">
        <v>14277</v>
      </c>
      <c r="TNH3" t="s">
        <v>14278</v>
      </c>
      <c r="TNI3" t="s">
        <v>14279</v>
      </c>
      <c r="TNJ3" t="s">
        <v>14280</v>
      </c>
      <c r="TNK3" t="s">
        <v>14281</v>
      </c>
      <c r="TNL3" t="s">
        <v>14282</v>
      </c>
      <c r="TNM3" t="s">
        <v>14283</v>
      </c>
      <c r="TNN3" t="s">
        <v>14284</v>
      </c>
      <c r="TNO3" t="s">
        <v>14285</v>
      </c>
      <c r="TNP3" t="s">
        <v>14286</v>
      </c>
      <c r="TNQ3" t="s">
        <v>14287</v>
      </c>
      <c r="TNR3" t="s">
        <v>14288</v>
      </c>
      <c r="TNS3" t="s">
        <v>14289</v>
      </c>
      <c r="TNT3" t="s">
        <v>14290</v>
      </c>
      <c r="TNU3" t="s">
        <v>14291</v>
      </c>
      <c r="TNV3" t="s">
        <v>14292</v>
      </c>
      <c r="TNW3" t="s">
        <v>14293</v>
      </c>
      <c r="TNX3" t="s">
        <v>14294</v>
      </c>
      <c r="TNY3" t="s">
        <v>14295</v>
      </c>
      <c r="TNZ3" t="s">
        <v>14296</v>
      </c>
      <c r="TOA3" t="s">
        <v>14297</v>
      </c>
      <c r="TOB3" t="s">
        <v>14298</v>
      </c>
      <c r="TOC3" t="s">
        <v>14299</v>
      </c>
      <c r="TOD3" t="s">
        <v>14300</v>
      </c>
      <c r="TOE3" t="s">
        <v>14301</v>
      </c>
      <c r="TOF3" t="s">
        <v>14302</v>
      </c>
      <c r="TOG3" t="s">
        <v>14303</v>
      </c>
      <c r="TOH3" t="s">
        <v>14304</v>
      </c>
      <c r="TOI3" t="s">
        <v>14305</v>
      </c>
      <c r="TOJ3" t="s">
        <v>14306</v>
      </c>
      <c r="TOK3" t="s">
        <v>14307</v>
      </c>
      <c r="TOL3" t="s">
        <v>14308</v>
      </c>
      <c r="TOM3" t="s">
        <v>14309</v>
      </c>
      <c r="TON3" t="s">
        <v>14310</v>
      </c>
      <c r="TOO3" t="s">
        <v>14311</v>
      </c>
      <c r="TOP3" t="s">
        <v>14312</v>
      </c>
      <c r="TOQ3" t="s">
        <v>14313</v>
      </c>
      <c r="TOR3" t="s">
        <v>14314</v>
      </c>
      <c r="TOS3" t="s">
        <v>14315</v>
      </c>
      <c r="TOT3" t="s">
        <v>14316</v>
      </c>
      <c r="TOU3" t="s">
        <v>14317</v>
      </c>
      <c r="TOV3" t="s">
        <v>14318</v>
      </c>
      <c r="TOW3" t="s">
        <v>14319</v>
      </c>
      <c r="TOX3" t="s">
        <v>14320</v>
      </c>
      <c r="TOY3" t="s">
        <v>14321</v>
      </c>
      <c r="TOZ3" t="s">
        <v>14322</v>
      </c>
      <c r="TPA3" t="s">
        <v>14323</v>
      </c>
      <c r="TPB3" t="s">
        <v>14324</v>
      </c>
      <c r="TPC3" t="s">
        <v>14325</v>
      </c>
      <c r="TPD3" t="s">
        <v>14326</v>
      </c>
      <c r="TPE3" t="s">
        <v>14327</v>
      </c>
      <c r="TPF3" t="s">
        <v>14328</v>
      </c>
      <c r="TPG3" t="s">
        <v>14329</v>
      </c>
      <c r="TPH3" t="s">
        <v>14330</v>
      </c>
      <c r="TPI3" t="s">
        <v>14331</v>
      </c>
      <c r="TPJ3" t="s">
        <v>14332</v>
      </c>
      <c r="TPK3" t="s">
        <v>14333</v>
      </c>
      <c r="TPL3" t="s">
        <v>14334</v>
      </c>
      <c r="TPM3" t="s">
        <v>14335</v>
      </c>
      <c r="TPN3" t="s">
        <v>14336</v>
      </c>
      <c r="TPO3" t="s">
        <v>14337</v>
      </c>
      <c r="TPP3" t="s">
        <v>14338</v>
      </c>
      <c r="TPQ3" t="s">
        <v>14339</v>
      </c>
      <c r="TPR3" t="s">
        <v>14340</v>
      </c>
      <c r="TPS3" t="s">
        <v>14341</v>
      </c>
      <c r="TPT3" t="s">
        <v>14342</v>
      </c>
      <c r="TPU3" t="s">
        <v>14343</v>
      </c>
      <c r="TPV3" t="s">
        <v>14344</v>
      </c>
      <c r="TPW3" t="s">
        <v>14345</v>
      </c>
      <c r="TPX3" t="s">
        <v>14346</v>
      </c>
      <c r="TPY3" t="s">
        <v>14347</v>
      </c>
      <c r="TPZ3" t="s">
        <v>14348</v>
      </c>
      <c r="TQA3" t="s">
        <v>14349</v>
      </c>
      <c r="TQB3" t="s">
        <v>14350</v>
      </c>
      <c r="TQC3" t="s">
        <v>14351</v>
      </c>
      <c r="TQD3" t="s">
        <v>14352</v>
      </c>
      <c r="TQE3" t="s">
        <v>14353</v>
      </c>
      <c r="TQF3" t="s">
        <v>14354</v>
      </c>
      <c r="TQG3" t="s">
        <v>14355</v>
      </c>
      <c r="TQH3" t="s">
        <v>14356</v>
      </c>
      <c r="TQI3" t="s">
        <v>14357</v>
      </c>
      <c r="TQJ3" t="s">
        <v>14358</v>
      </c>
      <c r="TQK3" t="s">
        <v>14359</v>
      </c>
      <c r="TQL3" t="s">
        <v>14360</v>
      </c>
      <c r="TQM3" t="s">
        <v>14361</v>
      </c>
      <c r="TQN3" t="s">
        <v>14362</v>
      </c>
      <c r="TQO3" t="s">
        <v>14363</v>
      </c>
      <c r="TQP3" t="s">
        <v>14364</v>
      </c>
      <c r="TQQ3" t="s">
        <v>14365</v>
      </c>
      <c r="TQR3" t="s">
        <v>14366</v>
      </c>
      <c r="TQS3" t="s">
        <v>14367</v>
      </c>
      <c r="TQT3" t="s">
        <v>14368</v>
      </c>
      <c r="TQU3" t="s">
        <v>14369</v>
      </c>
      <c r="TQV3" t="s">
        <v>14370</v>
      </c>
      <c r="TQW3" t="s">
        <v>14371</v>
      </c>
      <c r="TQX3" t="s">
        <v>14372</v>
      </c>
      <c r="TQY3" t="s">
        <v>14373</v>
      </c>
      <c r="TQZ3" t="s">
        <v>14374</v>
      </c>
      <c r="TRA3" t="s">
        <v>14375</v>
      </c>
      <c r="TRB3" t="s">
        <v>14376</v>
      </c>
      <c r="TRC3" t="s">
        <v>14377</v>
      </c>
      <c r="TRD3" t="s">
        <v>14378</v>
      </c>
      <c r="TRE3" t="s">
        <v>14379</v>
      </c>
      <c r="TRF3" t="s">
        <v>14380</v>
      </c>
      <c r="TRG3" t="s">
        <v>14381</v>
      </c>
      <c r="TRH3" t="s">
        <v>14382</v>
      </c>
      <c r="TRI3" t="s">
        <v>14383</v>
      </c>
      <c r="TRJ3" t="s">
        <v>14384</v>
      </c>
      <c r="TRK3" t="s">
        <v>14385</v>
      </c>
      <c r="TRL3" t="s">
        <v>14386</v>
      </c>
      <c r="TRM3" t="s">
        <v>14387</v>
      </c>
      <c r="TRN3" t="s">
        <v>14388</v>
      </c>
      <c r="TRO3" t="s">
        <v>14389</v>
      </c>
      <c r="TRP3" t="s">
        <v>14390</v>
      </c>
      <c r="TRQ3" t="s">
        <v>14391</v>
      </c>
      <c r="TRR3" t="s">
        <v>14392</v>
      </c>
      <c r="TRS3" t="s">
        <v>14393</v>
      </c>
      <c r="TRT3" t="s">
        <v>14394</v>
      </c>
      <c r="TRU3" t="s">
        <v>14395</v>
      </c>
      <c r="TRV3" t="s">
        <v>14396</v>
      </c>
      <c r="TRW3" t="s">
        <v>14397</v>
      </c>
      <c r="TRX3" t="s">
        <v>14398</v>
      </c>
      <c r="TRY3" t="s">
        <v>14399</v>
      </c>
      <c r="TRZ3" t="s">
        <v>14400</v>
      </c>
      <c r="TSA3" t="s">
        <v>14401</v>
      </c>
      <c r="TSB3" t="s">
        <v>14402</v>
      </c>
      <c r="TSC3" t="s">
        <v>14403</v>
      </c>
      <c r="TSD3" t="s">
        <v>14404</v>
      </c>
      <c r="TSE3" t="s">
        <v>14405</v>
      </c>
      <c r="TSF3" t="s">
        <v>14406</v>
      </c>
      <c r="TSG3" t="s">
        <v>14407</v>
      </c>
      <c r="TSH3" t="s">
        <v>14408</v>
      </c>
      <c r="TSI3" t="s">
        <v>14409</v>
      </c>
      <c r="TSJ3" t="s">
        <v>14410</v>
      </c>
      <c r="TSK3" t="s">
        <v>14411</v>
      </c>
      <c r="TSL3" t="s">
        <v>14412</v>
      </c>
      <c r="TSM3" t="s">
        <v>14413</v>
      </c>
      <c r="TSN3" t="s">
        <v>14414</v>
      </c>
      <c r="TSO3" t="s">
        <v>14415</v>
      </c>
      <c r="TSP3" t="s">
        <v>14416</v>
      </c>
      <c r="TSQ3" t="s">
        <v>14417</v>
      </c>
      <c r="TSR3" t="s">
        <v>14418</v>
      </c>
      <c r="TSS3" t="s">
        <v>14419</v>
      </c>
      <c r="TST3" t="s">
        <v>14420</v>
      </c>
      <c r="TSU3" t="s">
        <v>14421</v>
      </c>
      <c r="TSV3" t="s">
        <v>14422</v>
      </c>
      <c r="TSW3" t="s">
        <v>14423</v>
      </c>
      <c r="TSX3" t="s">
        <v>14424</v>
      </c>
      <c r="TSY3" t="s">
        <v>14425</v>
      </c>
      <c r="TSZ3" t="s">
        <v>14426</v>
      </c>
      <c r="TTA3" t="s">
        <v>14427</v>
      </c>
      <c r="TTB3" t="s">
        <v>14428</v>
      </c>
      <c r="TTC3" t="s">
        <v>14429</v>
      </c>
      <c r="TTD3" t="s">
        <v>14430</v>
      </c>
      <c r="TTE3" t="s">
        <v>14431</v>
      </c>
      <c r="TTF3" t="s">
        <v>14432</v>
      </c>
      <c r="TTG3" t="s">
        <v>14433</v>
      </c>
      <c r="TTH3" t="s">
        <v>14434</v>
      </c>
      <c r="TTI3" t="s">
        <v>14435</v>
      </c>
      <c r="TTJ3" t="s">
        <v>14436</v>
      </c>
      <c r="TTK3" t="s">
        <v>14437</v>
      </c>
      <c r="TTL3" t="s">
        <v>14438</v>
      </c>
      <c r="TTM3" t="s">
        <v>14439</v>
      </c>
      <c r="TTN3" t="s">
        <v>14440</v>
      </c>
      <c r="TTO3" t="s">
        <v>14441</v>
      </c>
      <c r="TTP3" t="s">
        <v>14442</v>
      </c>
      <c r="TTQ3" t="s">
        <v>14443</v>
      </c>
      <c r="TTR3" t="s">
        <v>14444</v>
      </c>
      <c r="TTS3" t="s">
        <v>14445</v>
      </c>
      <c r="TTT3" t="s">
        <v>14446</v>
      </c>
      <c r="TTU3" t="s">
        <v>14447</v>
      </c>
      <c r="TTV3" t="s">
        <v>14448</v>
      </c>
      <c r="TTW3" t="s">
        <v>14449</v>
      </c>
      <c r="TTX3" t="s">
        <v>14450</v>
      </c>
      <c r="TTY3" t="s">
        <v>14451</v>
      </c>
      <c r="TTZ3" t="s">
        <v>14452</v>
      </c>
      <c r="TUA3" t="s">
        <v>14453</v>
      </c>
      <c r="TUB3" t="s">
        <v>14454</v>
      </c>
      <c r="TUC3" t="s">
        <v>14455</v>
      </c>
      <c r="TUD3" t="s">
        <v>14456</v>
      </c>
      <c r="TUE3" t="s">
        <v>14457</v>
      </c>
      <c r="TUF3" t="s">
        <v>14458</v>
      </c>
      <c r="TUG3" t="s">
        <v>14459</v>
      </c>
      <c r="TUH3" t="s">
        <v>14460</v>
      </c>
      <c r="TUI3" t="s">
        <v>14461</v>
      </c>
      <c r="TUJ3" t="s">
        <v>14462</v>
      </c>
      <c r="TUK3" t="s">
        <v>14463</v>
      </c>
      <c r="TUL3" t="s">
        <v>14464</v>
      </c>
      <c r="TUM3" t="s">
        <v>14465</v>
      </c>
      <c r="TUN3" t="s">
        <v>14466</v>
      </c>
      <c r="TUO3" t="s">
        <v>14467</v>
      </c>
      <c r="TUP3" t="s">
        <v>14468</v>
      </c>
      <c r="TUQ3" t="s">
        <v>14469</v>
      </c>
      <c r="TUR3" t="s">
        <v>14470</v>
      </c>
      <c r="TUS3" t="s">
        <v>14471</v>
      </c>
      <c r="TUT3" t="s">
        <v>14472</v>
      </c>
      <c r="TUU3" t="s">
        <v>14473</v>
      </c>
      <c r="TUV3" t="s">
        <v>14474</v>
      </c>
      <c r="TUW3" t="s">
        <v>14475</v>
      </c>
      <c r="TUX3" t="s">
        <v>14476</v>
      </c>
      <c r="TUY3" t="s">
        <v>14477</v>
      </c>
      <c r="TUZ3" t="s">
        <v>14478</v>
      </c>
      <c r="TVA3" t="s">
        <v>14479</v>
      </c>
      <c r="TVB3" t="s">
        <v>14480</v>
      </c>
      <c r="TVC3" t="s">
        <v>14481</v>
      </c>
      <c r="TVD3" t="s">
        <v>14482</v>
      </c>
      <c r="TVE3" t="s">
        <v>14483</v>
      </c>
      <c r="TVF3" t="s">
        <v>14484</v>
      </c>
      <c r="TVG3" t="s">
        <v>14485</v>
      </c>
      <c r="TVH3" t="s">
        <v>14486</v>
      </c>
      <c r="TVI3" t="s">
        <v>14487</v>
      </c>
      <c r="TVJ3" t="s">
        <v>14488</v>
      </c>
      <c r="TVK3" t="s">
        <v>14489</v>
      </c>
      <c r="TVL3" t="s">
        <v>14490</v>
      </c>
      <c r="TVM3" t="s">
        <v>14491</v>
      </c>
      <c r="TVN3" t="s">
        <v>14492</v>
      </c>
      <c r="TVO3" t="s">
        <v>14493</v>
      </c>
      <c r="TVP3" t="s">
        <v>14494</v>
      </c>
      <c r="TVQ3" t="s">
        <v>14495</v>
      </c>
      <c r="TVR3" t="s">
        <v>14496</v>
      </c>
      <c r="TVS3" t="s">
        <v>14497</v>
      </c>
      <c r="TVT3" t="s">
        <v>14498</v>
      </c>
      <c r="TVU3" t="s">
        <v>14499</v>
      </c>
      <c r="TVV3" t="s">
        <v>14500</v>
      </c>
      <c r="TVW3" t="s">
        <v>14501</v>
      </c>
      <c r="TVX3" t="s">
        <v>14502</v>
      </c>
      <c r="TVY3" t="s">
        <v>14503</v>
      </c>
      <c r="TVZ3" t="s">
        <v>14504</v>
      </c>
      <c r="TWA3" t="s">
        <v>14505</v>
      </c>
      <c r="TWB3" t="s">
        <v>14506</v>
      </c>
      <c r="TWC3" t="s">
        <v>14507</v>
      </c>
      <c r="TWD3" t="s">
        <v>14508</v>
      </c>
      <c r="TWE3" t="s">
        <v>14509</v>
      </c>
      <c r="TWF3" t="s">
        <v>14510</v>
      </c>
      <c r="TWG3" t="s">
        <v>14511</v>
      </c>
      <c r="TWH3" t="s">
        <v>14512</v>
      </c>
      <c r="TWI3" t="s">
        <v>14513</v>
      </c>
      <c r="TWJ3" t="s">
        <v>14514</v>
      </c>
      <c r="TWK3" t="s">
        <v>14515</v>
      </c>
      <c r="TWL3" t="s">
        <v>14516</v>
      </c>
      <c r="TWM3" t="s">
        <v>14517</v>
      </c>
      <c r="TWN3" t="s">
        <v>14518</v>
      </c>
      <c r="TWO3" t="s">
        <v>14519</v>
      </c>
      <c r="TWP3" t="s">
        <v>14520</v>
      </c>
      <c r="TWQ3" t="s">
        <v>14521</v>
      </c>
      <c r="TWR3" t="s">
        <v>14522</v>
      </c>
      <c r="TWS3" t="s">
        <v>14523</v>
      </c>
      <c r="TWT3" t="s">
        <v>14524</v>
      </c>
      <c r="TWU3" t="s">
        <v>14525</v>
      </c>
      <c r="TWV3" t="s">
        <v>14526</v>
      </c>
      <c r="TWW3" t="s">
        <v>14527</v>
      </c>
      <c r="TWX3" t="s">
        <v>14528</v>
      </c>
      <c r="TWY3" t="s">
        <v>14529</v>
      </c>
      <c r="TWZ3" t="s">
        <v>14530</v>
      </c>
      <c r="TXA3" t="s">
        <v>14531</v>
      </c>
      <c r="TXB3" t="s">
        <v>14532</v>
      </c>
      <c r="TXC3" t="s">
        <v>14533</v>
      </c>
      <c r="TXD3" t="s">
        <v>14534</v>
      </c>
      <c r="TXE3" t="s">
        <v>14535</v>
      </c>
      <c r="TXF3" t="s">
        <v>14536</v>
      </c>
      <c r="TXG3" t="s">
        <v>14537</v>
      </c>
      <c r="TXH3" t="s">
        <v>14538</v>
      </c>
      <c r="TXI3" t="s">
        <v>14539</v>
      </c>
      <c r="TXJ3" t="s">
        <v>14540</v>
      </c>
      <c r="TXK3" t="s">
        <v>14541</v>
      </c>
      <c r="TXL3" t="s">
        <v>14542</v>
      </c>
      <c r="TXM3" t="s">
        <v>14543</v>
      </c>
      <c r="TXN3" t="s">
        <v>14544</v>
      </c>
      <c r="TXO3" t="s">
        <v>14545</v>
      </c>
      <c r="TXP3" t="s">
        <v>14546</v>
      </c>
      <c r="TXQ3" t="s">
        <v>14547</v>
      </c>
      <c r="TXR3" t="s">
        <v>14548</v>
      </c>
      <c r="TXS3" t="s">
        <v>14549</v>
      </c>
      <c r="TXT3" t="s">
        <v>14550</v>
      </c>
      <c r="TXU3" t="s">
        <v>14551</v>
      </c>
      <c r="TXV3" t="s">
        <v>14552</v>
      </c>
      <c r="TXW3" t="s">
        <v>14553</v>
      </c>
      <c r="TXX3" t="s">
        <v>14554</v>
      </c>
      <c r="TXY3" t="s">
        <v>14555</v>
      </c>
      <c r="TXZ3" t="s">
        <v>14556</v>
      </c>
      <c r="TYA3" t="s">
        <v>14557</v>
      </c>
      <c r="TYB3" t="s">
        <v>14558</v>
      </c>
      <c r="TYC3" t="s">
        <v>14559</v>
      </c>
      <c r="TYD3" t="s">
        <v>14560</v>
      </c>
      <c r="TYE3" t="s">
        <v>14561</v>
      </c>
      <c r="TYF3" t="s">
        <v>14562</v>
      </c>
      <c r="TYG3" t="s">
        <v>14563</v>
      </c>
      <c r="TYH3" t="s">
        <v>14564</v>
      </c>
      <c r="TYI3" t="s">
        <v>14565</v>
      </c>
      <c r="TYJ3" t="s">
        <v>14566</v>
      </c>
      <c r="TYK3" t="s">
        <v>14567</v>
      </c>
      <c r="TYL3" t="s">
        <v>14568</v>
      </c>
      <c r="TYM3" t="s">
        <v>14569</v>
      </c>
      <c r="TYN3" t="s">
        <v>14570</v>
      </c>
      <c r="TYO3" t="s">
        <v>14571</v>
      </c>
      <c r="TYP3" t="s">
        <v>14572</v>
      </c>
      <c r="TYQ3" t="s">
        <v>14573</v>
      </c>
      <c r="TYR3" t="s">
        <v>14574</v>
      </c>
      <c r="TYS3" t="s">
        <v>14575</v>
      </c>
      <c r="TYT3" t="s">
        <v>14576</v>
      </c>
      <c r="TYU3" t="s">
        <v>14577</v>
      </c>
      <c r="TYV3" t="s">
        <v>14578</v>
      </c>
      <c r="TYW3" t="s">
        <v>14579</v>
      </c>
      <c r="TYX3" t="s">
        <v>14580</v>
      </c>
      <c r="TYY3" t="s">
        <v>14581</v>
      </c>
      <c r="TYZ3" t="s">
        <v>14582</v>
      </c>
      <c r="TZA3" t="s">
        <v>14583</v>
      </c>
      <c r="TZB3" t="s">
        <v>14584</v>
      </c>
      <c r="TZC3" t="s">
        <v>14585</v>
      </c>
      <c r="TZD3" t="s">
        <v>14586</v>
      </c>
      <c r="TZE3" t="s">
        <v>14587</v>
      </c>
      <c r="TZF3" t="s">
        <v>14588</v>
      </c>
      <c r="TZG3" t="s">
        <v>14589</v>
      </c>
      <c r="TZH3" t="s">
        <v>14590</v>
      </c>
      <c r="TZI3" t="s">
        <v>14591</v>
      </c>
      <c r="TZJ3" t="s">
        <v>14592</v>
      </c>
      <c r="TZK3" t="s">
        <v>14593</v>
      </c>
      <c r="TZL3" t="s">
        <v>14594</v>
      </c>
      <c r="TZM3" t="s">
        <v>14595</v>
      </c>
      <c r="TZN3" t="s">
        <v>14596</v>
      </c>
      <c r="TZO3" t="s">
        <v>14597</v>
      </c>
      <c r="TZP3" t="s">
        <v>14598</v>
      </c>
      <c r="TZQ3" t="s">
        <v>14599</v>
      </c>
      <c r="TZR3" t="s">
        <v>14600</v>
      </c>
      <c r="TZS3" t="s">
        <v>14601</v>
      </c>
      <c r="TZT3" t="s">
        <v>14602</v>
      </c>
      <c r="TZU3" t="s">
        <v>14603</v>
      </c>
      <c r="TZV3" t="s">
        <v>14604</v>
      </c>
      <c r="TZW3" t="s">
        <v>14605</v>
      </c>
      <c r="TZX3" t="s">
        <v>14606</v>
      </c>
      <c r="TZY3" t="s">
        <v>14607</v>
      </c>
      <c r="TZZ3" t="s">
        <v>14608</v>
      </c>
      <c r="UAA3" t="s">
        <v>14609</v>
      </c>
      <c r="UAB3" t="s">
        <v>14610</v>
      </c>
      <c r="UAC3" t="s">
        <v>14611</v>
      </c>
      <c r="UAD3" t="s">
        <v>14612</v>
      </c>
      <c r="UAE3" t="s">
        <v>14613</v>
      </c>
      <c r="UAF3" t="s">
        <v>14614</v>
      </c>
      <c r="UAG3" t="s">
        <v>14615</v>
      </c>
      <c r="UAH3" t="s">
        <v>14616</v>
      </c>
      <c r="UAI3" t="s">
        <v>14617</v>
      </c>
      <c r="UAJ3" t="s">
        <v>14618</v>
      </c>
      <c r="UAK3" t="s">
        <v>14619</v>
      </c>
      <c r="UAL3" t="s">
        <v>14620</v>
      </c>
      <c r="UAM3" t="s">
        <v>14621</v>
      </c>
      <c r="UAN3" t="s">
        <v>14622</v>
      </c>
      <c r="UAO3" t="s">
        <v>14623</v>
      </c>
      <c r="UAP3" t="s">
        <v>14624</v>
      </c>
      <c r="UAQ3" t="s">
        <v>14625</v>
      </c>
      <c r="UAR3" t="s">
        <v>14626</v>
      </c>
      <c r="UAS3" t="s">
        <v>14627</v>
      </c>
      <c r="UAT3" t="s">
        <v>14628</v>
      </c>
      <c r="UAU3" t="s">
        <v>14629</v>
      </c>
      <c r="UAV3" t="s">
        <v>14630</v>
      </c>
      <c r="UAW3" t="s">
        <v>14631</v>
      </c>
      <c r="UAX3" t="s">
        <v>14632</v>
      </c>
      <c r="UAY3" t="s">
        <v>14633</v>
      </c>
      <c r="UAZ3" t="s">
        <v>14634</v>
      </c>
      <c r="UBA3" t="s">
        <v>14635</v>
      </c>
      <c r="UBB3" t="s">
        <v>14636</v>
      </c>
      <c r="UBC3" t="s">
        <v>14637</v>
      </c>
      <c r="UBD3" t="s">
        <v>14638</v>
      </c>
      <c r="UBE3" t="s">
        <v>14639</v>
      </c>
      <c r="UBF3" t="s">
        <v>14640</v>
      </c>
      <c r="UBG3" t="s">
        <v>14641</v>
      </c>
      <c r="UBH3" t="s">
        <v>14642</v>
      </c>
      <c r="UBI3" t="s">
        <v>14643</v>
      </c>
      <c r="UBJ3" t="s">
        <v>14644</v>
      </c>
      <c r="UBK3" t="s">
        <v>14645</v>
      </c>
      <c r="UBL3" t="s">
        <v>14646</v>
      </c>
      <c r="UBM3" t="s">
        <v>14647</v>
      </c>
      <c r="UBN3" t="s">
        <v>14648</v>
      </c>
      <c r="UBO3" t="s">
        <v>14649</v>
      </c>
      <c r="UBP3" t="s">
        <v>14650</v>
      </c>
      <c r="UBQ3" t="s">
        <v>14651</v>
      </c>
      <c r="UBR3" t="s">
        <v>14652</v>
      </c>
      <c r="UBS3" t="s">
        <v>14653</v>
      </c>
      <c r="UBT3" t="s">
        <v>14654</v>
      </c>
      <c r="UBU3" t="s">
        <v>14655</v>
      </c>
      <c r="UBV3" t="s">
        <v>14656</v>
      </c>
      <c r="UBW3" t="s">
        <v>14657</v>
      </c>
      <c r="UBX3" t="s">
        <v>14658</v>
      </c>
      <c r="UBY3" t="s">
        <v>14659</v>
      </c>
      <c r="UBZ3" t="s">
        <v>14660</v>
      </c>
      <c r="UCA3" t="s">
        <v>14661</v>
      </c>
      <c r="UCB3" t="s">
        <v>14662</v>
      </c>
      <c r="UCC3" t="s">
        <v>14663</v>
      </c>
      <c r="UCD3" t="s">
        <v>14664</v>
      </c>
      <c r="UCE3" t="s">
        <v>14665</v>
      </c>
      <c r="UCF3" t="s">
        <v>14666</v>
      </c>
      <c r="UCG3" t="s">
        <v>14667</v>
      </c>
      <c r="UCH3" t="s">
        <v>14668</v>
      </c>
      <c r="UCI3" t="s">
        <v>14669</v>
      </c>
      <c r="UCJ3" t="s">
        <v>14670</v>
      </c>
      <c r="UCK3" t="s">
        <v>14671</v>
      </c>
      <c r="UCL3" t="s">
        <v>14672</v>
      </c>
      <c r="UCM3" t="s">
        <v>14673</v>
      </c>
      <c r="UCN3" t="s">
        <v>14674</v>
      </c>
      <c r="UCO3" t="s">
        <v>14675</v>
      </c>
      <c r="UCP3" t="s">
        <v>14676</v>
      </c>
      <c r="UCQ3" t="s">
        <v>14677</v>
      </c>
      <c r="UCR3" t="s">
        <v>14678</v>
      </c>
      <c r="UCS3" t="s">
        <v>14679</v>
      </c>
      <c r="UCT3" t="s">
        <v>14680</v>
      </c>
      <c r="UCU3" t="s">
        <v>14681</v>
      </c>
      <c r="UCV3" t="s">
        <v>14682</v>
      </c>
      <c r="UCW3" t="s">
        <v>14683</v>
      </c>
      <c r="UCX3" t="s">
        <v>14684</v>
      </c>
      <c r="UCY3" t="s">
        <v>14685</v>
      </c>
      <c r="UCZ3" t="s">
        <v>14686</v>
      </c>
      <c r="UDA3" t="s">
        <v>14687</v>
      </c>
      <c r="UDB3" t="s">
        <v>14688</v>
      </c>
      <c r="UDC3" t="s">
        <v>14689</v>
      </c>
      <c r="UDD3" t="s">
        <v>14690</v>
      </c>
      <c r="UDE3" t="s">
        <v>14691</v>
      </c>
      <c r="UDF3" t="s">
        <v>14692</v>
      </c>
      <c r="UDG3" t="s">
        <v>14693</v>
      </c>
      <c r="UDH3" t="s">
        <v>14694</v>
      </c>
      <c r="UDI3" t="s">
        <v>14695</v>
      </c>
      <c r="UDJ3" t="s">
        <v>14696</v>
      </c>
      <c r="UDK3" t="s">
        <v>14697</v>
      </c>
      <c r="UDL3" t="s">
        <v>14698</v>
      </c>
      <c r="UDM3" t="s">
        <v>14699</v>
      </c>
      <c r="UDN3" t="s">
        <v>14700</v>
      </c>
      <c r="UDO3" t="s">
        <v>14701</v>
      </c>
      <c r="UDP3" t="s">
        <v>14702</v>
      </c>
      <c r="UDQ3" t="s">
        <v>14703</v>
      </c>
      <c r="UDR3" t="s">
        <v>14704</v>
      </c>
      <c r="UDS3" t="s">
        <v>14705</v>
      </c>
      <c r="UDT3" t="s">
        <v>14706</v>
      </c>
      <c r="UDU3" t="s">
        <v>14707</v>
      </c>
      <c r="UDV3" t="s">
        <v>14708</v>
      </c>
      <c r="UDW3" t="s">
        <v>14709</v>
      </c>
      <c r="UDX3" t="s">
        <v>14710</v>
      </c>
      <c r="UDY3" t="s">
        <v>14711</v>
      </c>
      <c r="UDZ3" t="s">
        <v>14712</v>
      </c>
      <c r="UEA3" t="s">
        <v>14713</v>
      </c>
      <c r="UEB3" t="s">
        <v>14714</v>
      </c>
      <c r="UEC3" t="s">
        <v>14715</v>
      </c>
      <c r="UED3" t="s">
        <v>14716</v>
      </c>
      <c r="UEE3" t="s">
        <v>14717</v>
      </c>
      <c r="UEF3" t="s">
        <v>14718</v>
      </c>
      <c r="UEG3" t="s">
        <v>14719</v>
      </c>
      <c r="UEH3" t="s">
        <v>14720</v>
      </c>
      <c r="UEI3" t="s">
        <v>14721</v>
      </c>
      <c r="UEJ3" t="s">
        <v>14722</v>
      </c>
      <c r="UEK3" t="s">
        <v>14723</v>
      </c>
      <c r="UEL3" t="s">
        <v>14724</v>
      </c>
      <c r="UEM3" t="s">
        <v>14725</v>
      </c>
      <c r="UEN3" t="s">
        <v>14726</v>
      </c>
      <c r="UEO3" t="s">
        <v>14727</v>
      </c>
      <c r="UEP3" t="s">
        <v>14728</v>
      </c>
      <c r="UEQ3" t="s">
        <v>14729</v>
      </c>
      <c r="UER3" t="s">
        <v>14730</v>
      </c>
      <c r="UES3" t="s">
        <v>14731</v>
      </c>
      <c r="UET3" t="s">
        <v>14732</v>
      </c>
      <c r="UEU3" t="s">
        <v>14733</v>
      </c>
      <c r="UEV3" t="s">
        <v>14734</v>
      </c>
      <c r="UEW3" t="s">
        <v>14735</v>
      </c>
      <c r="UEX3" t="s">
        <v>14736</v>
      </c>
      <c r="UEY3" t="s">
        <v>14737</v>
      </c>
      <c r="UEZ3" t="s">
        <v>14738</v>
      </c>
      <c r="UFA3" t="s">
        <v>14739</v>
      </c>
      <c r="UFB3" t="s">
        <v>14740</v>
      </c>
      <c r="UFC3" t="s">
        <v>14741</v>
      </c>
      <c r="UFD3" t="s">
        <v>14742</v>
      </c>
      <c r="UFE3" t="s">
        <v>14743</v>
      </c>
      <c r="UFF3" t="s">
        <v>14744</v>
      </c>
      <c r="UFG3" t="s">
        <v>14745</v>
      </c>
      <c r="UFH3" t="s">
        <v>14746</v>
      </c>
      <c r="UFI3" t="s">
        <v>14747</v>
      </c>
      <c r="UFJ3" t="s">
        <v>14748</v>
      </c>
      <c r="UFK3" t="s">
        <v>14749</v>
      </c>
      <c r="UFL3" t="s">
        <v>14750</v>
      </c>
      <c r="UFM3" t="s">
        <v>14751</v>
      </c>
      <c r="UFN3" t="s">
        <v>14752</v>
      </c>
      <c r="UFO3" t="s">
        <v>14753</v>
      </c>
      <c r="UFP3" t="s">
        <v>14754</v>
      </c>
      <c r="UFQ3" t="s">
        <v>14755</v>
      </c>
      <c r="UFR3" t="s">
        <v>14756</v>
      </c>
      <c r="UFS3" t="s">
        <v>14757</v>
      </c>
      <c r="UFT3" t="s">
        <v>14758</v>
      </c>
      <c r="UFU3" t="s">
        <v>14759</v>
      </c>
      <c r="UFV3" t="s">
        <v>14760</v>
      </c>
      <c r="UFW3" t="s">
        <v>14761</v>
      </c>
      <c r="UFX3" t="s">
        <v>14762</v>
      </c>
      <c r="UFY3" t="s">
        <v>14763</v>
      </c>
      <c r="UFZ3" t="s">
        <v>14764</v>
      </c>
      <c r="UGA3" t="s">
        <v>14765</v>
      </c>
      <c r="UGB3" t="s">
        <v>14766</v>
      </c>
      <c r="UGC3" t="s">
        <v>14767</v>
      </c>
      <c r="UGD3" t="s">
        <v>14768</v>
      </c>
      <c r="UGE3" t="s">
        <v>14769</v>
      </c>
      <c r="UGF3" t="s">
        <v>14770</v>
      </c>
      <c r="UGG3" t="s">
        <v>14771</v>
      </c>
      <c r="UGH3" t="s">
        <v>14772</v>
      </c>
      <c r="UGI3" t="s">
        <v>14773</v>
      </c>
      <c r="UGJ3" t="s">
        <v>14774</v>
      </c>
      <c r="UGK3" t="s">
        <v>14775</v>
      </c>
      <c r="UGL3" t="s">
        <v>14776</v>
      </c>
      <c r="UGM3" t="s">
        <v>14777</v>
      </c>
      <c r="UGN3" t="s">
        <v>14778</v>
      </c>
      <c r="UGO3" t="s">
        <v>14779</v>
      </c>
      <c r="UGP3" t="s">
        <v>14780</v>
      </c>
      <c r="UGQ3" t="s">
        <v>14781</v>
      </c>
      <c r="UGR3" t="s">
        <v>14782</v>
      </c>
      <c r="UGS3" t="s">
        <v>14783</v>
      </c>
      <c r="UGT3" t="s">
        <v>14784</v>
      </c>
      <c r="UGU3" t="s">
        <v>14785</v>
      </c>
      <c r="UGV3" t="s">
        <v>14786</v>
      </c>
      <c r="UGW3" t="s">
        <v>14787</v>
      </c>
      <c r="UGX3" t="s">
        <v>14788</v>
      </c>
      <c r="UGY3" t="s">
        <v>14789</v>
      </c>
      <c r="UGZ3" t="s">
        <v>14790</v>
      </c>
      <c r="UHA3" t="s">
        <v>14791</v>
      </c>
      <c r="UHB3" t="s">
        <v>14792</v>
      </c>
      <c r="UHC3" t="s">
        <v>14793</v>
      </c>
      <c r="UHD3" t="s">
        <v>14794</v>
      </c>
      <c r="UHE3" t="s">
        <v>14795</v>
      </c>
      <c r="UHF3" t="s">
        <v>14796</v>
      </c>
      <c r="UHG3" t="s">
        <v>14797</v>
      </c>
      <c r="UHH3" t="s">
        <v>14798</v>
      </c>
      <c r="UHI3" t="s">
        <v>14799</v>
      </c>
      <c r="UHJ3" t="s">
        <v>14800</v>
      </c>
      <c r="UHK3" t="s">
        <v>14801</v>
      </c>
      <c r="UHL3" t="s">
        <v>14802</v>
      </c>
      <c r="UHM3" t="s">
        <v>14803</v>
      </c>
      <c r="UHN3" t="s">
        <v>14804</v>
      </c>
      <c r="UHO3" t="s">
        <v>14805</v>
      </c>
      <c r="UHP3" t="s">
        <v>14806</v>
      </c>
      <c r="UHQ3" t="s">
        <v>14807</v>
      </c>
      <c r="UHR3" t="s">
        <v>14808</v>
      </c>
      <c r="UHS3" t="s">
        <v>14809</v>
      </c>
      <c r="UHT3" t="s">
        <v>14810</v>
      </c>
      <c r="UHU3" t="s">
        <v>14811</v>
      </c>
      <c r="UHV3" t="s">
        <v>14812</v>
      </c>
      <c r="UHW3" t="s">
        <v>14813</v>
      </c>
      <c r="UHX3" t="s">
        <v>14814</v>
      </c>
      <c r="UHY3" t="s">
        <v>14815</v>
      </c>
      <c r="UHZ3" t="s">
        <v>14816</v>
      </c>
      <c r="UIA3" t="s">
        <v>14817</v>
      </c>
      <c r="UIB3" t="s">
        <v>14818</v>
      </c>
      <c r="UIC3" t="s">
        <v>14819</v>
      </c>
      <c r="UID3" t="s">
        <v>14820</v>
      </c>
      <c r="UIE3" t="s">
        <v>14821</v>
      </c>
      <c r="UIF3" t="s">
        <v>14822</v>
      </c>
      <c r="UIG3" t="s">
        <v>14823</v>
      </c>
      <c r="UIH3" t="s">
        <v>14824</v>
      </c>
      <c r="UII3" t="s">
        <v>14825</v>
      </c>
      <c r="UIJ3" t="s">
        <v>14826</v>
      </c>
      <c r="UIK3" t="s">
        <v>14827</v>
      </c>
      <c r="UIL3" t="s">
        <v>14828</v>
      </c>
      <c r="UIM3" t="s">
        <v>14829</v>
      </c>
      <c r="UIN3" t="s">
        <v>14830</v>
      </c>
      <c r="UIO3" t="s">
        <v>14831</v>
      </c>
      <c r="UIP3" t="s">
        <v>14832</v>
      </c>
      <c r="UIQ3" t="s">
        <v>14833</v>
      </c>
      <c r="UIR3" t="s">
        <v>14834</v>
      </c>
      <c r="UIS3" t="s">
        <v>14835</v>
      </c>
      <c r="UIT3" t="s">
        <v>14836</v>
      </c>
      <c r="UIU3" t="s">
        <v>14837</v>
      </c>
      <c r="UIV3" t="s">
        <v>14838</v>
      </c>
      <c r="UIW3" t="s">
        <v>14839</v>
      </c>
      <c r="UIX3" t="s">
        <v>14840</v>
      </c>
      <c r="UIY3" t="s">
        <v>14841</v>
      </c>
      <c r="UIZ3" t="s">
        <v>14842</v>
      </c>
      <c r="UJA3" t="s">
        <v>14843</v>
      </c>
      <c r="UJB3" t="s">
        <v>14844</v>
      </c>
      <c r="UJC3" t="s">
        <v>14845</v>
      </c>
      <c r="UJD3" t="s">
        <v>14846</v>
      </c>
      <c r="UJE3" t="s">
        <v>14847</v>
      </c>
      <c r="UJF3" t="s">
        <v>14848</v>
      </c>
      <c r="UJG3" t="s">
        <v>14849</v>
      </c>
      <c r="UJH3" t="s">
        <v>14850</v>
      </c>
      <c r="UJI3" t="s">
        <v>14851</v>
      </c>
      <c r="UJJ3" t="s">
        <v>14852</v>
      </c>
      <c r="UJK3" t="s">
        <v>14853</v>
      </c>
      <c r="UJL3" t="s">
        <v>14854</v>
      </c>
      <c r="UJM3" t="s">
        <v>14855</v>
      </c>
      <c r="UJN3" t="s">
        <v>14856</v>
      </c>
      <c r="UJO3" t="s">
        <v>14857</v>
      </c>
      <c r="UJP3" t="s">
        <v>14858</v>
      </c>
      <c r="UJQ3" t="s">
        <v>14859</v>
      </c>
      <c r="UJR3" t="s">
        <v>14860</v>
      </c>
      <c r="UJS3" t="s">
        <v>14861</v>
      </c>
      <c r="UJT3" t="s">
        <v>14862</v>
      </c>
      <c r="UJU3" t="s">
        <v>14863</v>
      </c>
      <c r="UJV3" t="s">
        <v>14864</v>
      </c>
      <c r="UJW3" t="s">
        <v>14865</v>
      </c>
      <c r="UJX3" t="s">
        <v>14866</v>
      </c>
      <c r="UJY3" t="s">
        <v>14867</v>
      </c>
      <c r="UJZ3" t="s">
        <v>14868</v>
      </c>
      <c r="UKA3" t="s">
        <v>14869</v>
      </c>
      <c r="UKB3" t="s">
        <v>14870</v>
      </c>
      <c r="UKC3" t="s">
        <v>14871</v>
      </c>
      <c r="UKD3" t="s">
        <v>14872</v>
      </c>
      <c r="UKE3" t="s">
        <v>14873</v>
      </c>
      <c r="UKF3" t="s">
        <v>14874</v>
      </c>
      <c r="UKG3" t="s">
        <v>14875</v>
      </c>
      <c r="UKH3" t="s">
        <v>14876</v>
      </c>
      <c r="UKI3" t="s">
        <v>14877</v>
      </c>
      <c r="UKJ3" t="s">
        <v>14878</v>
      </c>
      <c r="UKK3" t="s">
        <v>14879</v>
      </c>
      <c r="UKL3" t="s">
        <v>14880</v>
      </c>
      <c r="UKM3" t="s">
        <v>14881</v>
      </c>
      <c r="UKN3" t="s">
        <v>14882</v>
      </c>
      <c r="UKO3" t="s">
        <v>14883</v>
      </c>
      <c r="UKP3" t="s">
        <v>14884</v>
      </c>
      <c r="UKQ3" t="s">
        <v>14885</v>
      </c>
      <c r="UKR3" t="s">
        <v>14886</v>
      </c>
      <c r="UKS3" t="s">
        <v>14887</v>
      </c>
      <c r="UKT3" t="s">
        <v>14888</v>
      </c>
      <c r="UKU3" t="s">
        <v>14889</v>
      </c>
      <c r="UKV3" t="s">
        <v>14890</v>
      </c>
      <c r="UKW3" t="s">
        <v>14891</v>
      </c>
      <c r="UKX3" t="s">
        <v>14892</v>
      </c>
      <c r="UKY3" t="s">
        <v>14893</v>
      </c>
      <c r="UKZ3" t="s">
        <v>14894</v>
      </c>
      <c r="ULA3" t="s">
        <v>14895</v>
      </c>
      <c r="ULB3" t="s">
        <v>14896</v>
      </c>
      <c r="ULC3" t="s">
        <v>14897</v>
      </c>
      <c r="ULD3" t="s">
        <v>14898</v>
      </c>
      <c r="ULE3" t="s">
        <v>14899</v>
      </c>
      <c r="ULF3" t="s">
        <v>14900</v>
      </c>
      <c r="ULG3" t="s">
        <v>14901</v>
      </c>
      <c r="ULH3" t="s">
        <v>14902</v>
      </c>
      <c r="ULI3" t="s">
        <v>14903</v>
      </c>
      <c r="ULJ3" t="s">
        <v>14904</v>
      </c>
      <c r="ULK3" t="s">
        <v>14905</v>
      </c>
      <c r="ULL3" t="s">
        <v>14906</v>
      </c>
      <c r="ULM3" t="s">
        <v>14907</v>
      </c>
      <c r="ULN3" t="s">
        <v>14908</v>
      </c>
      <c r="ULO3" t="s">
        <v>14909</v>
      </c>
      <c r="ULP3" t="s">
        <v>14910</v>
      </c>
      <c r="ULQ3" t="s">
        <v>14911</v>
      </c>
      <c r="ULR3" t="s">
        <v>14912</v>
      </c>
      <c r="ULS3" t="s">
        <v>14913</v>
      </c>
      <c r="ULT3" t="s">
        <v>14914</v>
      </c>
      <c r="ULU3" t="s">
        <v>14915</v>
      </c>
      <c r="ULV3" t="s">
        <v>14916</v>
      </c>
      <c r="ULW3" t="s">
        <v>14917</v>
      </c>
      <c r="ULX3" t="s">
        <v>14918</v>
      </c>
      <c r="ULY3" t="s">
        <v>14919</v>
      </c>
      <c r="ULZ3" t="s">
        <v>14920</v>
      </c>
      <c r="UMA3" t="s">
        <v>14921</v>
      </c>
      <c r="UMB3" t="s">
        <v>14922</v>
      </c>
      <c r="UMC3" t="s">
        <v>14923</v>
      </c>
      <c r="UMD3" t="s">
        <v>14924</v>
      </c>
      <c r="UME3" t="s">
        <v>14925</v>
      </c>
      <c r="UMF3" t="s">
        <v>14926</v>
      </c>
      <c r="UMG3" t="s">
        <v>14927</v>
      </c>
      <c r="UMH3" t="s">
        <v>14928</v>
      </c>
      <c r="UMI3" t="s">
        <v>14929</v>
      </c>
      <c r="UMJ3" t="s">
        <v>14930</v>
      </c>
      <c r="UMK3" t="s">
        <v>14931</v>
      </c>
      <c r="UML3" t="s">
        <v>14932</v>
      </c>
      <c r="UMM3" t="s">
        <v>14933</v>
      </c>
      <c r="UMN3" t="s">
        <v>14934</v>
      </c>
      <c r="UMO3" t="s">
        <v>14935</v>
      </c>
      <c r="UMP3" t="s">
        <v>14936</v>
      </c>
      <c r="UMQ3" t="s">
        <v>14937</v>
      </c>
      <c r="UMR3" t="s">
        <v>14938</v>
      </c>
      <c r="UMS3" t="s">
        <v>14939</v>
      </c>
      <c r="UMT3" t="s">
        <v>14940</v>
      </c>
      <c r="UMU3" t="s">
        <v>14941</v>
      </c>
      <c r="UMV3" t="s">
        <v>14942</v>
      </c>
      <c r="UMW3" t="s">
        <v>14943</v>
      </c>
      <c r="UMX3" t="s">
        <v>14944</v>
      </c>
      <c r="UMY3" t="s">
        <v>14945</v>
      </c>
      <c r="UMZ3" t="s">
        <v>14946</v>
      </c>
      <c r="UNA3" t="s">
        <v>14947</v>
      </c>
      <c r="UNB3" t="s">
        <v>14948</v>
      </c>
      <c r="UNC3" t="s">
        <v>14949</v>
      </c>
      <c r="UND3" t="s">
        <v>14950</v>
      </c>
      <c r="UNE3" t="s">
        <v>14951</v>
      </c>
      <c r="UNF3" t="s">
        <v>14952</v>
      </c>
      <c r="UNG3" t="s">
        <v>14953</v>
      </c>
      <c r="UNH3" t="s">
        <v>14954</v>
      </c>
      <c r="UNI3" t="s">
        <v>14955</v>
      </c>
      <c r="UNJ3" t="s">
        <v>14956</v>
      </c>
      <c r="UNK3" t="s">
        <v>14957</v>
      </c>
      <c r="UNL3" t="s">
        <v>14958</v>
      </c>
      <c r="UNM3" t="s">
        <v>14959</v>
      </c>
      <c r="UNN3" t="s">
        <v>14960</v>
      </c>
      <c r="UNO3" t="s">
        <v>14961</v>
      </c>
      <c r="UNP3" t="s">
        <v>14962</v>
      </c>
      <c r="UNQ3" t="s">
        <v>14963</v>
      </c>
      <c r="UNR3" t="s">
        <v>14964</v>
      </c>
      <c r="UNS3" t="s">
        <v>14965</v>
      </c>
      <c r="UNT3" t="s">
        <v>14966</v>
      </c>
      <c r="UNU3" t="s">
        <v>14967</v>
      </c>
      <c r="UNV3" t="s">
        <v>14968</v>
      </c>
      <c r="UNW3" t="s">
        <v>14969</v>
      </c>
      <c r="UNX3" t="s">
        <v>14970</v>
      </c>
      <c r="UNY3" t="s">
        <v>14971</v>
      </c>
      <c r="UNZ3" t="s">
        <v>14972</v>
      </c>
      <c r="UOA3" t="s">
        <v>14973</v>
      </c>
      <c r="UOB3" t="s">
        <v>14974</v>
      </c>
      <c r="UOC3" t="s">
        <v>14975</v>
      </c>
      <c r="UOD3" t="s">
        <v>14976</v>
      </c>
      <c r="UOE3" t="s">
        <v>14977</v>
      </c>
      <c r="UOF3" t="s">
        <v>14978</v>
      </c>
      <c r="UOG3" t="s">
        <v>14979</v>
      </c>
      <c r="UOH3" t="s">
        <v>14980</v>
      </c>
      <c r="UOI3" t="s">
        <v>14981</v>
      </c>
      <c r="UOJ3" t="s">
        <v>14982</v>
      </c>
      <c r="UOK3" t="s">
        <v>14983</v>
      </c>
      <c r="UOL3" t="s">
        <v>14984</v>
      </c>
      <c r="UOM3" t="s">
        <v>14985</v>
      </c>
      <c r="UON3" t="s">
        <v>14986</v>
      </c>
      <c r="UOO3" t="s">
        <v>14987</v>
      </c>
      <c r="UOP3" t="s">
        <v>14988</v>
      </c>
      <c r="UOQ3" t="s">
        <v>14989</v>
      </c>
      <c r="UOR3" t="s">
        <v>14990</v>
      </c>
      <c r="UOS3" t="s">
        <v>14991</v>
      </c>
      <c r="UOT3" t="s">
        <v>14992</v>
      </c>
      <c r="UOU3" t="s">
        <v>14993</v>
      </c>
      <c r="UOV3" t="s">
        <v>14994</v>
      </c>
      <c r="UOW3" t="s">
        <v>14995</v>
      </c>
      <c r="UOX3" t="s">
        <v>14996</v>
      </c>
      <c r="UOY3" t="s">
        <v>14997</v>
      </c>
      <c r="UOZ3" t="s">
        <v>14998</v>
      </c>
      <c r="UPA3" t="s">
        <v>14999</v>
      </c>
      <c r="UPB3" t="s">
        <v>15000</v>
      </c>
      <c r="UPC3" t="s">
        <v>15001</v>
      </c>
      <c r="UPD3" t="s">
        <v>15002</v>
      </c>
      <c r="UPE3" t="s">
        <v>15003</v>
      </c>
      <c r="UPF3" t="s">
        <v>15004</v>
      </c>
      <c r="UPG3" t="s">
        <v>15005</v>
      </c>
      <c r="UPH3" t="s">
        <v>15006</v>
      </c>
      <c r="UPI3" t="s">
        <v>15007</v>
      </c>
      <c r="UPJ3" t="s">
        <v>15008</v>
      </c>
      <c r="UPK3" t="s">
        <v>15009</v>
      </c>
      <c r="UPL3" t="s">
        <v>15010</v>
      </c>
      <c r="UPM3" t="s">
        <v>15011</v>
      </c>
      <c r="UPN3" t="s">
        <v>15012</v>
      </c>
      <c r="UPO3" t="s">
        <v>15013</v>
      </c>
      <c r="UPP3" t="s">
        <v>15014</v>
      </c>
      <c r="UPQ3" t="s">
        <v>15015</v>
      </c>
      <c r="UPR3" t="s">
        <v>15016</v>
      </c>
      <c r="UPS3" t="s">
        <v>15017</v>
      </c>
      <c r="UPT3" t="s">
        <v>15018</v>
      </c>
      <c r="UPU3" t="s">
        <v>15019</v>
      </c>
      <c r="UPV3" t="s">
        <v>15020</v>
      </c>
      <c r="UPW3" t="s">
        <v>15021</v>
      </c>
      <c r="UPX3" t="s">
        <v>15022</v>
      </c>
      <c r="UPY3" t="s">
        <v>15023</v>
      </c>
      <c r="UPZ3" t="s">
        <v>15024</v>
      </c>
      <c r="UQA3" t="s">
        <v>15025</v>
      </c>
      <c r="UQB3" t="s">
        <v>15026</v>
      </c>
      <c r="UQC3" t="s">
        <v>15027</v>
      </c>
      <c r="UQD3" t="s">
        <v>15028</v>
      </c>
      <c r="UQE3" t="s">
        <v>15029</v>
      </c>
      <c r="UQF3" t="s">
        <v>15030</v>
      </c>
      <c r="UQG3" t="s">
        <v>15031</v>
      </c>
      <c r="UQH3" t="s">
        <v>15032</v>
      </c>
      <c r="UQI3" t="s">
        <v>15033</v>
      </c>
      <c r="UQJ3" t="s">
        <v>15034</v>
      </c>
      <c r="UQK3" t="s">
        <v>15035</v>
      </c>
      <c r="UQL3" t="s">
        <v>15036</v>
      </c>
      <c r="UQM3" t="s">
        <v>15037</v>
      </c>
      <c r="UQN3" t="s">
        <v>15038</v>
      </c>
      <c r="UQO3" t="s">
        <v>15039</v>
      </c>
      <c r="UQP3" t="s">
        <v>15040</v>
      </c>
      <c r="UQQ3" t="s">
        <v>15041</v>
      </c>
      <c r="UQR3" t="s">
        <v>15042</v>
      </c>
      <c r="UQS3" t="s">
        <v>15043</v>
      </c>
      <c r="UQT3" t="s">
        <v>15044</v>
      </c>
      <c r="UQU3" t="s">
        <v>15045</v>
      </c>
      <c r="UQV3" t="s">
        <v>15046</v>
      </c>
      <c r="UQW3" t="s">
        <v>15047</v>
      </c>
      <c r="UQX3" t="s">
        <v>15048</v>
      </c>
      <c r="UQY3" t="s">
        <v>15049</v>
      </c>
      <c r="UQZ3" t="s">
        <v>15050</v>
      </c>
      <c r="URA3" t="s">
        <v>15051</v>
      </c>
      <c r="URB3" t="s">
        <v>15052</v>
      </c>
      <c r="URC3" t="s">
        <v>15053</v>
      </c>
      <c r="URD3" t="s">
        <v>15054</v>
      </c>
      <c r="URE3" t="s">
        <v>15055</v>
      </c>
      <c r="URF3" t="s">
        <v>15056</v>
      </c>
      <c r="URG3" t="s">
        <v>15057</v>
      </c>
      <c r="URH3" t="s">
        <v>15058</v>
      </c>
      <c r="URI3" t="s">
        <v>15059</v>
      </c>
      <c r="URJ3" t="s">
        <v>15060</v>
      </c>
      <c r="URK3" t="s">
        <v>15061</v>
      </c>
      <c r="URL3" t="s">
        <v>15062</v>
      </c>
      <c r="URM3" t="s">
        <v>15063</v>
      </c>
      <c r="URN3" t="s">
        <v>15064</v>
      </c>
      <c r="URO3" t="s">
        <v>15065</v>
      </c>
      <c r="URP3" t="s">
        <v>15066</v>
      </c>
      <c r="URQ3" t="s">
        <v>15067</v>
      </c>
      <c r="URR3" t="s">
        <v>15068</v>
      </c>
      <c r="URS3" t="s">
        <v>15069</v>
      </c>
      <c r="URT3" t="s">
        <v>15070</v>
      </c>
      <c r="URU3" t="s">
        <v>15071</v>
      </c>
      <c r="URV3" t="s">
        <v>15072</v>
      </c>
      <c r="URW3" t="s">
        <v>15073</v>
      </c>
      <c r="URX3" t="s">
        <v>15074</v>
      </c>
      <c r="URY3" t="s">
        <v>15075</v>
      </c>
      <c r="URZ3" t="s">
        <v>15076</v>
      </c>
      <c r="USA3" t="s">
        <v>15077</v>
      </c>
      <c r="USB3" t="s">
        <v>15078</v>
      </c>
      <c r="USC3" t="s">
        <v>15079</v>
      </c>
      <c r="USD3" t="s">
        <v>15080</v>
      </c>
      <c r="USE3" t="s">
        <v>15081</v>
      </c>
      <c r="USF3" t="s">
        <v>15082</v>
      </c>
      <c r="USG3" t="s">
        <v>15083</v>
      </c>
      <c r="USH3" t="s">
        <v>15084</v>
      </c>
      <c r="USI3" t="s">
        <v>15085</v>
      </c>
      <c r="USJ3" t="s">
        <v>15086</v>
      </c>
      <c r="USK3" t="s">
        <v>15087</v>
      </c>
      <c r="USL3" t="s">
        <v>15088</v>
      </c>
      <c r="USM3" t="s">
        <v>15089</v>
      </c>
      <c r="USN3" t="s">
        <v>15090</v>
      </c>
      <c r="USO3" t="s">
        <v>15091</v>
      </c>
      <c r="USP3" t="s">
        <v>15092</v>
      </c>
      <c r="USQ3" t="s">
        <v>15093</v>
      </c>
      <c r="USR3" t="s">
        <v>15094</v>
      </c>
      <c r="USS3" t="s">
        <v>15095</v>
      </c>
      <c r="UST3" t="s">
        <v>15096</v>
      </c>
      <c r="USU3" t="s">
        <v>15097</v>
      </c>
      <c r="USV3" t="s">
        <v>15098</v>
      </c>
      <c r="USW3" t="s">
        <v>15099</v>
      </c>
      <c r="USX3" t="s">
        <v>15100</v>
      </c>
      <c r="USY3" t="s">
        <v>15101</v>
      </c>
      <c r="USZ3" t="s">
        <v>15102</v>
      </c>
      <c r="UTA3" t="s">
        <v>15103</v>
      </c>
      <c r="UTB3" t="s">
        <v>15104</v>
      </c>
      <c r="UTC3" t="s">
        <v>15105</v>
      </c>
      <c r="UTD3" t="s">
        <v>15106</v>
      </c>
      <c r="UTE3" t="s">
        <v>15107</v>
      </c>
      <c r="UTF3" t="s">
        <v>15108</v>
      </c>
      <c r="UTG3" t="s">
        <v>15109</v>
      </c>
      <c r="UTH3" t="s">
        <v>15110</v>
      </c>
      <c r="UTI3" t="s">
        <v>15111</v>
      </c>
      <c r="UTJ3" t="s">
        <v>15112</v>
      </c>
      <c r="UTK3" t="s">
        <v>15113</v>
      </c>
      <c r="UTL3" t="s">
        <v>15114</v>
      </c>
      <c r="UTM3" t="s">
        <v>15115</v>
      </c>
      <c r="UTN3" t="s">
        <v>15116</v>
      </c>
      <c r="UTO3" t="s">
        <v>15117</v>
      </c>
      <c r="UTP3" t="s">
        <v>15118</v>
      </c>
      <c r="UTQ3" t="s">
        <v>15119</v>
      </c>
      <c r="UTR3" t="s">
        <v>15120</v>
      </c>
      <c r="UTS3" t="s">
        <v>15121</v>
      </c>
      <c r="UTT3" t="s">
        <v>15122</v>
      </c>
      <c r="UTU3" t="s">
        <v>15123</v>
      </c>
      <c r="UTV3" t="s">
        <v>15124</v>
      </c>
      <c r="UTW3" t="s">
        <v>15125</v>
      </c>
      <c r="UTX3" t="s">
        <v>15126</v>
      </c>
      <c r="UTY3" t="s">
        <v>15127</v>
      </c>
      <c r="UTZ3" t="s">
        <v>15128</v>
      </c>
      <c r="UUA3" t="s">
        <v>15129</v>
      </c>
      <c r="UUB3" t="s">
        <v>15130</v>
      </c>
      <c r="UUC3" t="s">
        <v>15131</v>
      </c>
      <c r="UUD3" t="s">
        <v>15132</v>
      </c>
      <c r="UUE3" t="s">
        <v>15133</v>
      </c>
      <c r="UUF3" t="s">
        <v>15134</v>
      </c>
      <c r="UUG3" t="s">
        <v>15135</v>
      </c>
      <c r="UUH3" t="s">
        <v>15136</v>
      </c>
      <c r="UUI3" t="s">
        <v>15137</v>
      </c>
      <c r="UUJ3" t="s">
        <v>15138</v>
      </c>
      <c r="UUK3" t="s">
        <v>15139</v>
      </c>
      <c r="UUL3" t="s">
        <v>15140</v>
      </c>
      <c r="UUM3" t="s">
        <v>15141</v>
      </c>
      <c r="UUN3" t="s">
        <v>15142</v>
      </c>
      <c r="UUO3" t="s">
        <v>15143</v>
      </c>
      <c r="UUP3" t="s">
        <v>15144</v>
      </c>
      <c r="UUQ3" t="s">
        <v>15145</v>
      </c>
      <c r="UUR3" t="s">
        <v>15146</v>
      </c>
      <c r="UUS3" t="s">
        <v>15147</v>
      </c>
      <c r="UUT3" t="s">
        <v>15148</v>
      </c>
      <c r="UUU3" t="s">
        <v>15149</v>
      </c>
      <c r="UUV3" t="s">
        <v>15150</v>
      </c>
      <c r="UUW3" t="s">
        <v>15151</v>
      </c>
      <c r="UUX3" t="s">
        <v>15152</v>
      </c>
      <c r="UUY3" t="s">
        <v>15153</v>
      </c>
      <c r="UUZ3" t="s">
        <v>15154</v>
      </c>
      <c r="UVA3" t="s">
        <v>15155</v>
      </c>
      <c r="UVB3" t="s">
        <v>15156</v>
      </c>
      <c r="UVC3" t="s">
        <v>15157</v>
      </c>
      <c r="UVD3" t="s">
        <v>15158</v>
      </c>
      <c r="UVE3" t="s">
        <v>15159</v>
      </c>
      <c r="UVF3" t="s">
        <v>15160</v>
      </c>
      <c r="UVG3" t="s">
        <v>15161</v>
      </c>
      <c r="UVH3" t="s">
        <v>15162</v>
      </c>
      <c r="UVI3" t="s">
        <v>15163</v>
      </c>
      <c r="UVJ3" t="s">
        <v>15164</v>
      </c>
      <c r="UVK3" t="s">
        <v>15165</v>
      </c>
      <c r="UVL3" t="s">
        <v>15166</v>
      </c>
      <c r="UVM3" t="s">
        <v>15167</v>
      </c>
      <c r="UVN3" t="s">
        <v>15168</v>
      </c>
      <c r="UVO3" t="s">
        <v>15169</v>
      </c>
      <c r="UVP3" t="s">
        <v>15170</v>
      </c>
      <c r="UVQ3" t="s">
        <v>15171</v>
      </c>
      <c r="UVR3" t="s">
        <v>15172</v>
      </c>
      <c r="UVS3" t="s">
        <v>15173</v>
      </c>
      <c r="UVT3" t="s">
        <v>15174</v>
      </c>
      <c r="UVU3" t="s">
        <v>15175</v>
      </c>
      <c r="UVV3" t="s">
        <v>15176</v>
      </c>
      <c r="UVW3" t="s">
        <v>15177</v>
      </c>
      <c r="UVX3" t="s">
        <v>15178</v>
      </c>
      <c r="UVY3" t="s">
        <v>15179</v>
      </c>
      <c r="UVZ3" t="s">
        <v>15180</v>
      </c>
      <c r="UWA3" t="s">
        <v>15181</v>
      </c>
      <c r="UWB3" t="s">
        <v>15182</v>
      </c>
      <c r="UWC3" t="s">
        <v>15183</v>
      </c>
      <c r="UWD3" t="s">
        <v>15184</v>
      </c>
      <c r="UWE3" t="s">
        <v>15185</v>
      </c>
      <c r="UWF3" t="s">
        <v>15186</v>
      </c>
      <c r="UWG3" t="s">
        <v>15187</v>
      </c>
      <c r="UWH3" t="s">
        <v>15188</v>
      </c>
      <c r="UWI3" t="s">
        <v>15189</v>
      </c>
      <c r="UWJ3" t="s">
        <v>15190</v>
      </c>
      <c r="UWK3" t="s">
        <v>15191</v>
      </c>
      <c r="UWL3" t="s">
        <v>15192</v>
      </c>
      <c r="UWM3" t="s">
        <v>15193</v>
      </c>
      <c r="UWN3" t="s">
        <v>15194</v>
      </c>
      <c r="UWO3" t="s">
        <v>15195</v>
      </c>
      <c r="UWP3" t="s">
        <v>15196</v>
      </c>
      <c r="UWQ3" t="s">
        <v>15197</v>
      </c>
      <c r="UWR3" t="s">
        <v>15198</v>
      </c>
      <c r="UWS3" t="s">
        <v>15199</v>
      </c>
      <c r="UWT3" t="s">
        <v>15200</v>
      </c>
      <c r="UWU3" t="s">
        <v>15201</v>
      </c>
      <c r="UWV3" t="s">
        <v>15202</v>
      </c>
      <c r="UWW3" t="s">
        <v>15203</v>
      </c>
      <c r="UWX3" t="s">
        <v>15204</v>
      </c>
      <c r="UWY3" t="s">
        <v>15205</v>
      </c>
      <c r="UWZ3" t="s">
        <v>15206</v>
      </c>
      <c r="UXA3" t="s">
        <v>15207</v>
      </c>
      <c r="UXB3" t="s">
        <v>15208</v>
      </c>
      <c r="UXC3" t="s">
        <v>15209</v>
      </c>
      <c r="UXD3" t="s">
        <v>15210</v>
      </c>
      <c r="UXE3" t="s">
        <v>15211</v>
      </c>
      <c r="UXF3" t="s">
        <v>15212</v>
      </c>
      <c r="UXG3" t="s">
        <v>15213</v>
      </c>
      <c r="UXH3" t="s">
        <v>15214</v>
      </c>
      <c r="UXI3" t="s">
        <v>15215</v>
      </c>
      <c r="UXJ3" t="s">
        <v>15216</v>
      </c>
      <c r="UXK3" t="s">
        <v>15217</v>
      </c>
      <c r="UXL3" t="s">
        <v>15218</v>
      </c>
      <c r="UXM3" t="s">
        <v>15219</v>
      </c>
      <c r="UXN3" t="s">
        <v>15220</v>
      </c>
      <c r="UXO3" t="s">
        <v>15221</v>
      </c>
      <c r="UXP3" t="s">
        <v>15222</v>
      </c>
      <c r="UXQ3" t="s">
        <v>15223</v>
      </c>
      <c r="UXR3" t="s">
        <v>15224</v>
      </c>
      <c r="UXS3" t="s">
        <v>15225</v>
      </c>
      <c r="UXT3" t="s">
        <v>15226</v>
      </c>
      <c r="UXU3" t="s">
        <v>15227</v>
      </c>
      <c r="UXV3" t="s">
        <v>15228</v>
      </c>
      <c r="UXW3" t="s">
        <v>15229</v>
      </c>
      <c r="UXX3" t="s">
        <v>15230</v>
      </c>
      <c r="UXY3" t="s">
        <v>15231</v>
      </c>
      <c r="UXZ3" t="s">
        <v>15232</v>
      </c>
      <c r="UYA3" t="s">
        <v>15233</v>
      </c>
      <c r="UYB3" t="s">
        <v>15234</v>
      </c>
      <c r="UYC3" t="s">
        <v>15235</v>
      </c>
      <c r="UYD3" t="s">
        <v>15236</v>
      </c>
      <c r="UYE3" t="s">
        <v>15237</v>
      </c>
      <c r="UYF3" t="s">
        <v>15238</v>
      </c>
      <c r="UYG3" t="s">
        <v>15239</v>
      </c>
      <c r="UYH3" t="s">
        <v>15240</v>
      </c>
      <c r="UYI3" t="s">
        <v>15241</v>
      </c>
      <c r="UYJ3" t="s">
        <v>15242</v>
      </c>
      <c r="UYK3" t="s">
        <v>15243</v>
      </c>
      <c r="UYL3" t="s">
        <v>15244</v>
      </c>
      <c r="UYM3" t="s">
        <v>15245</v>
      </c>
      <c r="UYN3" t="s">
        <v>15246</v>
      </c>
      <c r="UYO3" t="s">
        <v>15247</v>
      </c>
      <c r="UYP3" t="s">
        <v>15248</v>
      </c>
      <c r="UYQ3" t="s">
        <v>15249</v>
      </c>
      <c r="UYR3" t="s">
        <v>15250</v>
      </c>
      <c r="UYS3" t="s">
        <v>15251</v>
      </c>
      <c r="UYT3" t="s">
        <v>15252</v>
      </c>
      <c r="UYU3" t="s">
        <v>15253</v>
      </c>
      <c r="UYV3" t="s">
        <v>15254</v>
      </c>
      <c r="UYW3" t="s">
        <v>15255</v>
      </c>
      <c r="UYX3" t="s">
        <v>15256</v>
      </c>
      <c r="UYY3" t="s">
        <v>15257</v>
      </c>
      <c r="UYZ3" t="s">
        <v>15258</v>
      </c>
      <c r="UZA3" t="s">
        <v>15259</v>
      </c>
      <c r="UZB3" t="s">
        <v>15260</v>
      </c>
      <c r="UZC3" t="s">
        <v>15261</v>
      </c>
      <c r="UZD3" t="s">
        <v>15262</v>
      </c>
      <c r="UZE3" t="s">
        <v>15263</v>
      </c>
      <c r="UZF3" t="s">
        <v>15264</v>
      </c>
      <c r="UZG3" t="s">
        <v>15265</v>
      </c>
      <c r="UZH3" t="s">
        <v>15266</v>
      </c>
      <c r="UZI3" t="s">
        <v>15267</v>
      </c>
      <c r="UZJ3" t="s">
        <v>15268</v>
      </c>
      <c r="UZK3" t="s">
        <v>15269</v>
      </c>
      <c r="UZL3" t="s">
        <v>15270</v>
      </c>
      <c r="UZM3" t="s">
        <v>15271</v>
      </c>
      <c r="UZN3" t="s">
        <v>15272</v>
      </c>
      <c r="UZO3" t="s">
        <v>15273</v>
      </c>
      <c r="UZP3" t="s">
        <v>15274</v>
      </c>
      <c r="UZQ3" t="s">
        <v>15275</v>
      </c>
      <c r="UZR3" t="s">
        <v>15276</v>
      </c>
      <c r="UZS3" t="s">
        <v>15277</v>
      </c>
      <c r="UZT3" t="s">
        <v>15278</v>
      </c>
      <c r="UZU3" t="s">
        <v>15279</v>
      </c>
      <c r="UZV3" t="s">
        <v>15280</v>
      </c>
      <c r="UZW3" t="s">
        <v>15281</v>
      </c>
      <c r="UZX3" t="s">
        <v>15282</v>
      </c>
      <c r="UZY3" t="s">
        <v>15283</v>
      </c>
      <c r="UZZ3" t="s">
        <v>15284</v>
      </c>
      <c r="VAA3" t="s">
        <v>15285</v>
      </c>
      <c r="VAB3" t="s">
        <v>15286</v>
      </c>
      <c r="VAC3" t="s">
        <v>15287</v>
      </c>
      <c r="VAD3" t="s">
        <v>15288</v>
      </c>
      <c r="VAE3" t="s">
        <v>15289</v>
      </c>
      <c r="VAF3" t="s">
        <v>15290</v>
      </c>
      <c r="VAG3" t="s">
        <v>15291</v>
      </c>
      <c r="VAH3" t="s">
        <v>15292</v>
      </c>
      <c r="VAI3" t="s">
        <v>15293</v>
      </c>
      <c r="VAJ3" t="s">
        <v>15294</v>
      </c>
      <c r="VAK3" t="s">
        <v>15295</v>
      </c>
      <c r="VAL3" t="s">
        <v>15296</v>
      </c>
      <c r="VAM3" t="s">
        <v>15297</v>
      </c>
      <c r="VAN3" t="s">
        <v>15298</v>
      </c>
      <c r="VAO3" t="s">
        <v>15299</v>
      </c>
      <c r="VAP3" t="s">
        <v>15300</v>
      </c>
      <c r="VAQ3" t="s">
        <v>15301</v>
      </c>
      <c r="VAR3" t="s">
        <v>15302</v>
      </c>
      <c r="VAS3" t="s">
        <v>15303</v>
      </c>
      <c r="VAT3" t="s">
        <v>15304</v>
      </c>
      <c r="VAU3" t="s">
        <v>15305</v>
      </c>
      <c r="VAV3" t="s">
        <v>15306</v>
      </c>
      <c r="VAW3" t="s">
        <v>15307</v>
      </c>
      <c r="VAX3" t="s">
        <v>15308</v>
      </c>
      <c r="VAY3" t="s">
        <v>15309</v>
      </c>
      <c r="VAZ3" t="s">
        <v>15310</v>
      </c>
      <c r="VBA3" t="s">
        <v>15311</v>
      </c>
      <c r="VBB3" t="s">
        <v>15312</v>
      </c>
      <c r="VBC3" t="s">
        <v>15313</v>
      </c>
      <c r="VBD3" t="s">
        <v>15314</v>
      </c>
      <c r="VBE3" t="s">
        <v>15315</v>
      </c>
      <c r="VBF3" t="s">
        <v>15316</v>
      </c>
      <c r="VBG3" t="s">
        <v>15317</v>
      </c>
      <c r="VBH3" t="s">
        <v>15318</v>
      </c>
      <c r="VBI3" t="s">
        <v>15319</v>
      </c>
      <c r="VBJ3" t="s">
        <v>15320</v>
      </c>
      <c r="VBK3" t="s">
        <v>15321</v>
      </c>
      <c r="VBL3" t="s">
        <v>15322</v>
      </c>
      <c r="VBM3" t="s">
        <v>15323</v>
      </c>
      <c r="VBN3" t="s">
        <v>15324</v>
      </c>
      <c r="VBO3" t="s">
        <v>15325</v>
      </c>
      <c r="VBP3" t="s">
        <v>15326</v>
      </c>
      <c r="VBQ3" t="s">
        <v>15327</v>
      </c>
      <c r="VBR3" t="s">
        <v>15328</v>
      </c>
      <c r="VBS3" t="s">
        <v>15329</v>
      </c>
      <c r="VBT3" t="s">
        <v>15330</v>
      </c>
      <c r="VBU3" t="s">
        <v>15331</v>
      </c>
      <c r="VBV3" t="s">
        <v>15332</v>
      </c>
      <c r="VBW3" t="s">
        <v>15333</v>
      </c>
      <c r="VBX3" t="s">
        <v>15334</v>
      </c>
      <c r="VBY3" t="s">
        <v>15335</v>
      </c>
      <c r="VBZ3" t="s">
        <v>15336</v>
      </c>
      <c r="VCA3" t="s">
        <v>15337</v>
      </c>
      <c r="VCB3" t="s">
        <v>15338</v>
      </c>
      <c r="VCC3" t="s">
        <v>15339</v>
      </c>
      <c r="VCD3" t="s">
        <v>15340</v>
      </c>
      <c r="VCE3" t="s">
        <v>15341</v>
      </c>
      <c r="VCF3" t="s">
        <v>15342</v>
      </c>
      <c r="VCG3" t="s">
        <v>15343</v>
      </c>
      <c r="VCH3" t="s">
        <v>15344</v>
      </c>
      <c r="VCI3" t="s">
        <v>15345</v>
      </c>
      <c r="VCJ3" t="s">
        <v>15346</v>
      </c>
      <c r="VCK3" t="s">
        <v>15347</v>
      </c>
      <c r="VCL3" t="s">
        <v>15348</v>
      </c>
      <c r="VCM3" t="s">
        <v>15349</v>
      </c>
      <c r="VCN3" t="s">
        <v>15350</v>
      </c>
      <c r="VCO3" t="s">
        <v>15351</v>
      </c>
      <c r="VCP3" t="s">
        <v>15352</v>
      </c>
      <c r="VCQ3" t="s">
        <v>15353</v>
      </c>
      <c r="VCR3" t="s">
        <v>15354</v>
      </c>
      <c r="VCS3" t="s">
        <v>15355</v>
      </c>
      <c r="VCT3" t="s">
        <v>15356</v>
      </c>
      <c r="VCU3" t="s">
        <v>15357</v>
      </c>
      <c r="VCV3" t="s">
        <v>15358</v>
      </c>
      <c r="VCW3" t="s">
        <v>15359</v>
      </c>
      <c r="VCX3" t="s">
        <v>15360</v>
      </c>
      <c r="VCY3" t="s">
        <v>15361</v>
      </c>
      <c r="VCZ3" t="s">
        <v>15362</v>
      </c>
      <c r="VDA3" t="s">
        <v>15363</v>
      </c>
      <c r="VDB3" t="s">
        <v>15364</v>
      </c>
      <c r="VDC3" t="s">
        <v>15365</v>
      </c>
      <c r="VDD3" t="s">
        <v>15366</v>
      </c>
      <c r="VDE3" t="s">
        <v>15367</v>
      </c>
      <c r="VDF3" t="s">
        <v>15368</v>
      </c>
      <c r="VDG3" t="s">
        <v>15369</v>
      </c>
      <c r="VDH3" t="s">
        <v>15370</v>
      </c>
      <c r="VDI3" t="s">
        <v>15371</v>
      </c>
      <c r="VDJ3" t="s">
        <v>15372</v>
      </c>
      <c r="VDK3" t="s">
        <v>15373</v>
      </c>
      <c r="VDL3" t="s">
        <v>15374</v>
      </c>
      <c r="VDM3" t="s">
        <v>15375</v>
      </c>
      <c r="VDN3" t="s">
        <v>15376</v>
      </c>
      <c r="VDO3" t="s">
        <v>15377</v>
      </c>
      <c r="VDP3" t="s">
        <v>15378</v>
      </c>
      <c r="VDQ3" t="s">
        <v>15379</v>
      </c>
      <c r="VDR3" t="s">
        <v>15380</v>
      </c>
      <c r="VDS3" t="s">
        <v>15381</v>
      </c>
      <c r="VDT3" t="s">
        <v>15382</v>
      </c>
      <c r="VDU3" t="s">
        <v>15383</v>
      </c>
      <c r="VDV3" t="s">
        <v>15384</v>
      </c>
      <c r="VDW3" t="s">
        <v>15385</v>
      </c>
      <c r="VDX3" t="s">
        <v>15386</v>
      </c>
      <c r="VDY3" t="s">
        <v>15387</v>
      </c>
      <c r="VDZ3" t="s">
        <v>15388</v>
      </c>
      <c r="VEA3" t="s">
        <v>15389</v>
      </c>
      <c r="VEB3" t="s">
        <v>15390</v>
      </c>
      <c r="VEC3" t="s">
        <v>15391</v>
      </c>
      <c r="VED3" t="s">
        <v>15392</v>
      </c>
      <c r="VEE3" t="s">
        <v>15393</v>
      </c>
      <c r="VEF3" t="s">
        <v>15394</v>
      </c>
      <c r="VEG3" t="s">
        <v>15395</v>
      </c>
      <c r="VEH3" t="s">
        <v>15396</v>
      </c>
      <c r="VEI3" t="s">
        <v>15397</v>
      </c>
      <c r="VEJ3" t="s">
        <v>15398</v>
      </c>
      <c r="VEK3" t="s">
        <v>15399</v>
      </c>
      <c r="VEL3" t="s">
        <v>15400</v>
      </c>
      <c r="VEM3" t="s">
        <v>15401</v>
      </c>
      <c r="VEN3" t="s">
        <v>15402</v>
      </c>
      <c r="VEO3" t="s">
        <v>15403</v>
      </c>
      <c r="VEP3" t="s">
        <v>15404</v>
      </c>
      <c r="VEQ3" t="s">
        <v>15405</v>
      </c>
      <c r="VER3" t="s">
        <v>15406</v>
      </c>
      <c r="VES3" t="s">
        <v>15407</v>
      </c>
      <c r="VET3" t="s">
        <v>15408</v>
      </c>
      <c r="VEU3" t="s">
        <v>15409</v>
      </c>
      <c r="VEV3" t="s">
        <v>15410</v>
      </c>
      <c r="VEW3" t="s">
        <v>15411</v>
      </c>
      <c r="VEX3" t="s">
        <v>15412</v>
      </c>
      <c r="VEY3" t="s">
        <v>15413</v>
      </c>
      <c r="VEZ3" t="s">
        <v>15414</v>
      </c>
      <c r="VFA3" t="s">
        <v>15415</v>
      </c>
      <c r="VFB3" t="s">
        <v>15416</v>
      </c>
      <c r="VFC3" t="s">
        <v>15417</v>
      </c>
      <c r="VFD3" t="s">
        <v>15418</v>
      </c>
      <c r="VFE3" t="s">
        <v>15419</v>
      </c>
      <c r="VFF3" t="s">
        <v>15420</v>
      </c>
      <c r="VFG3" t="s">
        <v>15421</v>
      </c>
      <c r="VFH3" t="s">
        <v>15422</v>
      </c>
      <c r="VFI3" t="s">
        <v>15423</v>
      </c>
      <c r="VFJ3" t="s">
        <v>15424</v>
      </c>
      <c r="VFK3" t="s">
        <v>15425</v>
      </c>
      <c r="VFL3" t="s">
        <v>15426</v>
      </c>
      <c r="VFM3" t="s">
        <v>15427</v>
      </c>
      <c r="VFN3" t="s">
        <v>15428</v>
      </c>
      <c r="VFO3" t="s">
        <v>15429</v>
      </c>
      <c r="VFP3" t="s">
        <v>15430</v>
      </c>
      <c r="VFQ3" t="s">
        <v>15431</v>
      </c>
      <c r="VFR3" t="s">
        <v>15432</v>
      </c>
      <c r="VFS3" t="s">
        <v>15433</v>
      </c>
      <c r="VFT3" t="s">
        <v>15434</v>
      </c>
      <c r="VFU3" t="s">
        <v>15435</v>
      </c>
      <c r="VFV3" t="s">
        <v>15436</v>
      </c>
      <c r="VFW3" t="s">
        <v>15437</v>
      </c>
      <c r="VFX3" t="s">
        <v>15438</v>
      </c>
      <c r="VFY3" t="s">
        <v>15439</v>
      </c>
      <c r="VFZ3" t="s">
        <v>15440</v>
      </c>
      <c r="VGA3" t="s">
        <v>15441</v>
      </c>
      <c r="VGB3" t="s">
        <v>15442</v>
      </c>
      <c r="VGC3" t="s">
        <v>15443</v>
      </c>
      <c r="VGD3" t="s">
        <v>15444</v>
      </c>
      <c r="VGE3" t="s">
        <v>15445</v>
      </c>
      <c r="VGF3" t="s">
        <v>15446</v>
      </c>
      <c r="VGG3" t="s">
        <v>15447</v>
      </c>
      <c r="VGH3" t="s">
        <v>15448</v>
      </c>
      <c r="VGI3" t="s">
        <v>15449</v>
      </c>
      <c r="VGJ3" t="s">
        <v>15450</v>
      </c>
      <c r="VGK3" t="s">
        <v>15451</v>
      </c>
      <c r="VGL3" t="s">
        <v>15452</v>
      </c>
      <c r="VGM3" t="s">
        <v>15453</v>
      </c>
      <c r="VGN3" t="s">
        <v>15454</v>
      </c>
      <c r="VGO3" t="s">
        <v>15455</v>
      </c>
      <c r="VGP3" t="s">
        <v>15456</v>
      </c>
      <c r="VGQ3" t="s">
        <v>15457</v>
      </c>
      <c r="VGR3" t="s">
        <v>15458</v>
      </c>
      <c r="VGS3" t="s">
        <v>15459</v>
      </c>
      <c r="VGT3" t="s">
        <v>15460</v>
      </c>
      <c r="VGU3" t="s">
        <v>15461</v>
      </c>
      <c r="VGV3" t="s">
        <v>15462</v>
      </c>
      <c r="VGW3" t="s">
        <v>15463</v>
      </c>
      <c r="VGX3" t="s">
        <v>15464</v>
      </c>
      <c r="VGY3" t="s">
        <v>15465</v>
      </c>
      <c r="VGZ3" t="s">
        <v>15466</v>
      </c>
      <c r="VHA3" t="s">
        <v>15467</v>
      </c>
      <c r="VHB3" t="s">
        <v>15468</v>
      </c>
      <c r="VHC3" t="s">
        <v>15469</v>
      </c>
      <c r="VHD3" t="s">
        <v>15470</v>
      </c>
      <c r="VHE3" t="s">
        <v>15471</v>
      </c>
      <c r="VHF3" t="s">
        <v>15472</v>
      </c>
      <c r="VHG3" t="s">
        <v>15473</v>
      </c>
      <c r="VHH3" t="s">
        <v>15474</v>
      </c>
      <c r="VHI3" t="s">
        <v>15475</v>
      </c>
      <c r="VHJ3" t="s">
        <v>15476</v>
      </c>
      <c r="VHK3" t="s">
        <v>15477</v>
      </c>
      <c r="VHL3" t="s">
        <v>15478</v>
      </c>
      <c r="VHM3" t="s">
        <v>15479</v>
      </c>
      <c r="VHN3" t="s">
        <v>15480</v>
      </c>
      <c r="VHO3" t="s">
        <v>15481</v>
      </c>
      <c r="VHP3" t="s">
        <v>15482</v>
      </c>
      <c r="VHQ3" t="s">
        <v>15483</v>
      </c>
      <c r="VHR3" t="s">
        <v>15484</v>
      </c>
      <c r="VHS3" t="s">
        <v>15485</v>
      </c>
      <c r="VHT3" t="s">
        <v>15486</v>
      </c>
      <c r="VHU3" t="s">
        <v>15487</v>
      </c>
      <c r="VHV3" t="s">
        <v>15488</v>
      </c>
      <c r="VHW3" t="s">
        <v>15489</v>
      </c>
      <c r="VHX3" t="s">
        <v>15490</v>
      </c>
      <c r="VHY3" t="s">
        <v>15491</v>
      </c>
      <c r="VHZ3" t="s">
        <v>15492</v>
      </c>
      <c r="VIA3" t="s">
        <v>15493</v>
      </c>
      <c r="VIB3" t="s">
        <v>15494</v>
      </c>
      <c r="VIC3" t="s">
        <v>15495</v>
      </c>
      <c r="VID3" t="s">
        <v>15496</v>
      </c>
      <c r="VIE3" t="s">
        <v>15497</v>
      </c>
      <c r="VIF3" t="s">
        <v>15498</v>
      </c>
      <c r="VIG3" t="s">
        <v>15499</v>
      </c>
      <c r="VIH3" t="s">
        <v>15500</v>
      </c>
      <c r="VII3" t="s">
        <v>15501</v>
      </c>
      <c r="VIJ3" t="s">
        <v>15502</v>
      </c>
      <c r="VIK3" t="s">
        <v>15503</v>
      </c>
      <c r="VIL3" t="s">
        <v>15504</v>
      </c>
      <c r="VIM3" t="s">
        <v>15505</v>
      </c>
      <c r="VIN3" t="s">
        <v>15506</v>
      </c>
      <c r="VIO3" t="s">
        <v>15507</v>
      </c>
      <c r="VIP3" t="s">
        <v>15508</v>
      </c>
      <c r="VIQ3" t="s">
        <v>15509</v>
      </c>
      <c r="VIR3" t="s">
        <v>15510</v>
      </c>
      <c r="VIS3" t="s">
        <v>15511</v>
      </c>
      <c r="VIT3" t="s">
        <v>15512</v>
      </c>
      <c r="VIU3" t="s">
        <v>15513</v>
      </c>
      <c r="VIV3" t="s">
        <v>15514</v>
      </c>
      <c r="VIW3" t="s">
        <v>15515</v>
      </c>
      <c r="VIX3" t="s">
        <v>15516</v>
      </c>
      <c r="VIY3" t="s">
        <v>15517</v>
      </c>
      <c r="VIZ3" t="s">
        <v>15518</v>
      </c>
      <c r="VJA3" t="s">
        <v>15519</v>
      </c>
      <c r="VJB3" t="s">
        <v>15520</v>
      </c>
      <c r="VJC3" t="s">
        <v>15521</v>
      </c>
      <c r="VJD3" t="s">
        <v>15522</v>
      </c>
      <c r="VJE3" t="s">
        <v>15523</v>
      </c>
      <c r="VJF3" t="s">
        <v>15524</v>
      </c>
      <c r="VJG3" t="s">
        <v>15525</v>
      </c>
      <c r="VJH3" t="s">
        <v>15526</v>
      </c>
      <c r="VJI3" t="s">
        <v>15527</v>
      </c>
      <c r="VJJ3" t="s">
        <v>15528</v>
      </c>
      <c r="VJK3" t="s">
        <v>15529</v>
      </c>
      <c r="VJL3" t="s">
        <v>15530</v>
      </c>
      <c r="VJM3" t="s">
        <v>15531</v>
      </c>
      <c r="VJN3" t="s">
        <v>15532</v>
      </c>
      <c r="VJO3" t="s">
        <v>15533</v>
      </c>
      <c r="VJP3" t="s">
        <v>15534</v>
      </c>
      <c r="VJQ3" t="s">
        <v>15535</v>
      </c>
      <c r="VJR3" t="s">
        <v>15536</v>
      </c>
      <c r="VJS3" t="s">
        <v>15537</v>
      </c>
      <c r="VJT3" t="s">
        <v>15538</v>
      </c>
      <c r="VJU3" t="s">
        <v>15539</v>
      </c>
      <c r="VJV3" t="s">
        <v>15540</v>
      </c>
      <c r="VJW3" t="s">
        <v>15541</v>
      </c>
      <c r="VJX3" t="s">
        <v>15542</v>
      </c>
      <c r="VJY3" t="s">
        <v>15543</v>
      </c>
      <c r="VJZ3" t="s">
        <v>15544</v>
      </c>
      <c r="VKA3" t="s">
        <v>15545</v>
      </c>
      <c r="VKB3" t="s">
        <v>15546</v>
      </c>
      <c r="VKC3" t="s">
        <v>15547</v>
      </c>
      <c r="VKD3" t="s">
        <v>15548</v>
      </c>
      <c r="VKE3" t="s">
        <v>15549</v>
      </c>
      <c r="VKF3" t="s">
        <v>15550</v>
      </c>
      <c r="VKG3" t="s">
        <v>15551</v>
      </c>
      <c r="VKH3" t="s">
        <v>15552</v>
      </c>
      <c r="VKI3" t="s">
        <v>15553</v>
      </c>
      <c r="VKJ3" t="s">
        <v>15554</v>
      </c>
      <c r="VKK3" t="s">
        <v>15555</v>
      </c>
      <c r="VKL3" t="s">
        <v>15556</v>
      </c>
      <c r="VKM3" t="s">
        <v>15557</v>
      </c>
      <c r="VKN3" t="s">
        <v>15558</v>
      </c>
      <c r="VKO3" t="s">
        <v>15559</v>
      </c>
      <c r="VKP3" t="s">
        <v>15560</v>
      </c>
      <c r="VKQ3" t="s">
        <v>15561</v>
      </c>
      <c r="VKR3" t="s">
        <v>15562</v>
      </c>
      <c r="VKS3" t="s">
        <v>15563</v>
      </c>
      <c r="VKT3" t="s">
        <v>15564</v>
      </c>
      <c r="VKU3" t="s">
        <v>15565</v>
      </c>
      <c r="VKV3" t="s">
        <v>15566</v>
      </c>
      <c r="VKW3" t="s">
        <v>15567</v>
      </c>
      <c r="VKX3" t="s">
        <v>15568</v>
      </c>
      <c r="VKY3" t="s">
        <v>15569</v>
      </c>
      <c r="VKZ3" t="s">
        <v>15570</v>
      </c>
      <c r="VLA3" t="s">
        <v>15571</v>
      </c>
      <c r="VLB3" t="s">
        <v>15572</v>
      </c>
      <c r="VLC3" t="s">
        <v>15573</v>
      </c>
      <c r="VLD3" t="s">
        <v>15574</v>
      </c>
      <c r="VLE3" t="s">
        <v>15575</v>
      </c>
      <c r="VLF3" t="s">
        <v>15576</v>
      </c>
      <c r="VLG3" t="s">
        <v>15577</v>
      </c>
      <c r="VLH3" t="s">
        <v>15578</v>
      </c>
      <c r="VLI3" t="s">
        <v>15579</v>
      </c>
      <c r="VLJ3" t="s">
        <v>15580</v>
      </c>
      <c r="VLK3" t="s">
        <v>15581</v>
      </c>
      <c r="VLL3" t="s">
        <v>15582</v>
      </c>
      <c r="VLM3" t="s">
        <v>15583</v>
      </c>
      <c r="VLN3" t="s">
        <v>15584</v>
      </c>
      <c r="VLO3" t="s">
        <v>15585</v>
      </c>
      <c r="VLP3" t="s">
        <v>15586</v>
      </c>
      <c r="VLQ3" t="s">
        <v>15587</v>
      </c>
      <c r="VLR3" t="s">
        <v>15588</v>
      </c>
      <c r="VLS3" t="s">
        <v>15589</v>
      </c>
      <c r="VLT3" t="s">
        <v>15590</v>
      </c>
      <c r="VLU3" t="s">
        <v>15591</v>
      </c>
      <c r="VLV3" t="s">
        <v>15592</v>
      </c>
      <c r="VLW3" t="s">
        <v>15593</v>
      </c>
      <c r="VLX3" t="s">
        <v>15594</v>
      </c>
      <c r="VLY3" t="s">
        <v>15595</v>
      </c>
      <c r="VLZ3" t="s">
        <v>15596</v>
      </c>
      <c r="VMA3" t="s">
        <v>15597</v>
      </c>
      <c r="VMB3" t="s">
        <v>15598</v>
      </c>
      <c r="VMC3" t="s">
        <v>15599</v>
      </c>
      <c r="VMD3" t="s">
        <v>15600</v>
      </c>
      <c r="VME3" t="s">
        <v>15601</v>
      </c>
      <c r="VMF3" t="s">
        <v>15602</v>
      </c>
      <c r="VMG3" t="s">
        <v>15603</v>
      </c>
      <c r="VMH3" t="s">
        <v>15604</v>
      </c>
      <c r="VMI3" t="s">
        <v>15605</v>
      </c>
      <c r="VMJ3" t="s">
        <v>15606</v>
      </c>
      <c r="VMK3" t="s">
        <v>15607</v>
      </c>
      <c r="VML3" t="s">
        <v>15608</v>
      </c>
      <c r="VMM3" t="s">
        <v>15609</v>
      </c>
      <c r="VMN3" t="s">
        <v>15610</v>
      </c>
      <c r="VMO3" t="s">
        <v>15611</v>
      </c>
      <c r="VMP3" t="s">
        <v>15612</v>
      </c>
      <c r="VMQ3" t="s">
        <v>15613</v>
      </c>
      <c r="VMR3" t="s">
        <v>15614</v>
      </c>
      <c r="VMS3" t="s">
        <v>15615</v>
      </c>
      <c r="VMT3" t="s">
        <v>15616</v>
      </c>
      <c r="VMU3" t="s">
        <v>15617</v>
      </c>
      <c r="VMV3" t="s">
        <v>15618</v>
      </c>
      <c r="VMW3" t="s">
        <v>15619</v>
      </c>
      <c r="VMX3" t="s">
        <v>15620</v>
      </c>
      <c r="VMY3" t="s">
        <v>15621</v>
      </c>
      <c r="VMZ3" t="s">
        <v>15622</v>
      </c>
      <c r="VNA3" t="s">
        <v>15623</v>
      </c>
      <c r="VNB3" t="s">
        <v>15624</v>
      </c>
      <c r="VNC3" t="s">
        <v>15625</v>
      </c>
      <c r="VND3" t="s">
        <v>15626</v>
      </c>
      <c r="VNE3" t="s">
        <v>15627</v>
      </c>
      <c r="VNF3" t="s">
        <v>15628</v>
      </c>
      <c r="VNG3" t="s">
        <v>15629</v>
      </c>
      <c r="VNH3" t="s">
        <v>15630</v>
      </c>
      <c r="VNI3" t="s">
        <v>15631</v>
      </c>
      <c r="VNJ3" t="s">
        <v>15632</v>
      </c>
      <c r="VNK3" t="s">
        <v>15633</v>
      </c>
      <c r="VNL3" t="s">
        <v>15634</v>
      </c>
      <c r="VNM3" t="s">
        <v>15635</v>
      </c>
      <c r="VNN3" t="s">
        <v>15636</v>
      </c>
      <c r="VNO3" t="s">
        <v>15637</v>
      </c>
      <c r="VNP3" t="s">
        <v>15638</v>
      </c>
      <c r="VNQ3" t="s">
        <v>15639</v>
      </c>
      <c r="VNR3" t="s">
        <v>15640</v>
      </c>
      <c r="VNS3" t="s">
        <v>15641</v>
      </c>
      <c r="VNT3" t="s">
        <v>15642</v>
      </c>
      <c r="VNU3" t="s">
        <v>15643</v>
      </c>
      <c r="VNV3" t="s">
        <v>15644</v>
      </c>
      <c r="VNW3" t="s">
        <v>15645</v>
      </c>
      <c r="VNX3" t="s">
        <v>15646</v>
      </c>
      <c r="VNY3" t="s">
        <v>15647</v>
      </c>
      <c r="VNZ3" t="s">
        <v>15648</v>
      </c>
      <c r="VOA3" t="s">
        <v>15649</v>
      </c>
      <c r="VOB3" t="s">
        <v>15650</v>
      </c>
      <c r="VOC3" t="s">
        <v>15651</v>
      </c>
      <c r="VOD3" t="s">
        <v>15652</v>
      </c>
      <c r="VOE3" t="s">
        <v>15653</v>
      </c>
      <c r="VOF3" t="s">
        <v>15654</v>
      </c>
      <c r="VOG3" t="s">
        <v>15655</v>
      </c>
      <c r="VOH3" t="s">
        <v>15656</v>
      </c>
      <c r="VOI3" t="s">
        <v>15657</v>
      </c>
      <c r="VOJ3" t="s">
        <v>15658</v>
      </c>
      <c r="VOK3" t="s">
        <v>15659</v>
      </c>
      <c r="VOL3" t="s">
        <v>15660</v>
      </c>
      <c r="VOM3" t="s">
        <v>15661</v>
      </c>
      <c r="VON3" t="s">
        <v>15662</v>
      </c>
      <c r="VOO3" t="s">
        <v>15663</v>
      </c>
      <c r="VOP3" t="s">
        <v>15664</v>
      </c>
      <c r="VOQ3" t="s">
        <v>15665</v>
      </c>
      <c r="VOR3" t="s">
        <v>15666</v>
      </c>
      <c r="VOS3" t="s">
        <v>15667</v>
      </c>
      <c r="VOT3" t="s">
        <v>15668</v>
      </c>
      <c r="VOU3" t="s">
        <v>15669</v>
      </c>
      <c r="VOV3" t="s">
        <v>15670</v>
      </c>
      <c r="VOW3" t="s">
        <v>15671</v>
      </c>
      <c r="VOX3" t="s">
        <v>15672</v>
      </c>
      <c r="VOY3" t="s">
        <v>15673</v>
      </c>
      <c r="VOZ3" t="s">
        <v>15674</v>
      </c>
      <c r="VPA3" t="s">
        <v>15675</v>
      </c>
      <c r="VPB3" t="s">
        <v>15676</v>
      </c>
      <c r="VPC3" t="s">
        <v>15677</v>
      </c>
      <c r="VPD3" t="s">
        <v>15678</v>
      </c>
      <c r="VPE3" t="s">
        <v>15679</v>
      </c>
      <c r="VPF3" t="s">
        <v>15680</v>
      </c>
      <c r="VPG3" t="s">
        <v>15681</v>
      </c>
      <c r="VPH3" t="s">
        <v>15682</v>
      </c>
      <c r="VPI3" t="s">
        <v>15683</v>
      </c>
      <c r="VPJ3" t="s">
        <v>15684</v>
      </c>
      <c r="VPK3" t="s">
        <v>15685</v>
      </c>
      <c r="VPL3" t="s">
        <v>15686</v>
      </c>
      <c r="VPM3" t="s">
        <v>15687</v>
      </c>
      <c r="VPN3" t="s">
        <v>15688</v>
      </c>
      <c r="VPO3" t="s">
        <v>15689</v>
      </c>
      <c r="VPP3" t="s">
        <v>15690</v>
      </c>
      <c r="VPQ3" t="s">
        <v>15691</v>
      </c>
      <c r="VPR3" t="s">
        <v>15692</v>
      </c>
      <c r="VPS3" t="s">
        <v>15693</v>
      </c>
      <c r="VPT3" t="s">
        <v>15694</v>
      </c>
      <c r="VPU3" t="s">
        <v>15695</v>
      </c>
      <c r="VPV3" t="s">
        <v>15696</v>
      </c>
      <c r="VPW3" t="s">
        <v>15697</v>
      </c>
      <c r="VPX3" t="s">
        <v>15698</v>
      </c>
      <c r="VPY3" t="s">
        <v>15699</v>
      </c>
      <c r="VPZ3" t="s">
        <v>15700</v>
      </c>
      <c r="VQA3" t="s">
        <v>15701</v>
      </c>
      <c r="VQB3" t="s">
        <v>15702</v>
      </c>
      <c r="VQC3" t="s">
        <v>15703</v>
      </c>
      <c r="VQD3" t="s">
        <v>15704</v>
      </c>
      <c r="VQE3" t="s">
        <v>15705</v>
      </c>
      <c r="VQF3" t="s">
        <v>15706</v>
      </c>
      <c r="VQG3" t="s">
        <v>15707</v>
      </c>
      <c r="VQH3" t="s">
        <v>15708</v>
      </c>
      <c r="VQI3" t="s">
        <v>15709</v>
      </c>
      <c r="VQJ3" t="s">
        <v>15710</v>
      </c>
      <c r="VQK3" t="s">
        <v>15711</v>
      </c>
      <c r="VQL3" t="s">
        <v>15712</v>
      </c>
      <c r="VQM3" t="s">
        <v>15713</v>
      </c>
      <c r="VQN3" t="s">
        <v>15714</v>
      </c>
      <c r="VQO3" t="s">
        <v>15715</v>
      </c>
      <c r="VQP3" t="s">
        <v>15716</v>
      </c>
      <c r="VQQ3" t="s">
        <v>15717</v>
      </c>
      <c r="VQR3" t="s">
        <v>15718</v>
      </c>
      <c r="VQS3" t="s">
        <v>15719</v>
      </c>
      <c r="VQT3" t="s">
        <v>15720</v>
      </c>
      <c r="VQU3" t="s">
        <v>15721</v>
      </c>
      <c r="VQV3" t="s">
        <v>15722</v>
      </c>
      <c r="VQW3" t="s">
        <v>15723</v>
      </c>
      <c r="VQX3" t="s">
        <v>15724</v>
      </c>
      <c r="VQY3" t="s">
        <v>15725</v>
      </c>
      <c r="VQZ3" t="s">
        <v>15726</v>
      </c>
      <c r="VRA3" t="s">
        <v>15727</v>
      </c>
      <c r="VRB3" t="s">
        <v>15728</v>
      </c>
      <c r="VRC3" t="s">
        <v>15729</v>
      </c>
      <c r="VRD3" t="s">
        <v>15730</v>
      </c>
      <c r="VRE3" t="s">
        <v>15731</v>
      </c>
      <c r="VRF3" t="s">
        <v>15732</v>
      </c>
      <c r="VRG3" t="s">
        <v>15733</v>
      </c>
      <c r="VRH3" t="s">
        <v>15734</v>
      </c>
      <c r="VRI3" t="s">
        <v>15735</v>
      </c>
      <c r="VRJ3" t="s">
        <v>15736</v>
      </c>
      <c r="VRK3" t="s">
        <v>15737</v>
      </c>
      <c r="VRL3" t="s">
        <v>15738</v>
      </c>
      <c r="VRM3" t="s">
        <v>15739</v>
      </c>
      <c r="VRN3" t="s">
        <v>15740</v>
      </c>
      <c r="VRO3" t="s">
        <v>15741</v>
      </c>
      <c r="VRP3" t="s">
        <v>15742</v>
      </c>
      <c r="VRQ3" t="s">
        <v>15743</v>
      </c>
      <c r="VRR3" t="s">
        <v>15744</v>
      </c>
      <c r="VRS3" t="s">
        <v>15745</v>
      </c>
      <c r="VRT3" t="s">
        <v>15746</v>
      </c>
      <c r="VRU3" t="s">
        <v>15747</v>
      </c>
      <c r="VRV3" t="s">
        <v>15748</v>
      </c>
      <c r="VRW3" t="s">
        <v>15749</v>
      </c>
      <c r="VRX3" t="s">
        <v>15750</v>
      </c>
      <c r="VRY3" t="s">
        <v>15751</v>
      </c>
      <c r="VRZ3" t="s">
        <v>15752</v>
      </c>
      <c r="VSA3" t="s">
        <v>15753</v>
      </c>
      <c r="VSB3" t="s">
        <v>15754</v>
      </c>
      <c r="VSC3" t="s">
        <v>15755</v>
      </c>
      <c r="VSD3" t="s">
        <v>15756</v>
      </c>
      <c r="VSE3" t="s">
        <v>15757</v>
      </c>
      <c r="VSF3" t="s">
        <v>15758</v>
      </c>
      <c r="VSG3" t="s">
        <v>15759</v>
      </c>
      <c r="VSH3" t="s">
        <v>15760</v>
      </c>
      <c r="VSI3" t="s">
        <v>15761</v>
      </c>
      <c r="VSJ3" t="s">
        <v>15762</v>
      </c>
      <c r="VSK3" t="s">
        <v>15763</v>
      </c>
      <c r="VSL3" t="s">
        <v>15764</v>
      </c>
      <c r="VSM3" t="s">
        <v>15765</v>
      </c>
      <c r="VSN3" t="s">
        <v>15766</v>
      </c>
      <c r="VSO3" t="s">
        <v>15767</v>
      </c>
      <c r="VSP3" t="s">
        <v>15768</v>
      </c>
      <c r="VSQ3" t="s">
        <v>15769</v>
      </c>
      <c r="VSR3" t="s">
        <v>15770</v>
      </c>
      <c r="VSS3" t="s">
        <v>15771</v>
      </c>
      <c r="VST3" t="s">
        <v>15772</v>
      </c>
      <c r="VSU3" t="s">
        <v>15773</v>
      </c>
      <c r="VSV3" t="s">
        <v>15774</v>
      </c>
      <c r="VSW3" t="s">
        <v>15775</v>
      </c>
      <c r="VSX3" t="s">
        <v>15776</v>
      </c>
      <c r="VSY3" t="s">
        <v>15777</v>
      </c>
      <c r="VSZ3" t="s">
        <v>15778</v>
      </c>
      <c r="VTA3" t="s">
        <v>15779</v>
      </c>
      <c r="VTB3" t="s">
        <v>15780</v>
      </c>
      <c r="VTC3" t="s">
        <v>15781</v>
      </c>
      <c r="VTD3" t="s">
        <v>15782</v>
      </c>
      <c r="VTE3" t="s">
        <v>15783</v>
      </c>
      <c r="VTF3" t="s">
        <v>15784</v>
      </c>
      <c r="VTG3" t="s">
        <v>15785</v>
      </c>
      <c r="VTH3" t="s">
        <v>15786</v>
      </c>
      <c r="VTI3" t="s">
        <v>15787</v>
      </c>
      <c r="VTJ3" t="s">
        <v>15788</v>
      </c>
      <c r="VTK3" t="s">
        <v>15789</v>
      </c>
      <c r="VTL3" t="s">
        <v>15790</v>
      </c>
      <c r="VTM3" t="s">
        <v>15791</v>
      </c>
      <c r="VTN3" t="s">
        <v>15792</v>
      </c>
      <c r="VTO3" t="s">
        <v>15793</v>
      </c>
      <c r="VTP3" t="s">
        <v>15794</v>
      </c>
      <c r="VTQ3" t="s">
        <v>15795</v>
      </c>
      <c r="VTR3" t="s">
        <v>15796</v>
      </c>
      <c r="VTS3" t="s">
        <v>15797</v>
      </c>
      <c r="VTT3" t="s">
        <v>15798</v>
      </c>
      <c r="VTU3" t="s">
        <v>15799</v>
      </c>
      <c r="VTV3" t="s">
        <v>15800</v>
      </c>
      <c r="VTW3" t="s">
        <v>15801</v>
      </c>
      <c r="VTX3" t="s">
        <v>15802</v>
      </c>
      <c r="VTY3" t="s">
        <v>15803</v>
      </c>
      <c r="VTZ3" t="s">
        <v>15804</v>
      </c>
      <c r="VUA3" t="s">
        <v>15805</v>
      </c>
      <c r="VUB3" t="s">
        <v>15806</v>
      </c>
      <c r="VUC3" t="s">
        <v>15807</v>
      </c>
      <c r="VUD3" t="s">
        <v>15808</v>
      </c>
      <c r="VUE3" t="s">
        <v>15809</v>
      </c>
      <c r="VUF3" t="s">
        <v>15810</v>
      </c>
      <c r="VUG3" t="s">
        <v>15811</v>
      </c>
      <c r="VUH3" t="s">
        <v>15812</v>
      </c>
      <c r="VUI3" t="s">
        <v>15813</v>
      </c>
      <c r="VUJ3" t="s">
        <v>15814</v>
      </c>
      <c r="VUK3" t="s">
        <v>15815</v>
      </c>
      <c r="VUL3" t="s">
        <v>15816</v>
      </c>
      <c r="VUM3" t="s">
        <v>15817</v>
      </c>
      <c r="VUN3" t="s">
        <v>15818</v>
      </c>
      <c r="VUO3" t="s">
        <v>15819</v>
      </c>
      <c r="VUP3" t="s">
        <v>15820</v>
      </c>
      <c r="VUQ3" t="s">
        <v>15821</v>
      </c>
      <c r="VUR3" t="s">
        <v>15822</v>
      </c>
      <c r="VUS3" t="s">
        <v>15823</v>
      </c>
      <c r="VUT3" t="s">
        <v>15824</v>
      </c>
      <c r="VUU3" t="s">
        <v>15825</v>
      </c>
      <c r="VUV3" t="s">
        <v>15826</v>
      </c>
      <c r="VUW3" t="s">
        <v>15827</v>
      </c>
      <c r="VUX3" t="s">
        <v>15828</v>
      </c>
      <c r="VUY3" t="s">
        <v>15829</v>
      </c>
      <c r="VUZ3" t="s">
        <v>15830</v>
      </c>
      <c r="VVA3" t="s">
        <v>15831</v>
      </c>
      <c r="VVB3" t="s">
        <v>15832</v>
      </c>
      <c r="VVC3" t="s">
        <v>15833</v>
      </c>
      <c r="VVD3" t="s">
        <v>15834</v>
      </c>
      <c r="VVE3" t="s">
        <v>15835</v>
      </c>
      <c r="VVF3" t="s">
        <v>15836</v>
      </c>
      <c r="VVG3" t="s">
        <v>15837</v>
      </c>
      <c r="VVH3" t="s">
        <v>15838</v>
      </c>
      <c r="VVI3" t="s">
        <v>15839</v>
      </c>
      <c r="VVJ3" t="s">
        <v>15840</v>
      </c>
      <c r="VVK3" t="s">
        <v>15841</v>
      </c>
      <c r="VVL3" t="s">
        <v>15842</v>
      </c>
      <c r="VVM3" t="s">
        <v>15843</v>
      </c>
      <c r="VVN3" t="s">
        <v>15844</v>
      </c>
      <c r="VVO3" t="s">
        <v>15845</v>
      </c>
      <c r="VVP3" t="s">
        <v>15846</v>
      </c>
      <c r="VVQ3" t="s">
        <v>15847</v>
      </c>
      <c r="VVR3" t="s">
        <v>15848</v>
      </c>
      <c r="VVS3" t="s">
        <v>15849</v>
      </c>
      <c r="VVT3" t="s">
        <v>15850</v>
      </c>
      <c r="VVU3" t="s">
        <v>15851</v>
      </c>
      <c r="VVV3" t="s">
        <v>15852</v>
      </c>
      <c r="VVW3" t="s">
        <v>15853</v>
      </c>
      <c r="VVX3" t="s">
        <v>15854</v>
      </c>
      <c r="VVY3" t="s">
        <v>15855</v>
      </c>
      <c r="VVZ3" t="s">
        <v>15856</v>
      </c>
      <c r="VWA3" t="s">
        <v>15857</v>
      </c>
      <c r="VWB3" t="s">
        <v>15858</v>
      </c>
      <c r="VWC3" t="s">
        <v>15859</v>
      </c>
      <c r="VWD3" t="s">
        <v>15860</v>
      </c>
      <c r="VWE3" t="s">
        <v>15861</v>
      </c>
      <c r="VWF3" t="s">
        <v>15862</v>
      </c>
      <c r="VWG3" t="s">
        <v>15863</v>
      </c>
      <c r="VWH3" t="s">
        <v>15864</v>
      </c>
      <c r="VWI3" t="s">
        <v>15865</v>
      </c>
      <c r="VWJ3" t="s">
        <v>15866</v>
      </c>
      <c r="VWK3" t="s">
        <v>15867</v>
      </c>
      <c r="VWL3" t="s">
        <v>15868</v>
      </c>
      <c r="VWM3" t="s">
        <v>15869</v>
      </c>
      <c r="VWN3" t="s">
        <v>15870</v>
      </c>
      <c r="VWO3" t="s">
        <v>15871</v>
      </c>
      <c r="VWP3" t="s">
        <v>15872</v>
      </c>
      <c r="VWQ3" t="s">
        <v>15873</v>
      </c>
      <c r="VWR3" t="s">
        <v>15874</v>
      </c>
      <c r="VWS3" t="s">
        <v>15875</v>
      </c>
      <c r="VWT3" t="s">
        <v>15876</v>
      </c>
      <c r="VWU3" t="s">
        <v>15877</v>
      </c>
      <c r="VWV3" t="s">
        <v>15878</v>
      </c>
      <c r="VWW3" t="s">
        <v>15879</v>
      </c>
      <c r="VWX3" t="s">
        <v>15880</v>
      </c>
      <c r="VWY3" t="s">
        <v>15881</v>
      </c>
      <c r="VWZ3" t="s">
        <v>15882</v>
      </c>
      <c r="VXA3" t="s">
        <v>15883</v>
      </c>
      <c r="VXB3" t="s">
        <v>15884</v>
      </c>
      <c r="VXC3" t="s">
        <v>15885</v>
      </c>
      <c r="VXD3" t="s">
        <v>15886</v>
      </c>
      <c r="VXE3" t="s">
        <v>15887</v>
      </c>
      <c r="VXF3" t="s">
        <v>15888</v>
      </c>
      <c r="VXG3" t="s">
        <v>15889</v>
      </c>
      <c r="VXH3" t="s">
        <v>15890</v>
      </c>
      <c r="VXI3" t="s">
        <v>15891</v>
      </c>
      <c r="VXJ3" t="s">
        <v>15892</v>
      </c>
      <c r="VXK3" t="s">
        <v>15893</v>
      </c>
      <c r="VXL3" t="s">
        <v>15894</v>
      </c>
      <c r="VXM3" t="s">
        <v>15895</v>
      </c>
      <c r="VXN3" t="s">
        <v>15896</v>
      </c>
      <c r="VXO3" t="s">
        <v>15897</v>
      </c>
      <c r="VXP3" t="s">
        <v>15898</v>
      </c>
      <c r="VXQ3" t="s">
        <v>15899</v>
      </c>
      <c r="VXR3" t="s">
        <v>15900</v>
      </c>
      <c r="VXS3" t="s">
        <v>15901</v>
      </c>
      <c r="VXT3" t="s">
        <v>15902</v>
      </c>
      <c r="VXU3" t="s">
        <v>15903</v>
      </c>
      <c r="VXV3" t="s">
        <v>15904</v>
      </c>
      <c r="VXW3" t="s">
        <v>15905</v>
      </c>
      <c r="VXX3" t="s">
        <v>15906</v>
      </c>
      <c r="VXY3" t="s">
        <v>15907</v>
      </c>
      <c r="VXZ3" t="s">
        <v>15908</v>
      </c>
      <c r="VYA3" t="s">
        <v>15909</v>
      </c>
      <c r="VYB3" t="s">
        <v>15910</v>
      </c>
      <c r="VYC3" t="s">
        <v>15911</v>
      </c>
      <c r="VYD3" t="s">
        <v>15912</v>
      </c>
      <c r="VYE3" t="s">
        <v>15913</v>
      </c>
      <c r="VYF3" t="s">
        <v>15914</v>
      </c>
      <c r="VYG3" t="s">
        <v>15915</v>
      </c>
      <c r="VYH3" t="s">
        <v>15916</v>
      </c>
      <c r="VYI3" t="s">
        <v>15917</v>
      </c>
      <c r="VYJ3" t="s">
        <v>15918</v>
      </c>
      <c r="VYK3" t="s">
        <v>15919</v>
      </c>
      <c r="VYL3" t="s">
        <v>15920</v>
      </c>
      <c r="VYM3" t="s">
        <v>15921</v>
      </c>
      <c r="VYN3" t="s">
        <v>15922</v>
      </c>
      <c r="VYO3" t="s">
        <v>15923</v>
      </c>
      <c r="VYP3" t="s">
        <v>15924</v>
      </c>
      <c r="VYQ3" t="s">
        <v>15925</v>
      </c>
      <c r="VYR3" t="s">
        <v>15926</v>
      </c>
      <c r="VYS3" t="s">
        <v>15927</v>
      </c>
      <c r="VYT3" t="s">
        <v>15928</v>
      </c>
      <c r="VYU3" t="s">
        <v>15929</v>
      </c>
      <c r="VYV3" t="s">
        <v>15930</v>
      </c>
      <c r="VYW3" t="s">
        <v>15931</v>
      </c>
      <c r="VYX3" t="s">
        <v>15932</v>
      </c>
      <c r="VYY3" t="s">
        <v>15933</v>
      </c>
      <c r="VYZ3" t="s">
        <v>15934</v>
      </c>
      <c r="VZA3" t="s">
        <v>15935</v>
      </c>
      <c r="VZB3" t="s">
        <v>15936</v>
      </c>
      <c r="VZC3" t="s">
        <v>15937</v>
      </c>
      <c r="VZD3" t="s">
        <v>15938</v>
      </c>
      <c r="VZE3" t="s">
        <v>15939</v>
      </c>
      <c r="VZF3" t="s">
        <v>15940</v>
      </c>
      <c r="VZG3" t="s">
        <v>15941</v>
      </c>
      <c r="VZH3" t="s">
        <v>15942</v>
      </c>
      <c r="VZI3" t="s">
        <v>15943</v>
      </c>
      <c r="VZJ3" t="s">
        <v>15944</v>
      </c>
      <c r="VZK3" t="s">
        <v>15945</v>
      </c>
      <c r="VZL3" t="s">
        <v>15946</v>
      </c>
      <c r="VZM3" t="s">
        <v>15947</v>
      </c>
      <c r="VZN3" t="s">
        <v>15948</v>
      </c>
      <c r="VZO3" t="s">
        <v>15949</v>
      </c>
      <c r="VZP3" t="s">
        <v>15950</v>
      </c>
      <c r="VZQ3" t="s">
        <v>15951</v>
      </c>
      <c r="VZR3" t="s">
        <v>15952</v>
      </c>
      <c r="VZS3" t="s">
        <v>15953</v>
      </c>
      <c r="VZT3" t="s">
        <v>15954</v>
      </c>
      <c r="VZU3" t="s">
        <v>15955</v>
      </c>
      <c r="VZV3" t="s">
        <v>15956</v>
      </c>
      <c r="VZW3" t="s">
        <v>15957</v>
      </c>
      <c r="VZX3" t="s">
        <v>15958</v>
      </c>
      <c r="VZY3" t="s">
        <v>15959</v>
      </c>
      <c r="VZZ3" t="s">
        <v>15960</v>
      </c>
      <c r="WAA3" t="s">
        <v>15961</v>
      </c>
      <c r="WAB3" t="s">
        <v>15962</v>
      </c>
      <c r="WAC3" t="s">
        <v>15963</v>
      </c>
      <c r="WAD3" t="s">
        <v>15964</v>
      </c>
      <c r="WAE3" t="s">
        <v>15965</v>
      </c>
      <c r="WAF3" t="s">
        <v>15966</v>
      </c>
      <c r="WAG3" t="s">
        <v>15967</v>
      </c>
      <c r="WAH3" t="s">
        <v>15968</v>
      </c>
      <c r="WAI3" t="s">
        <v>15969</v>
      </c>
      <c r="WAJ3" t="s">
        <v>15970</v>
      </c>
      <c r="WAK3" t="s">
        <v>15971</v>
      </c>
      <c r="WAL3" t="s">
        <v>15972</v>
      </c>
      <c r="WAM3" t="s">
        <v>15973</v>
      </c>
      <c r="WAN3" t="s">
        <v>15974</v>
      </c>
      <c r="WAO3" t="s">
        <v>15975</v>
      </c>
      <c r="WAP3" t="s">
        <v>15976</v>
      </c>
      <c r="WAQ3" t="s">
        <v>15977</v>
      </c>
      <c r="WAR3" t="s">
        <v>15978</v>
      </c>
      <c r="WAS3" t="s">
        <v>15979</v>
      </c>
      <c r="WAT3" t="s">
        <v>15980</v>
      </c>
      <c r="WAU3" t="s">
        <v>15981</v>
      </c>
      <c r="WAV3" t="s">
        <v>15982</v>
      </c>
      <c r="WAW3" t="s">
        <v>15983</v>
      </c>
      <c r="WAX3" t="s">
        <v>15984</v>
      </c>
      <c r="WAY3" t="s">
        <v>15985</v>
      </c>
      <c r="WAZ3" t="s">
        <v>15986</v>
      </c>
      <c r="WBA3" t="s">
        <v>15987</v>
      </c>
      <c r="WBB3" t="s">
        <v>15988</v>
      </c>
      <c r="WBC3" t="s">
        <v>15989</v>
      </c>
      <c r="WBD3" t="s">
        <v>15990</v>
      </c>
      <c r="WBE3" t="s">
        <v>15991</v>
      </c>
      <c r="WBF3" t="s">
        <v>15992</v>
      </c>
      <c r="WBG3" t="s">
        <v>15993</v>
      </c>
      <c r="WBH3" t="s">
        <v>15994</v>
      </c>
      <c r="WBI3" t="s">
        <v>15995</v>
      </c>
      <c r="WBJ3" t="s">
        <v>15996</v>
      </c>
      <c r="WBK3" t="s">
        <v>15997</v>
      </c>
      <c r="WBL3" t="s">
        <v>15998</v>
      </c>
      <c r="WBM3" t="s">
        <v>15999</v>
      </c>
      <c r="WBN3" t="s">
        <v>16000</v>
      </c>
      <c r="WBO3" t="s">
        <v>16001</v>
      </c>
      <c r="WBP3" t="s">
        <v>16002</v>
      </c>
      <c r="WBQ3" t="s">
        <v>16003</v>
      </c>
      <c r="WBR3" t="s">
        <v>16004</v>
      </c>
      <c r="WBS3" t="s">
        <v>16005</v>
      </c>
      <c r="WBT3" t="s">
        <v>16006</v>
      </c>
      <c r="WBU3" t="s">
        <v>16007</v>
      </c>
      <c r="WBV3" t="s">
        <v>16008</v>
      </c>
      <c r="WBW3" t="s">
        <v>16009</v>
      </c>
      <c r="WBX3" t="s">
        <v>16010</v>
      </c>
      <c r="WBY3" t="s">
        <v>16011</v>
      </c>
      <c r="WBZ3" t="s">
        <v>16012</v>
      </c>
      <c r="WCA3" t="s">
        <v>16013</v>
      </c>
      <c r="WCB3" t="s">
        <v>16014</v>
      </c>
      <c r="WCC3" t="s">
        <v>16015</v>
      </c>
      <c r="WCD3" t="s">
        <v>16016</v>
      </c>
      <c r="WCE3" t="s">
        <v>16017</v>
      </c>
      <c r="WCF3" t="s">
        <v>16018</v>
      </c>
      <c r="WCG3" t="s">
        <v>16019</v>
      </c>
      <c r="WCH3" t="s">
        <v>16020</v>
      </c>
      <c r="WCI3" t="s">
        <v>16021</v>
      </c>
      <c r="WCJ3" t="s">
        <v>16022</v>
      </c>
      <c r="WCK3" t="s">
        <v>16023</v>
      </c>
      <c r="WCL3" t="s">
        <v>16024</v>
      </c>
      <c r="WCM3" t="s">
        <v>16025</v>
      </c>
      <c r="WCN3" t="s">
        <v>16026</v>
      </c>
      <c r="WCO3" t="s">
        <v>16027</v>
      </c>
      <c r="WCP3" t="s">
        <v>16028</v>
      </c>
      <c r="WCQ3" t="s">
        <v>16029</v>
      </c>
      <c r="WCR3" t="s">
        <v>16030</v>
      </c>
      <c r="WCS3" t="s">
        <v>16031</v>
      </c>
      <c r="WCT3" t="s">
        <v>16032</v>
      </c>
      <c r="WCU3" t="s">
        <v>16033</v>
      </c>
      <c r="WCV3" t="s">
        <v>16034</v>
      </c>
      <c r="WCW3" t="s">
        <v>16035</v>
      </c>
      <c r="WCX3" t="s">
        <v>16036</v>
      </c>
      <c r="WCY3" t="s">
        <v>16037</v>
      </c>
      <c r="WCZ3" t="s">
        <v>16038</v>
      </c>
      <c r="WDA3" t="s">
        <v>16039</v>
      </c>
      <c r="WDB3" t="s">
        <v>16040</v>
      </c>
      <c r="WDC3" t="s">
        <v>16041</v>
      </c>
      <c r="WDD3" t="s">
        <v>16042</v>
      </c>
      <c r="WDE3" t="s">
        <v>16043</v>
      </c>
      <c r="WDF3" t="s">
        <v>16044</v>
      </c>
      <c r="WDG3" t="s">
        <v>16045</v>
      </c>
      <c r="WDH3" t="s">
        <v>16046</v>
      </c>
      <c r="WDI3" t="s">
        <v>16047</v>
      </c>
      <c r="WDJ3" t="s">
        <v>16048</v>
      </c>
      <c r="WDK3" t="s">
        <v>16049</v>
      </c>
      <c r="WDL3" t="s">
        <v>16050</v>
      </c>
      <c r="WDM3" t="s">
        <v>16051</v>
      </c>
      <c r="WDN3" t="s">
        <v>16052</v>
      </c>
      <c r="WDO3" t="s">
        <v>16053</v>
      </c>
      <c r="WDP3" t="s">
        <v>16054</v>
      </c>
      <c r="WDQ3" t="s">
        <v>16055</v>
      </c>
      <c r="WDR3" t="s">
        <v>16056</v>
      </c>
      <c r="WDS3" t="s">
        <v>16057</v>
      </c>
      <c r="WDT3" t="s">
        <v>16058</v>
      </c>
      <c r="WDU3" t="s">
        <v>16059</v>
      </c>
      <c r="WDV3" t="s">
        <v>16060</v>
      </c>
      <c r="WDW3" t="s">
        <v>16061</v>
      </c>
      <c r="WDX3" t="s">
        <v>16062</v>
      </c>
      <c r="WDY3" t="s">
        <v>16063</v>
      </c>
      <c r="WDZ3" t="s">
        <v>16064</v>
      </c>
      <c r="WEA3" t="s">
        <v>16065</v>
      </c>
      <c r="WEB3" t="s">
        <v>16066</v>
      </c>
      <c r="WEC3" t="s">
        <v>16067</v>
      </c>
      <c r="WED3" t="s">
        <v>16068</v>
      </c>
      <c r="WEE3" t="s">
        <v>16069</v>
      </c>
      <c r="WEF3" t="s">
        <v>16070</v>
      </c>
      <c r="WEG3" t="s">
        <v>16071</v>
      </c>
      <c r="WEH3" t="s">
        <v>16072</v>
      </c>
      <c r="WEI3" t="s">
        <v>16073</v>
      </c>
      <c r="WEJ3" t="s">
        <v>16074</v>
      </c>
      <c r="WEK3" t="s">
        <v>16075</v>
      </c>
      <c r="WEL3" t="s">
        <v>16076</v>
      </c>
      <c r="WEM3" t="s">
        <v>16077</v>
      </c>
      <c r="WEN3" t="s">
        <v>16078</v>
      </c>
      <c r="WEO3" t="s">
        <v>16079</v>
      </c>
      <c r="WEP3" t="s">
        <v>16080</v>
      </c>
      <c r="WEQ3" t="s">
        <v>16081</v>
      </c>
      <c r="WER3" t="s">
        <v>16082</v>
      </c>
      <c r="WES3" t="s">
        <v>16083</v>
      </c>
      <c r="WET3" t="s">
        <v>16084</v>
      </c>
      <c r="WEU3" t="s">
        <v>16085</v>
      </c>
      <c r="WEV3" t="s">
        <v>16086</v>
      </c>
      <c r="WEW3" t="s">
        <v>16087</v>
      </c>
      <c r="WEX3" t="s">
        <v>16088</v>
      </c>
      <c r="WEY3" t="s">
        <v>16089</v>
      </c>
      <c r="WEZ3" t="s">
        <v>16090</v>
      </c>
      <c r="WFA3" t="s">
        <v>16091</v>
      </c>
      <c r="WFB3" t="s">
        <v>16092</v>
      </c>
      <c r="WFC3" t="s">
        <v>16093</v>
      </c>
      <c r="WFD3" t="s">
        <v>16094</v>
      </c>
      <c r="WFE3" t="s">
        <v>16095</v>
      </c>
      <c r="WFF3" t="s">
        <v>16096</v>
      </c>
      <c r="WFG3" t="s">
        <v>16097</v>
      </c>
      <c r="WFH3" t="s">
        <v>16098</v>
      </c>
      <c r="WFI3" t="s">
        <v>16099</v>
      </c>
      <c r="WFJ3" t="s">
        <v>16100</v>
      </c>
      <c r="WFK3" t="s">
        <v>16101</v>
      </c>
      <c r="WFL3" t="s">
        <v>16102</v>
      </c>
      <c r="WFM3" t="s">
        <v>16103</v>
      </c>
      <c r="WFN3" t="s">
        <v>16104</v>
      </c>
      <c r="WFO3" t="s">
        <v>16105</v>
      </c>
      <c r="WFP3" t="s">
        <v>16106</v>
      </c>
      <c r="WFQ3" t="s">
        <v>16107</v>
      </c>
      <c r="WFR3" t="s">
        <v>16108</v>
      </c>
      <c r="WFS3" t="s">
        <v>16109</v>
      </c>
      <c r="WFT3" t="s">
        <v>16110</v>
      </c>
      <c r="WFU3" t="s">
        <v>16111</v>
      </c>
      <c r="WFV3" t="s">
        <v>16112</v>
      </c>
      <c r="WFW3" t="s">
        <v>16113</v>
      </c>
      <c r="WFX3" t="s">
        <v>16114</v>
      </c>
      <c r="WFY3" t="s">
        <v>16115</v>
      </c>
      <c r="WFZ3" t="s">
        <v>16116</v>
      </c>
      <c r="WGA3" t="s">
        <v>16117</v>
      </c>
      <c r="WGB3" t="s">
        <v>16118</v>
      </c>
      <c r="WGC3" t="s">
        <v>16119</v>
      </c>
      <c r="WGD3" t="s">
        <v>16120</v>
      </c>
      <c r="WGE3" t="s">
        <v>16121</v>
      </c>
      <c r="WGF3" t="s">
        <v>16122</v>
      </c>
      <c r="WGG3" t="s">
        <v>16123</v>
      </c>
      <c r="WGH3" t="s">
        <v>16124</v>
      </c>
      <c r="WGI3" t="s">
        <v>16125</v>
      </c>
      <c r="WGJ3" t="s">
        <v>16126</v>
      </c>
      <c r="WGK3" t="s">
        <v>16127</v>
      </c>
      <c r="WGL3" t="s">
        <v>16128</v>
      </c>
      <c r="WGM3" t="s">
        <v>16129</v>
      </c>
      <c r="WGN3" t="s">
        <v>16130</v>
      </c>
      <c r="WGO3" t="s">
        <v>16131</v>
      </c>
      <c r="WGP3" t="s">
        <v>16132</v>
      </c>
      <c r="WGQ3" t="s">
        <v>16133</v>
      </c>
      <c r="WGR3" t="s">
        <v>16134</v>
      </c>
      <c r="WGS3" t="s">
        <v>16135</v>
      </c>
      <c r="WGT3" t="s">
        <v>16136</v>
      </c>
      <c r="WGU3" t="s">
        <v>16137</v>
      </c>
      <c r="WGV3" t="s">
        <v>16138</v>
      </c>
      <c r="WGW3" t="s">
        <v>16139</v>
      </c>
      <c r="WGX3" t="s">
        <v>16140</v>
      </c>
      <c r="WGY3" t="s">
        <v>16141</v>
      </c>
      <c r="WGZ3" t="s">
        <v>16142</v>
      </c>
      <c r="WHA3" t="s">
        <v>16143</v>
      </c>
      <c r="WHB3" t="s">
        <v>16144</v>
      </c>
      <c r="WHC3" t="s">
        <v>16145</v>
      </c>
      <c r="WHD3" t="s">
        <v>16146</v>
      </c>
      <c r="WHE3" t="s">
        <v>16147</v>
      </c>
      <c r="WHF3" t="s">
        <v>16148</v>
      </c>
      <c r="WHG3" t="s">
        <v>16149</v>
      </c>
      <c r="WHH3" t="s">
        <v>16150</v>
      </c>
      <c r="WHI3" t="s">
        <v>16151</v>
      </c>
      <c r="WHJ3" t="s">
        <v>16152</v>
      </c>
      <c r="WHK3" t="s">
        <v>16153</v>
      </c>
      <c r="WHL3" t="s">
        <v>16154</v>
      </c>
      <c r="WHM3" t="s">
        <v>16155</v>
      </c>
      <c r="WHN3" t="s">
        <v>16156</v>
      </c>
      <c r="WHO3" t="s">
        <v>16157</v>
      </c>
      <c r="WHP3" t="s">
        <v>16158</v>
      </c>
      <c r="WHQ3" t="s">
        <v>16159</v>
      </c>
      <c r="WHR3" t="s">
        <v>16160</v>
      </c>
      <c r="WHS3" t="s">
        <v>16161</v>
      </c>
      <c r="WHT3" t="s">
        <v>16162</v>
      </c>
      <c r="WHU3" t="s">
        <v>16163</v>
      </c>
      <c r="WHV3" t="s">
        <v>16164</v>
      </c>
      <c r="WHW3" t="s">
        <v>16165</v>
      </c>
      <c r="WHX3" t="s">
        <v>16166</v>
      </c>
      <c r="WHY3" t="s">
        <v>16167</v>
      </c>
      <c r="WHZ3" t="s">
        <v>16168</v>
      </c>
      <c r="WIA3" t="s">
        <v>16169</v>
      </c>
      <c r="WIB3" t="s">
        <v>16170</v>
      </c>
      <c r="WIC3" t="s">
        <v>16171</v>
      </c>
      <c r="WID3" t="s">
        <v>16172</v>
      </c>
      <c r="WIE3" t="s">
        <v>16173</v>
      </c>
      <c r="WIF3" t="s">
        <v>16174</v>
      </c>
      <c r="WIG3" t="s">
        <v>16175</v>
      </c>
      <c r="WIH3" t="s">
        <v>16176</v>
      </c>
      <c r="WII3" t="s">
        <v>16177</v>
      </c>
      <c r="WIJ3" t="s">
        <v>16178</v>
      </c>
      <c r="WIK3" t="s">
        <v>16179</v>
      </c>
      <c r="WIL3" t="s">
        <v>16180</v>
      </c>
      <c r="WIM3" t="s">
        <v>16181</v>
      </c>
      <c r="WIN3" t="s">
        <v>16182</v>
      </c>
      <c r="WIO3" t="s">
        <v>16183</v>
      </c>
      <c r="WIP3" t="s">
        <v>16184</v>
      </c>
      <c r="WIQ3" t="s">
        <v>16185</v>
      </c>
      <c r="WIR3" t="s">
        <v>16186</v>
      </c>
      <c r="WIS3" t="s">
        <v>16187</v>
      </c>
      <c r="WIT3" t="s">
        <v>16188</v>
      </c>
      <c r="WIU3" t="s">
        <v>16189</v>
      </c>
      <c r="WIV3" t="s">
        <v>16190</v>
      </c>
      <c r="WIW3" t="s">
        <v>16191</v>
      </c>
      <c r="WIX3" t="s">
        <v>16192</v>
      </c>
      <c r="WIY3" t="s">
        <v>16193</v>
      </c>
      <c r="WIZ3" t="s">
        <v>16194</v>
      </c>
      <c r="WJA3" t="s">
        <v>16195</v>
      </c>
      <c r="WJB3" t="s">
        <v>16196</v>
      </c>
      <c r="WJC3" t="s">
        <v>16197</v>
      </c>
      <c r="WJD3" t="s">
        <v>16198</v>
      </c>
      <c r="WJE3" t="s">
        <v>16199</v>
      </c>
      <c r="WJF3" t="s">
        <v>16200</v>
      </c>
      <c r="WJG3" t="s">
        <v>16201</v>
      </c>
      <c r="WJH3" t="s">
        <v>16202</v>
      </c>
      <c r="WJI3" t="s">
        <v>16203</v>
      </c>
      <c r="WJJ3" t="s">
        <v>16204</v>
      </c>
      <c r="WJK3" t="s">
        <v>16205</v>
      </c>
      <c r="WJL3" t="s">
        <v>16206</v>
      </c>
      <c r="WJM3" t="s">
        <v>16207</v>
      </c>
      <c r="WJN3" t="s">
        <v>16208</v>
      </c>
      <c r="WJO3" t="s">
        <v>16209</v>
      </c>
      <c r="WJP3" t="s">
        <v>16210</v>
      </c>
      <c r="WJQ3" t="s">
        <v>16211</v>
      </c>
      <c r="WJR3" t="s">
        <v>16212</v>
      </c>
      <c r="WJS3" t="s">
        <v>16213</v>
      </c>
      <c r="WJT3" t="s">
        <v>16214</v>
      </c>
      <c r="WJU3" t="s">
        <v>16215</v>
      </c>
      <c r="WJV3" t="s">
        <v>16216</v>
      </c>
      <c r="WJW3" t="s">
        <v>16217</v>
      </c>
      <c r="WJX3" t="s">
        <v>16218</v>
      </c>
      <c r="WJY3" t="s">
        <v>16219</v>
      </c>
      <c r="WJZ3" t="s">
        <v>16220</v>
      </c>
      <c r="WKA3" t="s">
        <v>16221</v>
      </c>
      <c r="WKB3" t="s">
        <v>16222</v>
      </c>
      <c r="WKC3" t="s">
        <v>16223</v>
      </c>
      <c r="WKD3" t="s">
        <v>16224</v>
      </c>
      <c r="WKE3" t="s">
        <v>16225</v>
      </c>
      <c r="WKF3" t="s">
        <v>16226</v>
      </c>
      <c r="WKG3" t="s">
        <v>16227</v>
      </c>
      <c r="WKH3" t="s">
        <v>16228</v>
      </c>
      <c r="WKI3" t="s">
        <v>16229</v>
      </c>
      <c r="WKJ3" t="s">
        <v>16230</v>
      </c>
      <c r="WKK3" t="s">
        <v>16231</v>
      </c>
      <c r="WKL3" t="s">
        <v>16232</v>
      </c>
      <c r="WKM3" t="s">
        <v>16233</v>
      </c>
      <c r="WKN3" t="s">
        <v>16234</v>
      </c>
      <c r="WKO3" t="s">
        <v>16235</v>
      </c>
      <c r="WKP3" t="s">
        <v>16236</v>
      </c>
      <c r="WKQ3" t="s">
        <v>16237</v>
      </c>
      <c r="WKR3" t="s">
        <v>16238</v>
      </c>
      <c r="WKS3" t="s">
        <v>16239</v>
      </c>
      <c r="WKT3" t="s">
        <v>16240</v>
      </c>
      <c r="WKU3" t="s">
        <v>16241</v>
      </c>
      <c r="WKV3" t="s">
        <v>16242</v>
      </c>
      <c r="WKW3" t="s">
        <v>16243</v>
      </c>
      <c r="WKX3" t="s">
        <v>16244</v>
      </c>
      <c r="WKY3" t="s">
        <v>16245</v>
      </c>
      <c r="WKZ3" t="s">
        <v>16246</v>
      </c>
      <c r="WLA3" t="s">
        <v>16247</v>
      </c>
      <c r="WLB3" t="s">
        <v>16248</v>
      </c>
      <c r="WLC3" t="s">
        <v>16249</v>
      </c>
      <c r="WLD3" t="s">
        <v>16250</v>
      </c>
      <c r="WLE3" t="s">
        <v>16251</v>
      </c>
      <c r="WLF3" t="s">
        <v>16252</v>
      </c>
      <c r="WLG3" t="s">
        <v>16253</v>
      </c>
      <c r="WLH3" t="s">
        <v>16254</v>
      </c>
      <c r="WLI3" t="s">
        <v>16255</v>
      </c>
      <c r="WLJ3" t="s">
        <v>16256</v>
      </c>
      <c r="WLK3" t="s">
        <v>16257</v>
      </c>
      <c r="WLL3" t="s">
        <v>16258</v>
      </c>
      <c r="WLM3" t="s">
        <v>16259</v>
      </c>
      <c r="WLN3" t="s">
        <v>16260</v>
      </c>
      <c r="WLO3" t="s">
        <v>16261</v>
      </c>
      <c r="WLP3" t="s">
        <v>16262</v>
      </c>
      <c r="WLQ3" t="s">
        <v>16263</v>
      </c>
      <c r="WLR3" t="s">
        <v>16264</v>
      </c>
      <c r="WLS3" t="s">
        <v>16265</v>
      </c>
      <c r="WLT3" t="s">
        <v>16266</v>
      </c>
      <c r="WLU3" t="s">
        <v>16267</v>
      </c>
      <c r="WLV3" t="s">
        <v>16268</v>
      </c>
      <c r="WLW3" t="s">
        <v>16269</v>
      </c>
      <c r="WLX3" t="s">
        <v>16270</v>
      </c>
      <c r="WLY3" t="s">
        <v>16271</v>
      </c>
      <c r="WLZ3" t="s">
        <v>16272</v>
      </c>
      <c r="WMA3" t="s">
        <v>16273</v>
      </c>
      <c r="WMB3" t="s">
        <v>16274</v>
      </c>
      <c r="WMC3" t="s">
        <v>16275</v>
      </c>
      <c r="WMD3" t="s">
        <v>16276</v>
      </c>
      <c r="WME3" t="s">
        <v>16277</v>
      </c>
      <c r="WMF3" t="s">
        <v>16278</v>
      </c>
      <c r="WMG3" t="s">
        <v>16279</v>
      </c>
      <c r="WMH3" t="s">
        <v>16280</v>
      </c>
      <c r="WMI3" t="s">
        <v>16281</v>
      </c>
      <c r="WMJ3" t="s">
        <v>16282</v>
      </c>
      <c r="WMK3" t="s">
        <v>16283</v>
      </c>
      <c r="WML3" t="s">
        <v>16284</v>
      </c>
      <c r="WMM3" t="s">
        <v>16285</v>
      </c>
      <c r="WMN3" t="s">
        <v>16286</v>
      </c>
      <c r="WMO3" t="s">
        <v>16287</v>
      </c>
      <c r="WMP3" t="s">
        <v>16288</v>
      </c>
      <c r="WMQ3" t="s">
        <v>16289</v>
      </c>
      <c r="WMR3" t="s">
        <v>16290</v>
      </c>
      <c r="WMS3" t="s">
        <v>16291</v>
      </c>
      <c r="WMT3" t="s">
        <v>16292</v>
      </c>
      <c r="WMU3" t="s">
        <v>16293</v>
      </c>
      <c r="WMV3" t="s">
        <v>16294</v>
      </c>
      <c r="WMW3" t="s">
        <v>16295</v>
      </c>
      <c r="WMX3" t="s">
        <v>16296</v>
      </c>
      <c r="WMY3" t="s">
        <v>16297</v>
      </c>
      <c r="WMZ3" t="s">
        <v>16298</v>
      </c>
      <c r="WNA3" t="s">
        <v>16299</v>
      </c>
      <c r="WNB3" t="s">
        <v>16300</v>
      </c>
      <c r="WNC3" t="s">
        <v>16301</v>
      </c>
      <c r="WND3" t="s">
        <v>16302</v>
      </c>
      <c r="WNE3" t="s">
        <v>16303</v>
      </c>
      <c r="WNF3" t="s">
        <v>16304</v>
      </c>
      <c r="WNG3" t="s">
        <v>16305</v>
      </c>
      <c r="WNH3" t="s">
        <v>16306</v>
      </c>
      <c r="WNI3" t="s">
        <v>16307</v>
      </c>
      <c r="WNJ3" t="s">
        <v>16308</v>
      </c>
      <c r="WNK3" t="s">
        <v>16309</v>
      </c>
      <c r="WNL3" t="s">
        <v>16310</v>
      </c>
      <c r="WNM3" t="s">
        <v>16311</v>
      </c>
      <c r="WNN3" t="s">
        <v>16312</v>
      </c>
      <c r="WNO3" t="s">
        <v>16313</v>
      </c>
      <c r="WNP3" t="s">
        <v>16314</v>
      </c>
      <c r="WNQ3" t="s">
        <v>16315</v>
      </c>
      <c r="WNR3" t="s">
        <v>16316</v>
      </c>
      <c r="WNS3" t="s">
        <v>16317</v>
      </c>
      <c r="WNT3" t="s">
        <v>16318</v>
      </c>
      <c r="WNU3" t="s">
        <v>16319</v>
      </c>
      <c r="WNV3" t="s">
        <v>16320</v>
      </c>
      <c r="WNW3" t="s">
        <v>16321</v>
      </c>
      <c r="WNX3" t="s">
        <v>16322</v>
      </c>
      <c r="WNY3" t="s">
        <v>16323</v>
      </c>
      <c r="WNZ3" t="s">
        <v>16324</v>
      </c>
      <c r="WOA3" t="s">
        <v>16325</v>
      </c>
      <c r="WOB3" t="s">
        <v>16326</v>
      </c>
      <c r="WOC3" t="s">
        <v>16327</v>
      </c>
      <c r="WOD3" t="s">
        <v>16328</v>
      </c>
      <c r="WOE3" t="s">
        <v>16329</v>
      </c>
      <c r="WOF3" t="s">
        <v>16330</v>
      </c>
      <c r="WOG3" t="s">
        <v>16331</v>
      </c>
      <c r="WOH3" t="s">
        <v>16332</v>
      </c>
      <c r="WOI3" t="s">
        <v>16333</v>
      </c>
      <c r="WOJ3" t="s">
        <v>16334</v>
      </c>
      <c r="WOK3" t="s">
        <v>16335</v>
      </c>
      <c r="WOL3" t="s">
        <v>16336</v>
      </c>
      <c r="WOM3" t="s">
        <v>16337</v>
      </c>
      <c r="WON3" t="s">
        <v>16338</v>
      </c>
      <c r="WOO3" t="s">
        <v>16339</v>
      </c>
      <c r="WOP3" t="s">
        <v>16340</v>
      </c>
      <c r="WOQ3" t="s">
        <v>16341</v>
      </c>
      <c r="WOR3" t="s">
        <v>16342</v>
      </c>
      <c r="WOS3" t="s">
        <v>16343</v>
      </c>
      <c r="WOT3" t="s">
        <v>16344</v>
      </c>
      <c r="WOU3" t="s">
        <v>16345</v>
      </c>
      <c r="WOV3" t="s">
        <v>16346</v>
      </c>
      <c r="WOW3" t="s">
        <v>16347</v>
      </c>
      <c r="WOX3" t="s">
        <v>16348</v>
      </c>
      <c r="WOY3" t="s">
        <v>16349</v>
      </c>
      <c r="WOZ3" t="s">
        <v>16350</v>
      </c>
      <c r="WPA3" t="s">
        <v>16351</v>
      </c>
      <c r="WPB3" t="s">
        <v>16352</v>
      </c>
      <c r="WPC3" t="s">
        <v>16353</v>
      </c>
      <c r="WPD3" t="s">
        <v>16354</v>
      </c>
      <c r="WPE3" t="s">
        <v>16355</v>
      </c>
      <c r="WPF3" t="s">
        <v>16356</v>
      </c>
      <c r="WPG3" t="s">
        <v>16357</v>
      </c>
      <c r="WPH3" t="s">
        <v>16358</v>
      </c>
      <c r="WPI3" t="s">
        <v>16359</v>
      </c>
      <c r="WPJ3" t="s">
        <v>16360</v>
      </c>
      <c r="WPK3" t="s">
        <v>16361</v>
      </c>
      <c r="WPL3" t="s">
        <v>16362</v>
      </c>
      <c r="WPM3" t="s">
        <v>16363</v>
      </c>
      <c r="WPN3" t="s">
        <v>16364</v>
      </c>
      <c r="WPO3" t="s">
        <v>16365</v>
      </c>
      <c r="WPP3" t="s">
        <v>16366</v>
      </c>
      <c r="WPQ3" t="s">
        <v>16367</v>
      </c>
      <c r="WPR3" t="s">
        <v>16368</v>
      </c>
      <c r="WPS3" t="s">
        <v>16369</v>
      </c>
      <c r="WPT3" t="s">
        <v>16370</v>
      </c>
      <c r="WPU3" t="s">
        <v>16371</v>
      </c>
      <c r="WPV3" t="s">
        <v>16372</v>
      </c>
      <c r="WPW3" t="s">
        <v>16373</v>
      </c>
      <c r="WPX3" t="s">
        <v>16374</v>
      </c>
      <c r="WPY3" t="s">
        <v>16375</v>
      </c>
      <c r="WPZ3" t="s">
        <v>16376</v>
      </c>
      <c r="WQA3" t="s">
        <v>16377</v>
      </c>
      <c r="WQB3" t="s">
        <v>16378</v>
      </c>
      <c r="WQC3" t="s">
        <v>16379</v>
      </c>
      <c r="WQD3" t="s">
        <v>16380</v>
      </c>
      <c r="WQE3" t="s">
        <v>16381</v>
      </c>
      <c r="WQF3" t="s">
        <v>16382</v>
      </c>
      <c r="WQG3" t="s">
        <v>16383</v>
      </c>
      <c r="WQH3" t="s">
        <v>16384</v>
      </c>
      <c r="WQI3" t="s">
        <v>16385</v>
      </c>
      <c r="WQJ3" t="s">
        <v>16386</v>
      </c>
      <c r="WQK3" t="s">
        <v>16387</v>
      </c>
      <c r="WQL3" t="s">
        <v>16388</v>
      </c>
      <c r="WQM3" t="s">
        <v>16389</v>
      </c>
      <c r="WQN3" t="s">
        <v>16390</v>
      </c>
      <c r="WQO3" t="s">
        <v>16391</v>
      </c>
      <c r="WQP3" t="s">
        <v>16392</v>
      </c>
      <c r="WQQ3" t="s">
        <v>16393</v>
      </c>
      <c r="WQR3" t="s">
        <v>16394</v>
      </c>
      <c r="WQS3" t="s">
        <v>16395</v>
      </c>
      <c r="WQT3" t="s">
        <v>16396</v>
      </c>
      <c r="WQU3" t="s">
        <v>16397</v>
      </c>
      <c r="WQV3" t="s">
        <v>16398</v>
      </c>
      <c r="WQW3" t="s">
        <v>16399</v>
      </c>
      <c r="WQX3" t="s">
        <v>16400</v>
      </c>
      <c r="WQY3" t="s">
        <v>16401</v>
      </c>
      <c r="WQZ3" t="s">
        <v>16402</v>
      </c>
      <c r="WRA3" t="s">
        <v>16403</v>
      </c>
      <c r="WRB3" t="s">
        <v>16404</v>
      </c>
      <c r="WRC3" t="s">
        <v>16405</v>
      </c>
      <c r="WRD3" t="s">
        <v>16406</v>
      </c>
      <c r="WRE3" t="s">
        <v>16407</v>
      </c>
      <c r="WRF3" t="s">
        <v>16408</v>
      </c>
      <c r="WRG3" t="s">
        <v>16409</v>
      </c>
      <c r="WRH3" t="s">
        <v>16410</v>
      </c>
      <c r="WRI3" t="s">
        <v>16411</v>
      </c>
      <c r="WRJ3" t="s">
        <v>16412</v>
      </c>
      <c r="WRK3" t="s">
        <v>16413</v>
      </c>
      <c r="WRL3" t="s">
        <v>16414</v>
      </c>
      <c r="WRM3" t="s">
        <v>16415</v>
      </c>
      <c r="WRN3" t="s">
        <v>16416</v>
      </c>
      <c r="WRO3" t="s">
        <v>16417</v>
      </c>
      <c r="WRP3" t="s">
        <v>16418</v>
      </c>
      <c r="WRQ3" t="s">
        <v>16419</v>
      </c>
      <c r="WRR3" t="s">
        <v>16420</v>
      </c>
      <c r="WRS3" t="s">
        <v>16421</v>
      </c>
      <c r="WRT3" t="s">
        <v>16422</v>
      </c>
      <c r="WRU3" t="s">
        <v>16423</v>
      </c>
      <c r="WRV3" t="s">
        <v>16424</v>
      </c>
      <c r="WRW3" t="s">
        <v>16425</v>
      </c>
      <c r="WRX3" t="s">
        <v>16426</v>
      </c>
      <c r="WRY3" t="s">
        <v>16427</v>
      </c>
      <c r="WRZ3" t="s">
        <v>16428</v>
      </c>
      <c r="WSA3" t="s">
        <v>16429</v>
      </c>
      <c r="WSB3" t="s">
        <v>16430</v>
      </c>
      <c r="WSC3" t="s">
        <v>16431</v>
      </c>
      <c r="WSD3" t="s">
        <v>16432</v>
      </c>
      <c r="WSE3" t="s">
        <v>16433</v>
      </c>
      <c r="WSF3" t="s">
        <v>16434</v>
      </c>
      <c r="WSG3" t="s">
        <v>16435</v>
      </c>
      <c r="WSH3" t="s">
        <v>16436</v>
      </c>
      <c r="WSI3" t="s">
        <v>16437</v>
      </c>
      <c r="WSJ3" t="s">
        <v>16438</v>
      </c>
      <c r="WSK3" t="s">
        <v>16439</v>
      </c>
      <c r="WSL3" t="s">
        <v>16440</v>
      </c>
      <c r="WSM3" t="s">
        <v>16441</v>
      </c>
      <c r="WSN3" t="s">
        <v>16442</v>
      </c>
      <c r="WSO3" t="s">
        <v>16443</v>
      </c>
      <c r="WSP3" t="s">
        <v>16444</v>
      </c>
      <c r="WSQ3" t="s">
        <v>16445</v>
      </c>
      <c r="WSR3" t="s">
        <v>16446</v>
      </c>
      <c r="WSS3" t="s">
        <v>16447</v>
      </c>
      <c r="WST3" t="s">
        <v>16448</v>
      </c>
      <c r="WSU3" t="s">
        <v>16449</v>
      </c>
      <c r="WSV3" t="s">
        <v>16450</v>
      </c>
      <c r="WSW3" t="s">
        <v>16451</v>
      </c>
      <c r="WSX3" t="s">
        <v>16452</v>
      </c>
      <c r="WSY3" t="s">
        <v>16453</v>
      </c>
      <c r="WSZ3" t="s">
        <v>16454</v>
      </c>
      <c r="WTA3" t="s">
        <v>16455</v>
      </c>
      <c r="WTB3" t="s">
        <v>16456</v>
      </c>
      <c r="WTC3" t="s">
        <v>16457</v>
      </c>
      <c r="WTD3" t="s">
        <v>16458</v>
      </c>
      <c r="WTE3" t="s">
        <v>16459</v>
      </c>
      <c r="WTF3" t="s">
        <v>16460</v>
      </c>
      <c r="WTG3" t="s">
        <v>16461</v>
      </c>
      <c r="WTH3" t="s">
        <v>16462</v>
      </c>
      <c r="WTI3" t="s">
        <v>16463</v>
      </c>
      <c r="WTJ3" t="s">
        <v>16464</v>
      </c>
      <c r="WTK3" t="s">
        <v>16465</v>
      </c>
      <c r="WTL3" t="s">
        <v>16466</v>
      </c>
      <c r="WTM3" t="s">
        <v>16467</v>
      </c>
      <c r="WTN3" t="s">
        <v>16468</v>
      </c>
      <c r="WTO3" t="s">
        <v>16469</v>
      </c>
      <c r="WTP3" t="s">
        <v>16470</v>
      </c>
      <c r="WTQ3" t="s">
        <v>16471</v>
      </c>
      <c r="WTR3" t="s">
        <v>16472</v>
      </c>
      <c r="WTS3" t="s">
        <v>16473</v>
      </c>
      <c r="WTT3" t="s">
        <v>16474</v>
      </c>
      <c r="WTU3" t="s">
        <v>16475</v>
      </c>
      <c r="WTV3" t="s">
        <v>16476</v>
      </c>
      <c r="WTW3" t="s">
        <v>16477</v>
      </c>
      <c r="WTX3" t="s">
        <v>16478</v>
      </c>
      <c r="WTY3" t="s">
        <v>16479</v>
      </c>
      <c r="WTZ3" t="s">
        <v>16480</v>
      </c>
      <c r="WUA3" t="s">
        <v>16481</v>
      </c>
      <c r="WUB3" t="s">
        <v>16482</v>
      </c>
      <c r="WUC3" t="s">
        <v>16483</v>
      </c>
      <c r="WUD3" t="s">
        <v>16484</v>
      </c>
      <c r="WUE3" t="s">
        <v>16485</v>
      </c>
      <c r="WUF3" t="s">
        <v>16486</v>
      </c>
      <c r="WUG3" t="s">
        <v>16487</v>
      </c>
      <c r="WUH3" t="s">
        <v>16488</v>
      </c>
      <c r="WUI3" t="s">
        <v>16489</v>
      </c>
      <c r="WUJ3" t="s">
        <v>16490</v>
      </c>
      <c r="WUK3" t="s">
        <v>16491</v>
      </c>
      <c r="WUL3" t="s">
        <v>16492</v>
      </c>
      <c r="WUM3" t="s">
        <v>16493</v>
      </c>
      <c r="WUN3" t="s">
        <v>16494</v>
      </c>
      <c r="WUO3" t="s">
        <v>16495</v>
      </c>
      <c r="WUP3" t="s">
        <v>16496</v>
      </c>
      <c r="WUQ3" t="s">
        <v>16497</v>
      </c>
      <c r="WUR3" t="s">
        <v>16498</v>
      </c>
      <c r="WUS3" t="s">
        <v>16499</v>
      </c>
      <c r="WUT3" t="s">
        <v>16500</v>
      </c>
      <c r="WUU3" t="s">
        <v>16501</v>
      </c>
      <c r="WUV3" t="s">
        <v>16502</v>
      </c>
      <c r="WUW3" t="s">
        <v>16503</v>
      </c>
      <c r="WUX3" t="s">
        <v>16504</v>
      </c>
      <c r="WUY3" t="s">
        <v>16505</v>
      </c>
      <c r="WUZ3" t="s">
        <v>16506</v>
      </c>
      <c r="WVA3" t="s">
        <v>16507</v>
      </c>
      <c r="WVB3" t="s">
        <v>16508</v>
      </c>
      <c r="WVC3" t="s">
        <v>16509</v>
      </c>
      <c r="WVD3" t="s">
        <v>16510</v>
      </c>
      <c r="WVE3" t="s">
        <v>16511</v>
      </c>
      <c r="WVF3" t="s">
        <v>16512</v>
      </c>
      <c r="WVG3" t="s">
        <v>16513</v>
      </c>
      <c r="WVH3" t="s">
        <v>16514</v>
      </c>
      <c r="WVI3" t="s">
        <v>16515</v>
      </c>
      <c r="WVJ3" t="s">
        <v>16516</v>
      </c>
      <c r="WVK3" t="s">
        <v>16517</v>
      </c>
      <c r="WVL3" t="s">
        <v>16518</v>
      </c>
      <c r="WVM3" t="s">
        <v>16519</v>
      </c>
      <c r="WVN3" t="s">
        <v>16520</v>
      </c>
      <c r="WVO3" t="s">
        <v>16521</v>
      </c>
      <c r="WVP3" t="s">
        <v>16522</v>
      </c>
      <c r="WVQ3" t="s">
        <v>16523</v>
      </c>
      <c r="WVR3" t="s">
        <v>16524</v>
      </c>
      <c r="WVS3" t="s">
        <v>16525</v>
      </c>
      <c r="WVT3" t="s">
        <v>16526</v>
      </c>
      <c r="WVU3" t="s">
        <v>16527</v>
      </c>
      <c r="WVV3" t="s">
        <v>16528</v>
      </c>
      <c r="WVW3" t="s">
        <v>16529</v>
      </c>
      <c r="WVX3" t="s">
        <v>16530</v>
      </c>
      <c r="WVY3" t="s">
        <v>16531</v>
      </c>
      <c r="WVZ3" t="s">
        <v>16532</v>
      </c>
      <c r="WWA3" t="s">
        <v>16533</v>
      </c>
      <c r="WWB3" t="s">
        <v>16534</v>
      </c>
      <c r="WWC3" t="s">
        <v>16535</v>
      </c>
      <c r="WWD3" t="s">
        <v>16536</v>
      </c>
      <c r="WWE3" t="s">
        <v>16537</v>
      </c>
      <c r="WWF3" t="s">
        <v>16538</v>
      </c>
      <c r="WWG3" t="s">
        <v>16539</v>
      </c>
      <c r="WWH3" t="s">
        <v>16540</v>
      </c>
      <c r="WWI3" t="s">
        <v>16541</v>
      </c>
      <c r="WWJ3" t="s">
        <v>16542</v>
      </c>
      <c r="WWK3" t="s">
        <v>16543</v>
      </c>
      <c r="WWL3" t="s">
        <v>16544</v>
      </c>
      <c r="WWM3" t="s">
        <v>16545</v>
      </c>
      <c r="WWN3" t="s">
        <v>16546</v>
      </c>
      <c r="WWO3" t="s">
        <v>16547</v>
      </c>
      <c r="WWP3" t="s">
        <v>16548</v>
      </c>
      <c r="WWQ3" t="s">
        <v>16549</v>
      </c>
      <c r="WWR3" t="s">
        <v>16550</v>
      </c>
      <c r="WWS3" t="s">
        <v>16551</v>
      </c>
      <c r="WWT3" t="s">
        <v>16552</v>
      </c>
      <c r="WWU3" t="s">
        <v>16553</v>
      </c>
      <c r="WWV3" t="s">
        <v>16554</v>
      </c>
      <c r="WWW3" t="s">
        <v>16555</v>
      </c>
      <c r="WWX3" t="s">
        <v>16556</v>
      </c>
      <c r="WWY3" t="s">
        <v>16557</v>
      </c>
      <c r="WWZ3" t="s">
        <v>16558</v>
      </c>
      <c r="WXA3" t="s">
        <v>16559</v>
      </c>
      <c r="WXB3" t="s">
        <v>16560</v>
      </c>
      <c r="WXC3" t="s">
        <v>16561</v>
      </c>
      <c r="WXD3" t="s">
        <v>16562</v>
      </c>
      <c r="WXE3" t="s">
        <v>16563</v>
      </c>
      <c r="WXF3" t="s">
        <v>16564</v>
      </c>
      <c r="WXG3" t="s">
        <v>16565</v>
      </c>
      <c r="WXH3" t="s">
        <v>16566</v>
      </c>
      <c r="WXI3" t="s">
        <v>16567</v>
      </c>
      <c r="WXJ3" t="s">
        <v>16568</v>
      </c>
      <c r="WXK3" t="s">
        <v>16569</v>
      </c>
      <c r="WXL3" t="s">
        <v>16570</v>
      </c>
      <c r="WXM3" t="s">
        <v>16571</v>
      </c>
      <c r="WXN3" t="s">
        <v>16572</v>
      </c>
      <c r="WXO3" t="s">
        <v>16573</v>
      </c>
      <c r="WXP3" t="s">
        <v>16574</v>
      </c>
      <c r="WXQ3" t="s">
        <v>16575</v>
      </c>
      <c r="WXR3" t="s">
        <v>16576</v>
      </c>
      <c r="WXS3" t="s">
        <v>16577</v>
      </c>
      <c r="WXT3" t="s">
        <v>16578</v>
      </c>
      <c r="WXU3" t="s">
        <v>16579</v>
      </c>
      <c r="WXV3" t="s">
        <v>16580</v>
      </c>
      <c r="WXW3" t="s">
        <v>16581</v>
      </c>
      <c r="WXX3" t="s">
        <v>16582</v>
      </c>
      <c r="WXY3" t="s">
        <v>16583</v>
      </c>
      <c r="WXZ3" t="s">
        <v>16584</v>
      </c>
      <c r="WYA3" t="s">
        <v>16585</v>
      </c>
      <c r="WYB3" t="s">
        <v>16586</v>
      </c>
      <c r="WYC3" t="s">
        <v>16587</v>
      </c>
      <c r="WYD3" t="s">
        <v>16588</v>
      </c>
      <c r="WYE3" t="s">
        <v>16589</v>
      </c>
      <c r="WYF3" t="s">
        <v>16590</v>
      </c>
      <c r="WYG3" t="s">
        <v>16591</v>
      </c>
      <c r="WYH3" t="s">
        <v>16592</v>
      </c>
      <c r="WYI3" t="s">
        <v>16593</v>
      </c>
      <c r="WYJ3" t="s">
        <v>16594</v>
      </c>
      <c r="WYK3" t="s">
        <v>16595</v>
      </c>
      <c r="WYL3" t="s">
        <v>16596</v>
      </c>
      <c r="WYM3" t="s">
        <v>16597</v>
      </c>
      <c r="WYN3" t="s">
        <v>16598</v>
      </c>
      <c r="WYO3" t="s">
        <v>16599</v>
      </c>
      <c r="WYP3" t="s">
        <v>16600</v>
      </c>
      <c r="WYQ3" t="s">
        <v>16601</v>
      </c>
      <c r="WYR3" t="s">
        <v>16602</v>
      </c>
      <c r="WYS3" t="s">
        <v>16603</v>
      </c>
      <c r="WYT3" t="s">
        <v>16604</v>
      </c>
      <c r="WYU3" t="s">
        <v>16605</v>
      </c>
      <c r="WYV3" t="s">
        <v>16606</v>
      </c>
      <c r="WYW3" t="s">
        <v>16607</v>
      </c>
      <c r="WYX3" t="s">
        <v>16608</v>
      </c>
      <c r="WYY3" t="s">
        <v>16609</v>
      </c>
      <c r="WYZ3" t="s">
        <v>16610</v>
      </c>
      <c r="WZA3" t="s">
        <v>16611</v>
      </c>
      <c r="WZB3" t="s">
        <v>16612</v>
      </c>
      <c r="WZC3" t="s">
        <v>16613</v>
      </c>
      <c r="WZD3" t="s">
        <v>16614</v>
      </c>
      <c r="WZE3" t="s">
        <v>16615</v>
      </c>
      <c r="WZF3" t="s">
        <v>16616</v>
      </c>
      <c r="WZG3" t="s">
        <v>16617</v>
      </c>
      <c r="WZH3" t="s">
        <v>16618</v>
      </c>
      <c r="WZI3" t="s">
        <v>16619</v>
      </c>
      <c r="WZJ3" t="s">
        <v>16620</v>
      </c>
      <c r="WZK3" t="s">
        <v>16621</v>
      </c>
      <c r="WZL3" t="s">
        <v>16622</v>
      </c>
      <c r="WZM3" t="s">
        <v>16623</v>
      </c>
      <c r="WZN3" t="s">
        <v>16624</v>
      </c>
      <c r="WZO3" t="s">
        <v>16625</v>
      </c>
      <c r="WZP3" t="s">
        <v>16626</v>
      </c>
      <c r="WZQ3" t="s">
        <v>16627</v>
      </c>
      <c r="WZR3" t="s">
        <v>16628</v>
      </c>
      <c r="WZS3" t="s">
        <v>16629</v>
      </c>
      <c r="WZT3" t="s">
        <v>16630</v>
      </c>
      <c r="WZU3" t="s">
        <v>16631</v>
      </c>
      <c r="WZV3" t="s">
        <v>16632</v>
      </c>
      <c r="WZW3" t="s">
        <v>16633</v>
      </c>
      <c r="WZX3" t="s">
        <v>16634</v>
      </c>
      <c r="WZY3" t="s">
        <v>16635</v>
      </c>
      <c r="WZZ3" t="s">
        <v>16636</v>
      </c>
      <c r="XAA3" t="s">
        <v>16637</v>
      </c>
      <c r="XAB3" t="s">
        <v>16638</v>
      </c>
      <c r="XAC3" t="s">
        <v>16639</v>
      </c>
      <c r="XAD3" t="s">
        <v>16640</v>
      </c>
      <c r="XAE3" t="s">
        <v>16641</v>
      </c>
      <c r="XAF3" t="s">
        <v>16642</v>
      </c>
      <c r="XAG3" t="s">
        <v>16643</v>
      </c>
      <c r="XAH3" t="s">
        <v>16644</v>
      </c>
      <c r="XAI3" t="s">
        <v>16645</v>
      </c>
      <c r="XAJ3" t="s">
        <v>16646</v>
      </c>
      <c r="XAK3" t="s">
        <v>16647</v>
      </c>
      <c r="XAL3" t="s">
        <v>16648</v>
      </c>
      <c r="XAM3" t="s">
        <v>16649</v>
      </c>
      <c r="XAN3" t="s">
        <v>16650</v>
      </c>
      <c r="XAO3" t="s">
        <v>16651</v>
      </c>
      <c r="XAP3" t="s">
        <v>16652</v>
      </c>
      <c r="XAQ3" t="s">
        <v>16653</v>
      </c>
      <c r="XAR3" t="s">
        <v>16654</v>
      </c>
      <c r="XAS3" t="s">
        <v>16655</v>
      </c>
      <c r="XAT3" t="s">
        <v>16656</v>
      </c>
      <c r="XAU3" t="s">
        <v>16657</v>
      </c>
      <c r="XAV3" t="s">
        <v>16658</v>
      </c>
      <c r="XAW3" t="s">
        <v>16659</v>
      </c>
      <c r="XAX3" t="s">
        <v>16660</v>
      </c>
      <c r="XAY3" t="s">
        <v>16661</v>
      </c>
      <c r="XAZ3" t="s">
        <v>16662</v>
      </c>
      <c r="XBA3" t="s">
        <v>16663</v>
      </c>
      <c r="XBB3" t="s">
        <v>16664</v>
      </c>
      <c r="XBC3" t="s">
        <v>16665</v>
      </c>
      <c r="XBD3" t="s">
        <v>16666</v>
      </c>
      <c r="XBE3" t="s">
        <v>16667</v>
      </c>
      <c r="XBF3" t="s">
        <v>16668</v>
      </c>
      <c r="XBG3" t="s">
        <v>16669</v>
      </c>
      <c r="XBH3" t="s">
        <v>16670</v>
      </c>
      <c r="XBI3" t="s">
        <v>16671</v>
      </c>
      <c r="XBJ3" t="s">
        <v>16672</v>
      </c>
      <c r="XBK3" t="s">
        <v>16673</v>
      </c>
      <c r="XBL3" t="s">
        <v>16674</v>
      </c>
      <c r="XBM3" t="s">
        <v>16675</v>
      </c>
      <c r="XBN3" t="s">
        <v>16676</v>
      </c>
      <c r="XBO3" t="s">
        <v>16677</v>
      </c>
      <c r="XBP3" t="s">
        <v>16678</v>
      </c>
      <c r="XBQ3" t="s">
        <v>16679</v>
      </c>
      <c r="XBR3" t="s">
        <v>16680</v>
      </c>
      <c r="XBS3" t="s">
        <v>16681</v>
      </c>
      <c r="XBT3" t="s">
        <v>16682</v>
      </c>
      <c r="XBU3" t="s">
        <v>16683</v>
      </c>
      <c r="XBV3" t="s">
        <v>16684</v>
      </c>
      <c r="XBW3" t="s">
        <v>16685</v>
      </c>
      <c r="XBX3" t="s">
        <v>16686</v>
      </c>
      <c r="XBY3" t="s">
        <v>16687</v>
      </c>
      <c r="XBZ3" t="s">
        <v>16688</v>
      </c>
      <c r="XCA3" t="s">
        <v>16689</v>
      </c>
      <c r="XCB3" t="s">
        <v>16690</v>
      </c>
      <c r="XCC3" t="s">
        <v>16691</v>
      </c>
      <c r="XCD3" t="s">
        <v>16692</v>
      </c>
      <c r="XCE3" t="s">
        <v>16693</v>
      </c>
      <c r="XCF3" t="s">
        <v>16694</v>
      </c>
      <c r="XCG3" t="s">
        <v>16695</v>
      </c>
      <c r="XCH3" t="s">
        <v>16696</v>
      </c>
      <c r="XCI3" t="s">
        <v>16697</v>
      </c>
      <c r="XCJ3" t="s">
        <v>16698</v>
      </c>
      <c r="XCK3" t="s">
        <v>16699</v>
      </c>
      <c r="XCL3" t="s">
        <v>16700</v>
      </c>
      <c r="XCM3" t="s">
        <v>16701</v>
      </c>
      <c r="XCN3" t="s">
        <v>16702</v>
      </c>
      <c r="XCO3" t="s">
        <v>16703</v>
      </c>
      <c r="XCP3" t="s">
        <v>16704</v>
      </c>
      <c r="XCQ3" t="s">
        <v>16705</v>
      </c>
      <c r="XCR3" t="s">
        <v>16706</v>
      </c>
      <c r="XCS3" t="s">
        <v>16707</v>
      </c>
      <c r="XCT3" t="s">
        <v>16708</v>
      </c>
      <c r="XCU3" t="s">
        <v>16709</v>
      </c>
      <c r="XCV3" t="s">
        <v>16710</v>
      </c>
      <c r="XCW3" t="s">
        <v>16711</v>
      </c>
      <c r="XCX3" t="s">
        <v>16712</v>
      </c>
      <c r="XCY3" t="s">
        <v>16713</v>
      </c>
      <c r="XCZ3" t="s">
        <v>16714</v>
      </c>
      <c r="XDA3" t="s">
        <v>16715</v>
      </c>
      <c r="XDB3" t="s">
        <v>16716</v>
      </c>
      <c r="XDC3" t="s">
        <v>16717</v>
      </c>
      <c r="XDD3" t="s">
        <v>16718</v>
      </c>
      <c r="XDE3" t="s">
        <v>16719</v>
      </c>
      <c r="XDF3" t="s">
        <v>16720</v>
      </c>
      <c r="XDG3" t="s">
        <v>16721</v>
      </c>
      <c r="XDH3" t="s">
        <v>16722</v>
      </c>
      <c r="XDI3" t="s">
        <v>16723</v>
      </c>
      <c r="XDJ3" t="s">
        <v>16724</v>
      </c>
      <c r="XDK3" t="s">
        <v>16725</v>
      </c>
      <c r="XDL3" t="s">
        <v>16726</v>
      </c>
      <c r="XDM3" t="s">
        <v>16727</v>
      </c>
      <c r="XDN3" t="s">
        <v>16728</v>
      </c>
      <c r="XDO3" t="s">
        <v>16729</v>
      </c>
      <c r="XDP3" t="s">
        <v>16730</v>
      </c>
      <c r="XDQ3" t="s">
        <v>16731</v>
      </c>
      <c r="XDR3" t="s">
        <v>16732</v>
      </c>
      <c r="XDS3" t="s">
        <v>16733</v>
      </c>
      <c r="XDT3" t="s">
        <v>16734</v>
      </c>
      <c r="XDU3" t="s">
        <v>16735</v>
      </c>
      <c r="XDV3" t="s">
        <v>16736</v>
      </c>
      <c r="XDW3" t="s">
        <v>16737</v>
      </c>
      <c r="XDX3" t="s">
        <v>16738</v>
      </c>
      <c r="XDY3" t="s">
        <v>16739</v>
      </c>
      <c r="XDZ3" t="s">
        <v>16740</v>
      </c>
      <c r="XEA3" t="s">
        <v>16741</v>
      </c>
      <c r="XEB3" t="s">
        <v>16742</v>
      </c>
      <c r="XEC3" t="s">
        <v>16743</v>
      </c>
      <c r="XED3" t="s">
        <v>16744</v>
      </c>
      <c r="XEE3" t="s">
        <v>16745</v>
      </c>
      <c r="XEF3" t="s">
        <v>16746</v>
      </c>
      <c r="XEG3" t="s">
        <v>16747</v>
      </c>
      <c r="XEH3" t="s">
        <v>16748</v>
      </c>
      <c r="XEI3" t="s">
        <v>16749</v>
      </c>
      <c r="XEJ3" t="s">
        <v>16750</v>
      </c>
      <c r="XEK3" t="s">
        <v>16751</v>
      </c>
      <c r="XEL3" t="s">
        <v>16752</v>
      </c>
      <c r="XEM3" t="s">
        <v>16753</v>
      </c>
      <c r="XEN3" t="s">
        <v>16754</v>
      </c>
      <c r="XEO3" t="s">
        <v>16755</v>
      </c>
      <c r="XEP3" t="s">
        <v>16756</v>
      </c>
      <c r="XEQ3" t="s">
        <v>16757</v>
      </c>
      <c r="XER3" t="s">
        <v>16758</v>
      </c>
      <c r="XES3" t="s">
        <v>16759</v>
      </c>
      <c r="XET3" t="s">
        <v>16760</v>
      </c>
      <c r="XEU3" t="s">
        <v>16761</v>
      </c>
      <c r="XEV3" t="s">
        <v>16762</v>
      </c>
      <c r="XEW3" t="s">
        <v>16763</v>
      </c>
      <c r="XEX3" t="s">
        <v>16764</v>
      </c>
      <c r="XEY3" t="s">
        <v>16765</v>
      </c>
      <c r="XEZ3" t="s">
        <v>16766</v>
      </c>
      <c r="XFA3" t="s">
        <v>16767</v>
      </c>
      <c r="XFB3" t="s">
        <v>16768</v>
      </c>
      <c r="XFC3" t="s">
        <v>16769</v>
      </c>
    </row>
    <row r="4" spans="1:16383" ht="27.6">
      <c r="A4" s="30">
        <f t="shared" ref="A4:A64" si="0">IF(B4="","",ROW()-3)</f>
        <v>1</v>
      </c>
      <c r="B4" s="5" t="s">
        <v>354</v>
      </c>
      <c r="C4" s="22" t="s">
        <v>355</v>
      </c>
      <c r="D4" s="5" t="s">
        <v>357</v>
      </c>
      <c r="E4" s="5" t="s">
        <v>358</v>
      </c>
      <c r="F4" s="5" t="s">
        <v>25</v>
      </c>
      <c r="G4" s="29">
        <v>46254</v>
      </c>
      <c r="H4" s="5" t="s">
        <v>359</v>
      </c>
      <c r="I4" s="5" t="s">
        <v>360</v>
      </c>
      <c r="J4" s="5" t="s">
        <v>361</v>
      </c>
      <c r="K4" s="5" t="s">
        <v>362</v>
      </c>
      <c r="L4" s="5" t="s">
        <v>30</v>
      </c>
      <c r="M4" s="5" t="s">
        <v>31</v>
      </c>
      <c r="N4" s="29">
        <f>IF(OR(B4="",M4&lt;&gt;"Yes"),"",IF(O4&lt;&gt;"",O4+IF(L4="Low",3,IF(L4="Medium",7,21)),G4+IF(L4="Low",2,IF(L4="Medium",5,14))))</f>
        <v>46268</v>
      </c>
      <c r="O4" s="29"/>
      <c r="P4" s="5" t="s">
        <v>113</v>
      </c>
      <c r="Q4" s="5" t="s">
        <v>363</v>
      </c>
      <c r="R4" s="5"/>
      <c r="V4" s="42" t="str">
        <f t="shared" ref="V4:V32" si="1">IF(OR(J4="",U4&lt;&gt;"Yes"),"",IF(W4&lt;&gt;"",W4+IF(T4="Low",3,IF(T4="Medium",7,21)),O4+IF(T4="Low",2,IF(T4="Medium",5,14))))</f>
        <v/>
      </c>
    </row>
    <row r="5" spans="1:16383" ht="27.6">
      <c r="A5" s="7">
        <f t="shared" si="0"/>
        <v>2</v>
      </c>
      <c r="B5" s="5" t="s">
        <v>364</v>
      </c>
      <c r="C5" s="22" t="s">
        <v>365</v>
      </c>
      <c r="D5" s="5" t="s">
        <v>357</v>
      </c>
      <c r="E5" s="5" t="s">
        <v>366</v>
      </c>
      <c r="F5" s="5" t="s">
        <v>25</v>
      </c>
      <c r="G5" s="29">
        <v>46254</v>
      </c>
      <c r="H5" s="5" t="s">
        <v>367</v>
      </c>
      <c r="I5" s="43" t="s">
        <v>368</v>
      </c>
      <c r="J5" s="5" t="s">
        <v>369</v>
      </c>
      <c r="K5" s="5" t="s">
        <v>370</v>
      </c>
      <c r="L5" s="5" t="s">
        <v>30</v>
      </c>
      <c r="M5" s="5" t="s">
        <v>31</v>
      </c>
      <c r="N5" s="29">
        <f>IF(OR(B5="",M5&lt;&gt;"Yes"),"",IF(O5&lt;&gt;"",O5+IF(L5="Low",3,IF(L5="Medium",7,21)),G5+IF(L5="Low",2,IF(L5="Medium",5,14))))</f>
        <v>46268</v>
      </c>
      <c r="O5" s="29"/>
      <c r="P5" s="5" t="s">
        <v>113</v>
      </c>
      <c r="Q5" s="5" t="s">
        <v>363</v>
      </c>
      <c r="R5" s="5"/>
      <c r="V5" s="42" t="str">
        <f t="shared" si="1"/>
        <v/>
      </c>
    </row>
    <row r="6" spans="1:16383" ht="41.4">
      <c r="A6" s="7">
        <f t="shared" ref="A6" si="2">IF(B6="","",ROW()-3)</f>
        <v>3</v>
      </c>
      <c r="B6" s="5" t="s">
        <v>16866</v>
      </c>
      <c r="C6" s="22" t="s">
        <v>16860</v>
      </c>
      <c r="D6" s="5" t="s">
        <v>379</v>
      </c>
      <c r="E6" s="5" t="s">
        <v>383</v>
      </c>
      <c r="F6" s="5" t="s">
        <v>25</v>
      </c>
      <c r="G6" s="29">
        <v>46304</v>
      </c>
      <c r="H6" s="5" t="s">
        <v>16861</v>
      </c>
      <c r="I6" s="5" t="s">
        <v>16862</v>
      </c>
      <c r="J6" s="5" t="s">
        <v>16863</v>
      </c>
      <c r="K6" s="5" t="s">
        <v>16864</v>
      </c>
      <c r="L6" s="5" t="s">
        <v>52</v>
      </c>
      <c r="M6" s="5" t="s">
        <v>31</v>
      </c>
      <c r="N6" s="29">
        <f>IF(OR(B6="",M6&lt;&gt;"Yes"),"",IF(O6&lt;&gt;"",O6+IF(L6="Low",3,IF(L6="Medium",7,21)),G6+IF(L6="Low",2,IF(L6="Medium",5,14))))</f>
        <v>46309</v>
      </c>
      <c r="O6" s="29"/>
      <c r="P6" s="5" t="s">
        <v>113</v>
      </c>
      <c r="Q6" s="5" t="s">
        <v>16865</v>
      </c>
      <c r="R6" s="5"/>
      <c r="V6" s="42" t="str">
        <f t="shared" si="1"/>
        <v/>
      </c>
    </row>
    <row r="7" spans="1:16383" ht="55.2">
      <c r="A7" s="7">
        <f t="shared" si="0"/>
        <v>4</v>
      </c>
      <c r="B7" s="5" t="s">
        <v>16867</v>
      </c>
      <c r="C7" s="22" t="s">
        <v>16868</v>
      </c>
      <c r="D7" s="5" t="s">
        <v>379</v>
      </c>
      <c r="E7" s="5" t="s">
        <v>16869</v>
      </c>
      <c r="F7" s="5" t="s">
        <v>25</v>
      </c>
      <c r="G7" s="29">
        <v>46304</v>
      </c>
      <c r="H7" s="5" t="s">
        <v>16870</v>
      </c>
      <c r="I7" s="5" t="s">
        <v>16871</v>
      </c>
      <c r="J7" s="5" t="s">
        <v>16872</v>
      </c>
      <c r="K7" s="5" t="s">
        <v>16873</v>
      </c>
      <c r="L7" s="5" t="s">
        <v>52</v>
      </c>
      <c r="M7" s="5" t="s">
        <v>31</v>
      </c>
      <c r="N7" s="29">
        <f>IF(OR(B7="",M7&lt;&gt;"Yes"),"",IF(O7&lt;&gt;"",O7+IF(L7="Low",3,IF(L7="Medium",7,21)),G7+IF(L7="Low",2,IF(L7="Medium",5,14))))</f>
        <v>46309</v>
      </c>
      <c r="O7" s="29"/>
      <c r="P7" s="5" t="s">
        <v>40</v>
      </c>
      <c r="Q7" s="5" t="s">
        <v>16874</v>
      </c>
      <c r="R7" s="5"/>
      <c r="V7" s="42" t="str">
        <f t="shared" si="1"/>
        <v/>
      </c>
    </row>
    <row r="8" spans="1:16383">
      <c r="A8" s="7" t="str">
        <f t="shared" si="0"/>
        <v/>
      </c>
      <c r="B8" s="5"/>
      <c r="C8" s="5"/>
      <c r="D8" s="5"/>
      <c r="E8" s="5"/>
      <c r="F8" s="5"/>
      <c r="G8" s="29"/>
      <c r="H8" s="5"/>
      <c r="I8" s="5"/>
      <c r="J8" s="5"/>
      <c r="K8" s="5"/>
      <c r="L8" s="5"/>
      <c r="M8" s="5"/>
      <c r="N8" s="29" t="str">
        <f>IF(OR(B8="",M8&lt;&gt;"Yes"),"",IF(O8&lt;&gt;"",O8+IF(L8="Low",3,IF(L8="Medium",7,21)),G8+IF(L8="Low",2,IF(L8="Medium",5,14))))</f>
        <v/>
      </c>
      <c r="O8" s="29"/>
      <c r="P8" s="5"/>
      <c r="Q8" s="5"/>
      <c r="R8" s="5"/>
      <c r="V8" s="42" t="str">
        <f t="shared" si="1"/>
        <v/>
      </c>
    </row>
    <row r="9" spans="1:16383">
      <c r="A9" s="7" t="str">
        <f t="shared" si="0"/>
        <v/>
      </c>
      <c r="B9" s="5"/>
      <c r="C9" s="5"/>
      <c r="D9" s="5"/>
      <c r="E9" s="5"/>
      <c r="F9" s="5"/>
      <c r="G9" s="29"/>
      <c r="H9" s="5"/>
      <c r="I9" s="5"/>
      <c r="J9" s="5"/>
      <c r="K9" s="5"/>
      <c r="L9" s="5"/>
      <c r="M9" s="5"/>
      <c r="N9" s="29" t="str">
        <f>IF(OR(B9="",M9&lt;&gt;"Yes"),"",IF(O9&lt;&gt;"",O9+IF(L9="Low",3,IF(L9="Medium",7,21)),G9+IF(L9="Low",2,IF(L9="Medium",5,14))))</f>
        <v/>
      </c>
      <c r="O9" s="29"/>
      <c r="P9" s="5"/>
      <c r="Q9" s="5"/>
      <c r="R9" s="5"/>
      <c r="V9" s="42" t="str">
        <f t="shared" si="1"/>
        <v/>
      </c>
    </row>
    <row r="10" spans="1:16383">
      <c r="A10" s="7" t="str">
        <f t="shared" si="0"/>
        <v/>
      </c>
      <c r="B10" s="5"/>
      <c r="C10" s="5"/>
      <c r="D10" s="5"/>
      <c r="E10" s="5"/>
      <c r="F10" s="5"/>
      <c r="G10" s="29"/>
      <c r="H10" s="5"/>
      <c r="I10" s="5"/>
      <c r="J10" s="5"/>
      <c r="K10" s="5"/>
      <c r="L10" s="5"/>
      <c r="M10" s="5"/>
      <c r="N10" s="29" t="str">
        <f>IF(OR(B10="",M10&lt;&gt;"Yes"),"",IF(O10&lt;&gt;"",O10+IF(L10="Low",3,IF(L10="Medium",7,21)),G10+IF(L10="Low",2,IF(L10="Medium",5,14))))</f>
        <v/>
      </c>
      <c r="O10" s="29"/>
      <c r="P10" s="5"/>
      <c r="Q10" s="5"/>
      <c r="R10" s="5"/>
      <c r="V10" s="42" t="str">
        <f t="shared" si="1"/>
        <v/>
      </c>
    </row>
    <row r="11" spans="1:16383">
      <c r="A11" s="7" t="str">
        <f t="shared" si="0"/>
        <v/>
      </c>
      <c r="B11" s="5"/>
      <c r="C11" s="5"/>
      <c r="D11" s="5"/>
      <c r="E11" s="5"/>
      <c r="F11" s="5"/>
      <c r="G11" s="29"/>
      <c r="H11" s="5"/>
      <c r="I11" s="5"/>
      <c r="J11" s="5"/>
      <c r="K11" s="5"/>
      <c r="L11" s="5"/>
      <c r="M11" s="5"/>
      <c r="N11" s="29" t="str">
        <f>IF(OR(B11="",M11&lt;&gt;"Yes"),"",IF(O11&lt;&gt;"",O11+IF(L11="Low",3,IF(L11="Medium",7,21)),G11+IF(L11="Low",2,IF(L11="Medium",5,14))))</f>
        <v/>
      </c>
      <c r="O11" s="29"/>
      <c r="P11" s="5"/>
      <c r="Q11" s="5"/>
      <c r="R11" s="5"/>
      <c r="V11" s="42" t="str">
        <f t="shared" si="1"/>
        <v/>
      </c>
    </row>
    <row r="12" spans="1:16383">
      <c r="A12" s="7" t="str">
        <f t="shared" si="0"/>
        <v/>
      </c>
      <c r="B12" s="5"/>
      <c r="C12" s="5"/>
      <c r="D12" s="5"/>
      <c r="E12" s="5"/>
      <c r="F12" s="5"/>
      <c r="G12" s="29"/>
      <c r="H12" s="5"/>
      <c r="I12" s="5"/>
      <c r="J12" s="5"/>
      <c r="K12" s="5"/>
      <c r="L12" s="5"/>
      <c r="M12" s="5"/>
      <c r="N12" s="29" t="str">
        <f>IF(OR(B12="",M12&lt;&gt;"Yes"),"",IF(O12&lt;&gt;"",O12+IF(L12="Low",3,IF(L12="Medium",7,21)),G12+IF(L12="Low",2,IF(L12="Medium",5,14))))</f>
        <v/>
      </c>
      <c r="O12" s="29"/>
      <c r="P12" s="5"/>
      <c r="Q12" s="5"/>
      <c r="R12" s="5"/>
      <c r="V12" s="42" t="str">
        <f t="shared" si="1"/>
        <v/>
      </c>
    </row>
    <row r="13" spans="1:16383">
      <c r="A13" s="7" t="str">
        <f t="shared" si="0"/>
        <v/>
      </c>
      <c r="B13" s="5"/>
      <c r="C13" s="5"/>
      <c r="D13" s="5"/>
      <c r="E13" s="5"/>
      <c r="F13" s="5"/>
      <c r="G13" s="29"/>
      <c r="H13" s="5"/>
      <c r="I13" s="5"/>
      <c r="J13" s="5"/>
      <c r="K13" s="5"/>
      <c r="L13" s="5"/>
      <c r="M13" s="5"/>
      <c r="N13" s="29" t="str">
        <f>IF(OR(B13="",M13&lt;&gt;"Yes"),"",IF(O13&lt;&gt;"",O13+IF(L13="Low",3,IF(L13="Medium",7,21)),G13+IF(L13="Low",2,IF(L13="Medium",5,14))))</f>
        <v/>
      </c>
      <c r="O13" s="29"/>
      <c r="P13" s="5"/>
      <c r="Q13" s="5"/>
      <c r="R13" s="5"/>
      <c r="V13" s="42" t="str">
        <f t="shared" si="1"/>
        <v/>
      </c>
    </row>
    <row r="14" spans="1:16383">
      <c r="A14" s="7" t="str">
        <f t="shared" si="0"/>
        <v/>
      </c>
      <c r="B14" s="5"/>
      <c r="C14" s="5"/>
      <c r="D14" s="5"/>
      <c r="E14" s="5"/>
      <c r="F14" s="5"/>
      <c r="G14" s="29"/>
      <c r="H14" s="5"/>
      <c r="I14" s="5"/>
      <c r="J14" s="5"/>
      <c r="K14" s="5"/>
      <c r="L14" s="5"/>
      <c r="M14" s="5"/>
      <c r="N14" s="29" t="str">
        <f>IF(OR(B14="",M14&lt;&gt;"Yes"),"",IF(O14&lt;&gt;"",O14+IF(L14="Low",3,IF(L14="Medium",7,21)),G14+IF(L14="Low",2,IF(L14="Medium",5,14))))</f>
        <v/>
      </c>
      <c r="O14" s="29"/>
      <c r="P14" s="5"/>
      <c r="Q14" s="5"/>
      <c r="R14" s="5"/>
      <c r="V14" s="42" t="str">
        <f t="shared" si="1"/>
        <v/>
      </c>
    </row>
    <row r="15" spans="1:16383">
      <c r="A15" s="7" t="str">
        <f t="shared" si="0"/>
        <v/>
      </c>
      <c r="B15" s="5"/>
      <c r="C15" s="5"/>
      <c r="D15" s="5"/>
      <c r="E15" s="5"/>
      <c r="F15" s="5"/>
      <c r="G15" s="29"/>
      <c r="H15" s="5"/>
      <c r="I15" s="5"/>
      <c r="J15" s="5"/>
      <c r="K15" s="5"/>
      <c r="L15" s="5"/>
      <c r="M15" s="5"/>
      <c r="N15" s="29" t="str">
        <f>IF(OR(B15="",M15&lt;&gt;"Yes"),"",IF(O15&lt;&gt;"",O15+IF(L15="Low",3,IF(L15="Medium",7,21)),G15+IF(L15="Low",2,IF(L15="Medium",5,14))))</f>
        <v/>
      </c>
      <c r="O15" s="29"/>
      <c r="P15" s="5"/>
      <c r="Q15" s="5"/>
      <c r="R15" s="5"/>
      <c r="V15" s="42" t="str">
        <f t="shared" si="1"/>
        <v/>
      </c>
    </row>
    <row r="16" spans="1:16383">
      <c r="A16" s="7" t="str">
        <f t="shared" si="0"/>
        <v/>
      </c>
      <c r="B16" s="5"/>
      <c r="C16" s="5"/>
      <c r="D16" s="5"/>
      <c r="E16" s="5"/>
      <c r="F16" s="5"/>
      <c r="G16" s="29"/>
      <c r="H16" s="5"/>
      <c r="I16" s="5"/>
      <c r="J16" s="5"/>
      <c r="K16" s="5"/>
      <c r="L16" s="5"/>
      <c r="M16" s="5"/>
      <c r="N16" s="29" t="str">
        <f>IF(OR(B16="",M16&lt;&gt;"Yes"),"",IF(O16&lt;&gt;"",O16+IF(L16="Low",3,IF(L16="Medium",7,21)),G16+IF(L16="Low",2,IF(L16="Medium",5,14))))</f>
        <v/>
      </c>
      <c r="O16" s="29"/>
      <c r="P16" s="5"/>
      <c r="Q16" s="5"/>
      <c r="R16" s="5"/>
      <c r="V16" s="42" t="str">
        <f t="shared" si="1"/>
        <v/>
      </c>
    </row>
    <row r="17" spans="1:22">
      <c r="A17" s="7" t="str">
        <f t="shared" si="0"/>
        <v/>
      </c>
      <c r="B17" s="5"/>
      <c r="C17" s="5"/>
      <c r="D17" s="5"/>
      <c r="E17" s="5"/>
      <c r="F17" s="5"/>
      <c r="G17" s="29"/>
      <c r="H17" s="5"/>
      <c r="I17" s="5"/>
      <c r="J17" s="5"/>
      <c r="K17" s="5"/>
      <c r="L17" s="5"/>
      <c r="M17" s="5"/>
      <c r="N17" s="29" t="str">
        <f>IF(OR(B17="",M17&lt;&gt;"Yes"),"",IF(O17&lt;&gt;"",O17+IF(L17="Low",3,IF(L17="Medium",7,21)),G17+IF(L17="Low",2,IF(L17="Medium",5,14))))</f>
        <v/>
      </c>
      <c r="O17" s="29"/>
      <c r="P17" s="5"/>
      <c r="Q17" s="5"/>
      <c r="R17" s="5"/>
      <c r="V17" s="42" t="str">
        <f t="shared" si="1"/>
        <v/>
      </c>
    </row>
    <row r="18" spans="1:22">
      <c r="A18" s="7" t="str">
        <f t="shared" si="0"/>
        <v/>
      </c>
      <c r="B18" s="5"/>
      <c r="C18" s="5"/>
      <c r="D18" s="5"/>
      <c r="E18" s="5"/>
      <c r="F18" s="5"/>
      <c r="G18" s="29"/>
      <c r="H18" s="5"/>
      <c r="I18" s="5"/>
      <c r="J18" s="5"/>
      <c r="K18" s="5"/>
      <c r="L18" s="5"/>
      <c r="M18" s="5"/>
      <c r="N18" s="29" t="str">
        <f>IF(OR(B18="",M18&lt;&gt;"Yes"),"",IF(O18&lt;&gt;"",O18+IF(L18="Low",3,IF(L18="Medium",7,21)),G18+IF(L18="Low",2,IF(L18="Medium",5,14))))</f>
        <v/>
      </c>
      <c r="O18" s="29"/>
      <c r="P18" s="5"/>
      <c r="Q18" s="5"/>
      <c r="R18" s="5"/>
      <c r="V18" s="42" t="str">
        <f t="shared" si="1"/>
        <v/>
      </c>
    </row>
    <row r="19" spans="1:22">
      <c r="A19" s="7" t="str">
        <f t="shared" si="0"/>
        <v/>
      </c>
      <c r="B19" s="5"/>
      <c r="C19" s="5"/>
      <c r="D19" s="5"/>
      <c r="E19" s="5"/>
      <c r="F19" s="5"/>
      <c r="G19" s="29"/>
      <c r="H19" s="5"/>
      <c r="I19" s="5"/>
      <c r="J19" s="5"/>
      <c r="K19" s="5"/>
      <c r="L19" s="5"/>
      <c r="M19" s="5"/>
      <c r="N19" s="29" t="str">
        <f>IF(OR(B19="",M19&lt;&gt;"Yes"),"",IF(O19&lt;&gt;"",O19+IF(L19="Low",3,IF(L19="Medium",7,21)),G19+IF(L19="Low",2,IF(L19="Medium",5,14))))</f>
        <v/>
      </c>
      <c r="O19" s="29"/>
      <c r="P19" s="5"/>
      <c r="Q19" s="5"/>
      <c r="R19" s="5"/>
      <c r="V19" s="42" t="str">
        <f t="shared" si="1"/>
        <v/>
      </c>
    </row>
    <row r="20" spans="1:22">
      <c r="A20" s="7" t="str">
        <f t="shared" si="0"/>
        <v/>
      </c>
      <c r="B20" s="5"/>
      <c r="C20" s="5"/>
      <c r="D20" s="5"/>
      <c r="E20" s="5"/>
      <c r="F20" s="5"/>
      <c r="G20" s="29"/>
      <c r="H20" s="5"/>
      <c r="I20" s="5"/>
      <c r="J20" s="5"/>
      <c r="K20" s="5"/>
      <c r="L20" s="5"/>
      <c r="M20" s="5"/>
      <c r="N20" s="29" t="str">
        <f>IF(OR(B20="",M20&lt;&gt;"Yes"),"",IF(O20&lt;&gt;"",O20+IF(L20="Low",3,IF(L20="Medium",7,21)),G20+IF(L20="Low",2,IF(L20="Medium",5,14))))</f>
        <v/>
      </c>
      <c r="O20" s="29"/>
      <c r="P20" s="5"/>
      <c r="Q20" s="5"/>
      <c r="R20" s="5"/>
      <c r="V20" s="42" t="str">
        <f t="shared" si="1"/>
        <v/>
      </c>
    </row>
    <row r="21" spans="1:22">
      <c r="A21" s="7" t="str">
        <f t="shared" si="0"/>
        <v/>
      </c>
      <c r="B21" s="5"/>
      <c r="C21" s="5"/>
      <c r="D21" s="5"/>
      <c r="E21" s="5"/>
      <c r="F21" s="5"/>
      <c r="G21" s="29"/>
      <c r="H21" s="5"/>
      <c r="I21" s="5"/>
      <c r="J21" s="5"/>
      <c r="K21" s="5"/>
      <c r="L21" s="5"/>
      <c r="M21" s="5"/>
      <c r="N21" s="29" t="str">
        <f>IF(OR(B21="",M21&lt;&gt;"Yes"),"",IF(O21&lt;&gt;"",O21+IF(L21="Low",3,IF(L21="Medium",7,21)),G21+IF(L21="Low",2,IF(L21="Medium",5,14))))</f>
        <v/>
      </c>
      <c r="O21" s="29"/>
      <c r="P21" s="5"/>
      <c r="Q21" s="5"/>
      <c r="R21" s="5"/>
      <c r="V21" s="42" t="str">
        <f t="shared" si="1"/>
        <v/>
      </c>
    </row>
    <row r="22" spans="1:22">
      <c r="A22" s="7" t="str">
        <f t="shared" si="0"/>
        <v/>
      </c>
      <c r="B22" s="5"/>
      <c r="C22" s="5"/>
      <c r="D22" s="5"/>
      <c r="E22" s="5"/>
      <c r="F22" s="5"/>
      <c r="G22" s="29"/>
      <c r="H22" s="5"/>
      <c r="I22" s="5"/>
      <c r="J22" s="5"/>
      <c r="K22" s="5"/>
      <c r="L22" s="5"/>
      <c r="M22" s="5"/>
      <c r="N22" s="29" t="str">
        <f>IF(OR(B22="",M22&lt;&gt;"Yes"),"",IF(O22&lt;&gt;"",O22+IF(L22="Low",3,IF(L22="Medium",7,21)),G22+IF(L22="Low",2,IF(L22="Medium",5,14))))</f>
        <v/>
      </c>
      <c r="O22" s="29"/>
      <c r="P22" s="5"/>
      <c r="Q22" s="5"/>
      <c r="R22" s="5"/>
      <c r="V22" s="42" t="str">
        <f t="shared" si="1"/>
        <v/>
      </c>
    </row>
    <row r="23" spans="1:22">
      <c r="A23" s="7" t="str">
        <f t="shared" si="0"/>
        <v/>
      </c>
      <c r="B23" s="5"/>
      <c r="C23" s="5"/>
      <c r="D23" s="5"/>
      <c r="E23" s="5"/>
      <c r="F23" s="5"/>
      <c r="G23" s="29"/>
      <c r="H23" s="5"/>
      <c r="I23" s="5"/>
      <c r="J23" s="5"/>
      <c r="K23" s="5"/>
      <c r="L23" s="5"/>
      <c r="M23" s="5"/>
      <c r="N23" s="29" t="str">
        <f>IF(OR(B23="",M23&lt;&gt;"Yes"),"",IF(O23&lt;&gt;"",O23+IF(L23="Low",3,IF(L23="Medium",7,21)),G23+IF(L23="Low",2,IF(L23="Medium",5,14))))</f>
        <v/>
      </c>
      <c r="O23" s="29"/>
      <c r="P23" s="5"/>
      <c r="Q23" s="5"/>
      <c r="R23" s="5"/>
      <c r="V23" s="42" t="str">
        <f t="shared" si="1"/>
        <v/>
      </c>
    </row>
    <row r="24" spans="1:22">
      <c r="A24" s="7" t="str">
        <f t="shared" si="0"/>
        <v/>
      </c>
      <c r="B24" s="5"/>
      <c r="C24" s="5"/>
      <c r="D24" s="5"/>
      <c r="E24" s="5"/>
      <c r="F24" s="5"/>
      <c r="G24" s="29"/>
      <c r="H24" s="5"/>
      <c r="I24" s="5"/>
      <c r="J24" s="5"/>
      <c r="K24" s="5"/>
      <c r="L24" s="5"/>
      <c r="M24" s="5"/>
      <c r="N24" s="29" t="str">
        <f>IF(OR(B24="",M24&lt;&gt;"Yes"),"",IF(O24&lt;&gt;"",O24+IF(L24="Low",3,IF(L24="Medium",7,21)),G24+IF(L24="Low",2,IF(L24="Medium",5,14))))</f>
        <v/>
      </c>
      <c r="O24" s="29"/>
      <c r="P24" s="5"/>
      <c r="Q24" s="5"/>
      <c r="R24" s="5"/>
      <c r="V24" s="42" t="str">
        <f t="shared" si="1"/>
        <v/>
      </c>
    </row>
    <row r="25" spans="1:22">
      <c r="A25" s="7" t="str">
        <f t="shared" si="0"/>
        <v/>
      </c>
      <c r="B25" s="5"/>
      <c r="C25" s="5"/>
      <c r="D25" s="5"/>
      <c r="E25" s="5"/>
      <c r="F25" s="5"/>
      <c r="G25" s="29"/>
      <c r="H25" s="5"/>
      <c r="I25" s="5"/>
      <c r="J25" s="5"/>
      <c r="K25" s="5"/>
      <c r="L25" s="5"/>
      <c r="M25" s="5"/>
      <c r="N25" s="29" t="str">
        <f>IF(OR(B25="",M25&lt;&gt;"Yes"),"",IF(O25&lt;&gt;"",O25+IF(L25="Low",3,IF(L25="Medium",7,21)),G25+IF(L25="Low",2,IF(L25="Medium",5,14))))</f>
        <v/>
      </c>
      <c r="O25" s="29"/>
      <c r="P25" s="5"/>
      <c r="Q25" s="5"/>
      <c r="R25" s="5"/>
      <c r="V25" s="42" t="str">
        <f t="shared" si="1"/>
        <v/>
      </c>
    </row>
    <row r="26" spans="1:22">
      <c r="A26" s="7" t="str">
        <f t="shared" si="0"/>
        <v/>
      </c>
      <c r="B26" s="5"/>
      <c r="C26" s="5"/>
      <c r="D26" s="5"/>
      <c r="E26" s="5"/>
      <c r="F26" s="5"/>
      <c r="G26" s="29"/>
      <c r="H26" s="5"/>
      <c r="I26" s="5"/>
      <c r="J26" s="5"/>
      <c r="K26" s="5"/>
      <c r="L26" s="5"/>
      <c r="M26" s="5"/>
      <c r="N26" s="29" t="str">
        <f>IF(OR(B26="",M26&lt;&gt;"Yes"),"",IF(O26&lt;&gt;"",O26+IF(L26="Low",3,IF(L26="Medium",7,21)),G26+IF(L26="Low",2,IF(L26="Medium",5,14))))</f>
        <v/>
      </c>
      <c r="O26" s="29"/>
      <c r="P26" s="5"/>
      <c r="Q26" s="5"/>
      <c r="R26" s="5"/>
      <c r="V26" s="42" t="str">
        <f t="shared" si="1"/>
        <v/>
      </c>
    </row>
    <row r="27" spans="1:22">
      <c r="A27" s="7" t="str">
        <f t="shared" si="0"/>
        <v/>
      </c>
      <c r="B27" s="5"/>
      <c r="C27" s="5"/>
      <c r="D27" s="5"/>
      <c r="E27" s="5"/>
      <c r="F27" s="5"/>
      <c r="G27" s="29"/>
      <c r="H27" s="5"/>
      <c r="I27" s="5"/>
      <c r="J27" s="5"/>
      <c r="K27" s="5"/>
      <c r="L27" s="5"/>
      <c r="M27" s="5"/>
      <c r="N27" s="29" t="str">
        <f>IF(OR(B27="",M27&lt;&gt;"Yes"),"",IF(O27&lt;&gt;"",O27+IF(L27="Low",3,IF(L27="Medium",7,21)),G27+IF(L27="Low",2,IF(L27="Medium",5,14))))</f>
        <v/>
      </c>
      <c r="O27" s="29"/>
      <c r="P27" s="5"/>
      <c r="Q27" s="5"/>
      <c r="R27" s="5"/>
      <c r="V27" s="42" t="str">
        <f t="shared" si="1"/>
        <v/>
      </c>
    </row>
    <row r="28" spans="1:22">
      <c r="A28" s="7" t="str">
        <f t="shared" si="0"/>
        <v/>
      </c>
      <c r="B28" s="5"/>
      <c r="C28" s="5"/>
      <c r="D28" s="5"/>
      <c r="E28" s="5"/>
      <c r="F28" s="5"/>
      <c r="G28" s="29"/>
      <c r="H28" s="5"/>
      <c r="I28" s="5"/>
      <c r="J28" s="5"/>
      <c r="K28" s="5"/>
      <c r="L28" s="5"/>
      <c r="M28" s="5"/>
      <c r="N28" s="29" t="str">
        <f>IF(OR(B28="",M28&lt;&gt;"Yes"),"",IF(O28&lt;&gt;"",O28+IF(L28="Low",3,IF(L28="Medium",7,21)),G28+IF(L28="Low",2,IF(L28="Medium",5,14))))</f>
        <v/>
      </c>
      <c r="O28" s="29"/>
      <c r="P28" s="5"/>
      <c r="Q28" s="5"/>
      <c r="R28" s="5"/>
      <c r="V28" s="42" t="str">
        <f t="shared" si="1"/>
        <v/>
      </c>
    </row>
    <row r="29" spans="1:22">
      <c r="A29" s="7" t="str">
        <f t="shared" si="0"/>
        <v/>
      </c>
      <c r="B29" s="5"/>
      <c r="C29" s="5"/>
      <c r="D29" s="5"/>
      <c r="E29" s="5"/>
      <c r="F29" s="5"/>
      <c r="G29" s="29"/>
      <c r="H29" s="5"/>
      <c r="I29" s="5"/>
      <c r="J29" s="5"/>
      <c r="K29" s="5"/>
      <c r="L29" s="5"/>
      <c r="M29" s="5"/>
      <c r="N29" s="29" t="str">
        <f>IF(OR(B29="",M29&lt;&gt;"Yes"),"",IF(O29&lt;&gt;"",O29+IF(L29="Low",3,IF(L29="Medium",7,21)),G29+IF(L29="Low",2,IF(L29="Medium",5,14))))</f>
        <v/>
      </c>
      <c r="O29" s="29"/>
      <c r="P29" s="5"/>
      <c r="Q29" s="5"/>
      <c r="R29" s="5"/>
      <c r="V29" s="42" t="str">
        <f t="shared" si="1"/>
        <v/>
      </c>
    </row>
    <row r="30" spans="1:22">
      <c r="A30" s="7" t="str">
        <f t="shared" si="0"/>
        <v/>
      </c>
      <c r="B30" s="5"/>
      <c r="C30" s="5"/>
      <c r="D30" s="5"/>
      <c r="E30" s="5"/>
      <c r="F30" s="5"/>
      <c r="G30" s="29"/>
      <c r="H30" s="5"/>
      <c r="I30" s="5"/>
      <c r="J30" s="5"/>
      <c r="K30" s="5"/>
      <c r="L30" s="5"/>
      <c r="M30" s="5"/>
      <c r="N30" s="29" t="str">
        <f>IF(OR(B30="",M30&lt;&gt;"Yes"),"",IF(O30&lt;&gt;"",O30+IF(L30="Low",3,IF(L30="Medium",7,21)),G30+IF(L30="Low",2,IF(L30="Medium",5,14))))</f>
        <v/>
      </c>
      <c r="O30" s="29"/>
      <c r="P30" s="5"/>
      <c r="Q30" s="5"/>
      <c r="R30" s="5"/>
      <c r="V30" s="42" t="str">
        <f t="shared" si="1"/>
        <v/>
      </c>
    </row>
    <row r="31" spans="1:22">
      <c r="A31" s="7" t="str">
        <f t="shared" si="0"/>
        <v/>
      </c>
      <c r="B31" s="5"/>
      <c r="C31" s="5"/>
      <c r="D31" s="5"/>
      <c r="E31" s="5"/>
      <c r="F31" s="5"/>
      <c r="G31" s="29"/>
      <c r="H31" s="5"/>
      <c r="I31" s="5"/>
      <c r="J31" s="5"/>
      <c r="K31" s="5"/>
      <c r="L31" s="5"/>
      <c r="M31" s="5"/>
      <c r="N31" s="29" t="str">
        <f>IF(OR(B31="",M31&lt;&gt;"Yes"),"",IF(O31&lt;&gt;"",O31+IF(L31="Low",3,IF(L31="Medium",7,21)),G31+IF(L31="Low",2,IF(L31="Medium",5,14))))</f>
        <v/>
      </c>
      <c r="O31" s="29"/>
      <c r="P31" s="5"/>
      <c r="Q31" s="5"/>
      <c r="R31" s="5"/>
      <c r="V31" s="42" t="str">
        <f t="shared" si="1"/>
        <v/>
      </c>
    </row>
    <row r="32" spans="1:22">
      <c r="A32" s="7" t="str">
        <f t="shared" si="0"/>
        <v/>
      </c>
      <c r="B32" s="5"/>
      <c r="C32" s="5"/>
      <c r="D32" s="5"/>
      <c r="E32" s="5"/>
      <c r="F32" s="5"/>
      <c r="G32" s="29"/>
      <c r="H32" s="5"/>
      <c r="I32" s="5"/>
      <c r="J32" s="5"/>
      <c r="K32" s="5"/>
      <c r="L32" s="5"/>
      <c r="M32" s="5"/>
      <c r="N32" s="29" t="str">
        <f>IF(OR(B32="",M32&lt;&gt;"Yes"),"",IF(O32&lt;&gt;"",O32+IF(L32="Low",3,IF(L32="Medium",7,21)),G32+IF(L32="Low",2,IF(L32="Medium",5,14))))</f>
        <v/>
      </c>
      <c r="O32" s="29"/>
      <c r="P32" s="5"/>
      <c r="Q32" s="5"/>
      <c r="R32" s="5"/>
      <c r="V32" s="42" t="str">
        <f t="shared" si="1"/>
        <v/>
      </c>
    </row>
    <row r="33" spans="1:22">
      <c r="A33" s="7" t="str">
        <f t="shared" si="0"/>
        <v/>
      </c>
      <c r="B33" s="5"/>
      <c r="C33" s="5"/>
      <c r="D33" s="5"/>
      <c r="E33" s="5"/>
      <c r="F33" s="5"/>
      <c r="G33" s="29"/>
      <c r="H33" s="5"/>
      <c r="I33" s="5"/>
      <c r="J33" s="5"/>
      <c r="K33" s="5"/>
      <c r="L33" s="5"/>
      <c r="M33" s="5"/>
      <c r="N33" s="29" t="str">
        <f>IF(OR(B33="",M33&lt;&gt;"Yes"),"",IF(O33&lt;&gt;"",O33+IF(L33="Low",3,IF(L33="Medium",7,21)),G33+IF(L33="Low",2,IF(L33="Medium",5,14))))</f>
        <v/>
      </c>
      <c r="O33" s="29"/>
      <c r="P33" s="5"/>
      <c r="Q33" s="5"/>
      <c r="R33" s="5"/>
      <c r="V33" s="42" t="str">
        <f t="shared" ref="V33:V64" si="3">IF(OR(J33="",U33&lt;&gt;"Yes"),"",IF(W33&lt;&gt;"",W33+IF(T33="Low",3,IF(T33="Medium",7,21)),O33+IF(T33="Low",2,IF(T33="Medium",5,14))))</f>
        <v/>
      </c>
    </row>
    <row r="34" spans="1:22">
      <c r="A34" s="7" t="str">
        <f t="shared" si="0"/>
        <v/>
      </c>
      <c r="B34" s="5"/>
      <c r="C34" s="5"/>
      <c r="D34" s="5"/>
      <c r="E34" s="5"/>
      <c r="F34" s="5"/>
      <c r="G34" s="29"/>
      <c r="H34" s="5"/>
      <c r="I34" s="5"/>
      <c r="J34" s="5"/>
      <c r="K34" s="5"/>
      <c r="L34" s="5"/>
      <c r="M34" s="5"/>
      <c r="N34" s="29" t="str">
        <f>IF(OR(B34="",M34&lt;&gt;"Yes"),"",IF(O34&lt;&gt;"",O34+IF(L34="Low",3,IF(L34="Medium",7,21)),G34+IF(L34="Low",2,IF(L34="Medium",5,14))))</f>
        <v/>
      </c>
      <c r="O34" s="29"/>
      <c r="P34" s="5"/>
      <c r="Q34" s="5"/>
      <c r="R34" s="5"/>
      <c r="V34" s="42" t="str">
        <f t="shared" si="3"/>
        <v/>
      </c>
    </row>
    <row r="35" spans="1:22">
      <c r="A35" s="7" t="str">
        <f t="shared" si="0"/>
        <v/>
      </c>
      <c r="B35" s="5"/>
      <c r="C35" s="5"/>
      <c r="D35" s="5"/>
      <c r="E35" s="5"/>
      <c r="F35" s="5"/>
      <c r="G35" s="29"/>
      <c r="H35" s="5"/>
      <c r="I35" s="5"/>
      <c r="J35" s="5"/>
      <c r="K35" s="5"/>
      <c r="L35" s="5"/>
      <c r="M35" s="5"/>
      <c r="N35" s="29" t="str">
        <f>IF(OR(B35="",M35&lt;&gt;"Yes"),"",IF(O35&lt;&gt;"",O35+IF(L35="Low",3,IF(L35="Medium",7,21)),G35+IF(L35="Low",2,IF(L35="Medium",5,14))))</f>
        <v/>
      </c>
      <c r="O35" s="29"/>
      <c r="P35" s="5"/>
      <c r="Q35" s="5"/>
      <c r="R35" s="5"/>
      <c r="V35" s="42" t="str">
        <f t="shared" si="3"/>
        <v/>
      </c>
    </row>
    <row r="36" spans="1:22">
      <c r="A36" s="7" t="str">
        <f t="shared" si="0"/>
        <v/>
      </c>
      <c r="B36" s="5"/>
      <c r="C36" s="5"/>
      <c r="D36" s="5"/>
      <c r="E36" s="5"/>
      <c r="F36" s="5"/>
      <c r="G36" s="29"/>
      <c r="H36" s="5"/>
      <c r="I36" s="5"/>
      <c r="J36" s="5"/>
      <c r="K36" s="5"/>
      <c r="L36" s="5"/>
      <c r="M36" s="5"/>
      <c r="N36" s="29" t="str">
        <f>IF(OR(B36="",M36&lt;&gt;"Yes"),"",IF(O36&lt;&gt;"",O36+IF(L36="Low",3,IF(L36="Medium",7,21)),G36+IF(L36="Low",2,IF(L36="Medium",5,14))))</f>
        <v/>
      </c>
      <c r="O36" s="29"/>
      <c r="P36" s="5"/>
      <c r="Q36" s="5"/>
      <c r="R36" s="5"/>
      <c r="V36" s="42" t="str">
        <f t="shared" si="3"/>
        <v/>
      </c>
    </row>
    <row r="37" spans="1:22">
      <c r="A37" s="7" t="str">
        <f t="shared" si="0"/>
        <v/>
      </c>
      <c r="B37" s="5"/>
      <c r="C37" s="5"/>
      <c r="D37" s="5"/>
      <c r="E37" s="5"/>
      <c r="F37" s="5"/>
      <c r="G37" s="29"/>
      <c r="H37" s="5"/>
      <c r="I37" s="5"/>
      <c r="J37" s="5"/>
      <c r="K37" s="5"/>
      <c r="L37" s="5"/>
      <c r="M37" s="5"/>
      <c r="N37" s="29" t="str">
        <f>IF(OR(B37="",M37&lt;&gt;"Yes"),"",IF(O37&lt;&gt;"",O37+IF(L37="Low",3,IF(L37="Medium",7,21)),G37+IF(L37="Low",2,IF(L37="Medium",5,14))))</f>
        <v/>
      </c>
      <c r="O37" s="29"/>
      <c r="P37" s="5"/>
      <c r="Q37" s="5"/>
      <c r="R37" s="5"/>
      <c r="V37" s="42" t="str">
        <f t="shared" si="3"/>
        <v/>
      </c>
    </row>
    <row r="38" spans="1:22">
      <c r="A38" s="7" t="str">
        <f t="shared" si="0"/>
        <v/>
      </c>
      <c r="B38" s="5"/>
      <c r="C38" s="5"/>
      <c r="D38" s="5"/>
      <c r="E38" s="5"/>
      <c r="F38" s="5"/>
      <c r="G38" s="29"/>
      <c r="H38" s="5"/>
      <c r="I38" s="5"/>
      <c r="J38" s="5"/>
      <c r="K38" s="5"/>
      <c r="L38" s="5"/>
      <c r="M38" s="5"/>
      <c r="N38" s="29" t="str">
        <f>IF(OR(B38="",M38&lt;&gt;"Yes"),"",IF(O38&lt;&gt;"",O38+IF(L38="Low",3,IF(L38="Medium",7,21)),G38+IF(L38="Low",2,IF(L38="Medium",5,14))))</f>
        <v/>
      </c>
      <c r="O38" s="29"/>
      <c r="P38" s="5"/>
      <c r="Q38" s="5"/>
      <c r="R38" s="5"/>
      <c r="V38" s="42" t="str">
        <f t="shared" si="3"/>
        <v/>
      </c>
    </row>
    <row r="39" spans="1:22">
      <c r="A39" s="7" t="str">
        <f t="shared" si="0"/>
        <v/>
      </c>
      <c r="B39" s="5"/>
      <c r="C39" s="5"/>
      <c r="D39" s="5"/>
      <c r="E39" s="5"/>
      <c r="F39" s="5"/>
      <c r="G39" s="29"/>
      <c r="H39" s="5"/>
      <c r="I39" s="5"/>
      <c r="J39" s="5"/>
      <c r="K39" s="5"/>
      <c r="L39" s="5"/>
      <c r="M39" s="5"/>
      <c r="N39" s="29" t="str">
        <f>IF(OR(B39="",M39&lt;&gt;"Yes"),"",IF(O39&lt;&gt;"",O39+IF(L39="Low",3,IF(L39="Medium",7,21)),G39+IF(L39="Low",2,IF(L39="Medium",5,14))))</f>
        <v/>
      </c>
      <c r="O39" s="29"/>
      <c r="P39" s="5"/>
      <c r="Q39" s="5"/>
      <c r="R39" s="5"/>
      <c r="V39" s="42" t="str">
        <f t="shared" si="3"/>
        <v/>
      </c>
    </row>
    <row r="40" spans="1:22">
      <c r="A40" s="7" t="str">
        <f t="shared" si="0"/>
        <v/>
      </c>
      <c r="B40" s="5"/>
      <c r="C40" s="5"/>
      <c r="D40" s="5"/>
      <c r="E40" s="5"/>
      <c r="F40" s="5"/>
      <c r="G40" s="29"/>
      <c r="H40" s="5"/>
      <c r="I40" s="5"/>
      <c r="J40" s="5"/>
      <c r="K40" s="5"/>
      <c r="L40" s="5"/>
      <c r="M40" s="5"/>
      <c r="N40" s="29" t="str">
        <f>IF(OR(B40="",M40&lt;&gt;"Yes"),"",IF(O40&lt;&gt;"",O40+IF(L40="Low",3,IF(L40="Medium",7,21)),G40+IF(L40="Low",2,IF(L40="Medium",5,14))))</f>
        <v/>
      </c>
      <c r="O40" s="29"/>
      <c r="P40" s="5"/>
      <c r="Q40" s="5"/>
      <c r="R40" s="5"/>
      <c r="V40" s="42" t="str">
        <f t="shared" si="3"/>
        <v/>
      </c>
    </row>
    <row r="41" spans="1:22">
      <c r="A41" s="7" t="str">
        <f t="shared" si="0"/>
        <v/>
      </c>
      <c r="B41" s="5"/>
      <c r="C41" s="5"/>
      <c r="D41" s="5"/>
      <c r="E41" s="5"/>
      <c r="F41" s="5"/>
      <c r="G41" s="29"/>
      <c r="H41" s="5"/>
      <c r="I41" s="5"/>
      <c r="J41" s="5"/>
      <c r="K41" s="5"/>
      <c r="L41" s="5"/>
      <c r="M41" s="5"/>
      <c r="N41" s="29" t="str">
        <f>IF(OR(B41="",M41&lt;&gt;"Yes"),"",IF(O41&lt;&gt;"",O41+IF(L41="Low",3,IF(L41="Medium",7,21)),G41+IF(L41="Low",2,IF(L41="Medium",5,14))))</f>
        <v/>
      </c>
      <c r="O41" s="29"/>
      <c r="P41" s="5"/>
      <c r="Q41" s="5"/>
      <c r="R41" s="5"/>
      <c r="V41" s="42" t="str">
        <f t="shared" si="3"/>
        <v/>
      </c>
    </row>
    <row r="42" spans="1:22">
      <c r="A42" s="7" t="str">
        <f t="shared" si="0"/>
        <v/>
      </c>
      <c r="B42" s="5"/>
      <c r="C42" s="5"/>
      <c r="D42" s="5"/>
      <c r="E42" s="5"/>
      <c r="F42" s="5"/>
      <c r="G42" s="29"/>
      <c r="H42" s="5"/>
      <c r="I42" s="5"/>
      <c r="J42" s="5"/>
      <c r="K42" s="5"/>
      <c r="L42" s="5"/>
      <c r="M42" s="5"/>
      <c r="N42" s="29" t="str">
        <f>IF(OR(B42="",M42&lt;&gt;"Yes"),"",IF(O42&lt;&gt;"",O42+IF(L42="Low",3,IF(L42="Medium",7,21)),G42+IF(L42="Low",2,IF(L42="Medium",5,14))))</f>
        <v/>
      </c>
      <c r="O42" s="29"/>
      <c r="P42" s="5"/>
      <c r="Q42" s="5"/>
      <c r="R42" s="5"/>
      <c r="V42" s="42" t="str">
        <f t="shared" si="3"/>
        <v/>
      </c>
    </row>
    <row r="43" spans="1:22">
      <c r="A43" s="7" t="str">
        <f t="shared" si="0"/>
        <v/>
      </c>
      <c r="B43" s="5"/>
      <c r="C43" s="5"/>
      <c r="D43" s="5"/>
      <c r="E43" s="5"/>
      <c r="F43" s="5"/>
      <c r="G43" s="29"/>
      <c r="H43" s="5"/>
      <c r="I43" s="5"/>
      <c r="J43" s="5"/>
      <c r="K43" s="5"/>
      <c r="L43" s="5"/>
      <c r="M43" s="5"/>
      <c r="N43" s="29" t="str">
        <f>IF(OR(B43="",M43&lt;&gt;"Yes"),"",IF(O43&lt;&gt;"",O43+IF(L43="Low",3,IF(L43="Medium",7,21)),G43+IF(L43="Low",2,IF(L43="Medium",5,14))))</f>
        <v/>
      </c>
      <c r="O43" s="29"/>
      <c r="P43" s="5"/>
      <c r="Q43" s="5"/>
      <c r="R43" s="5"/>
      <c r="V43" s="42" t="str">
        <f t="shared" si="3"/>
        <v/>
      </c>
    </row>
    <row r="44" spans="1:22">
      <c r="A44" s="7" t="str">
        <f t="shared" si="0"/>
        <v/>
      </c>
      <c r="B44" s="5"/>
      <c r="C44" s="5"/>
      <c r="D44" s="5"/>
      <c r="E44" s="5"/>
      <c r="F44" s="5"/>
      <c r="G44" s="29"/>
      <c r="H44" s="5"/>
      <c r="I44" s="5"/>
      <c r="J44" s="5"/>
      <c r="K44" s="5"/>
      <c r="L44" s="5"/>
      <c r="M44" s="5"/>
      <c r="N44" s="29" t="str">
        <f>IF(OR(B44="",M44&lt;&gt;"Yes"),"",IF(O44&lt;&gt;"",O44+IF(L44="Low",3,IF(L44="Medium",7,21)),G44+IF(L44="Low",2,IF(L44="Medium",5,14))))</f>
        <v/>
      </c>
      <c r="O44" s="29"/>
      <c r="P44" s="5"/>
      <c r="Q44" s="5"/>
      <c r="R44" s="5"/>
      <c r="V44" s="42" t="str">
        <f t="shared" si="3"/>
        <v/>
      </c>
    </row>
    <row r="45" spans="1:22">
      <c r="A45" s="7" t="str">
        <f t="shared" si="0"/>
        <v/>
      </c>
      <c r="B45" s="5"/>
      <c r="C45" s="5"/>
      <c r="D45" s="5"/>
      <c r="E45" s="5"/>
      <c r="F45" s="5"/>
      <c r="G45" s="29"/>
      <c r="H45" s="5"/>
      <c r="I45" s="5"/>
      <c r="J45" s="5"/>
      <c r="K45" s="5"/>
      <c r="L45" s="5"/>
      <c r="M45" s="5"/>
      <c r="N45" s="29" t="str">
        <f>IF(OR(B45="",M45&lt;&gt;"Yes"),"",IF(O45&lt;&gt;"",O45+IF(L45="Low",3,IF(L45="Medium",7,21)),G45+IF(L45="Low",2,IF(L45="Medium",5,14))))</f>
        <v/>
      </c>
      <c r="O45" s="29"/>
      <c r="P45" s="5"/>
      <c r="Q45" s="5"/>
      <c r="R45" s="5"/>
      <c r="V45" s="42" t="str">
        <f t="shared" si="3"/>
        <v/>
      </c>
    </row>
    <row r="46" spans="1:22">
      <c r="A46" s="7" t="str">
        <f t="shared" si="0"/>
        <v/>
      </c>
      <c r="B46" s="5"/>
      <c r="C46" s="5"/>
      <c r="D46" s="5"/>
      <c r="E46" s="5"/>
      <c r="F46" s="5"/>
      <c r="G46" s="29"/>
      <c r="H46" s="5"/>
      <c r="I46" s="5"/>
      <c r="J46" s="5"/>
      <c r="K46" s="5"/>
      <c r="L46" s="5"/>
      <c r="M46" s="5"/>
      <c r="N46" s="29" t="str">
        <f>IF(OR(B46="",M46&lt;&gt;"Yes"),"",IF(O46&lt;&gt;"",O46+IF(L46="Low",3,IF(L46="Medium",7,21)),G46+IF(L46="Low",2,IF(L46="Medium",5,14))))</f>
        <v/>
      </c>
      <c r="O46" s="29"/>
      <c r="P46" s="5"/>
      <c r="Q46" s="5"/>
      <c r="R46" s="5"/>
      <c r="V46" s="42" t="str">
        <f t="shared" si="3"/>
        <v/>
      </c>
    </row>
    <row r="47" spans="1:22">
      <c r="A47" s="7" t="str">
        <f t="shared" si="0"/>
        <v/>
      </c>
      <c r="B47" s="5"/>
      <c r="C47" s="5"/>
      <c r="D47" s="5"/>
      <c r="E47" s="5"/>
      <c r="F47" s="5"/>
      <c r="G47" s="29"/>
      <c r="H47" s="5"/>
      <c r="I47" s="5"/>
      <c r="J47" s="5"/>
      <c r="K47" s="5"/>
      <c r="L47" s="5"/>
      <c r="M47" s="5"/>
      <c r="N47" s="29" t="str">
        <f>IF(OR(B47="",M47&lt;&gt;"Yes"),"",IF(O47&lt;&gt;"",O47+IF(L47="Low",3,IF(L47="Medium",7,21)),G47+IF(L47="Low",2,IF(L47="Medium",5,14))))</f>
        <v/>
      </c>
      <c r="O47" s="29"/>
      <c r="P47" s="5"/>
      <c r="Q47" s="5"/>
      <c r="R47" s="5"/>
      <c r="V47" s="42" t="str">
        <f t="shared" si="3"/>
        <v/>
      </c>
    </row>
    <row r="48" spans="1:22">
      <c r="A48" s="7" t="str">
        <f t="shared" si="0"/>
        <v/>
      </c>
      <c r="B48" s="5"/>
      <c r="C48" s="5"/>
      <c r="D48" s="5"/>
      <c r="E48" s="5"/>
      <c r="F48" s="5"/>
      <c r="G48" s="29"/>
      <c r="H48" s="5"/>
      <c r="I48" s="5"/>
      <c r="J48" s="5"/>
      <c r="K48" s="5"/>
      <c r="L48" s="5"/>
      <c r="M48" s="5"/>
      <c r="N48" s="29" t="str">
        <f>IF(OR(B48="",M48&lt;&gt;"Yes"),"",IF(O48&lt;&gt;"",O48+IF(L48="Low",3,IF(L48="Medium",7,21)),G48+IF(L48="Low",2,IF(L48="Medium",5,14))))</f>
        <v/>
      </c>
      <c r="O48" s="29"/>
      <c r="P48" s="5"/>
      <c r="Q48" s="5"/>
      <c r="R48" s="5"/>
      <c r="V48" s="42" t="str">
        <f t="shared" si="3"/>
        <v/>
      </c>
    </row>
    <row r="49" spans="1:22">
      <c r="A49" s="7" t="str">
        <f t="shared" si="0"/>
        <v/>
      </c>
      <c r="B49" s="5"/>
      <c r="C49" s="5"/>
      <c r="D49" s="5"/>
      <c r="E49" s="5"/>
      <c r="F49" s="5"/>
      <c r="G49" s="29"/>
      <c r="H49" s="5"/>
      <c r="I49" s="5"/>
      <c r="J49" s="5"/>
      <c r="K49" s="5"/>
      <c r="L49" s="5"/>
      <c r="M49" s="5"/>
      <c r="N49" s="29" t="str">
        <f>IF(OR(B49="",M49&lt;&gt;"Yes"),"",IF(O49&lt;&gt;"",O49+IF(L49="Low",3,IF(L49="Medium",7,21)),G49+IF(L49="Low",2,IF(L49="Medium",5,14))))</f>
        <v/>
      </c>
      <c r="O49" s="29"/>
      <c r="P49" s="5"/>
      <c r="Q49" s="5"/>
      <c r="R49" s="5"/>
      <c r="V49" s="42" t="str">
        <f t="shared" si="3"/>
        <v/>
      </c>
    </row>
    <row r="50" spans="1:22">
      <c r="A50" s="7" t="str">
        <f t="shared" si="0"/>
        <v/>
      </c>
      <c r="B50" s="5"/>
      <c r="C50" s="5"/>
      <c r="D50" s="5"/>
      <c r="E50" s="5"/>
      <c r="F50" s="5"/>
      <c r="G50" s="29"/>
      <c r="H50" s="5"/>
      <c r="I50" s="5"/>
      <c r="J50" s="5"/>
      <c r="K50" s="5"/>
      <c r="L50" s="5"/>
      <c r="M50" s="5"/>
      <c r="N50" s="29" t="str">
        <f>IF(OR(B50="",M50&lt;&gt;"Yes"),"",IF(O50&lt;&gt;"",O50+IF(L50="Low",3,IF(L50="Medium",7,21)),G50+IF(L50="Low",2,IF(L50="Medium",5,14))))</f>
        <v/>
      </c>
      <c r="O50" s="29"/>
      <c r="P50" s="5"/>
      <c r="Q50" s="5"/>
      <c r="R50" s="5"/>
      <c r="V50" s="42" t="str">
        <f t="shared" si="3"/>
        <v/>
      </c>
    </row>
    <row r="51" spans="1:22">
      <c r="A51" s="7" t="str">
        <f t="shared" si="0"/>
        <v/>
      </c>
      <c r="B51" s="5"/>
      <c r="C51" s="5"/>
      <c r="D51" s="5"/>
      <c r="E51" s="5"/>
      <c r="F51" s="5"/>
      <c r="G51" s="29"/>
      <c r="H51" s="5"/>
      <c r="I51" s="5"/>
      <c r="J51" s="5"/>
      <c r="K51" s="5"/>
      <c r="L51" s="5"/>
      <c r="M51" s="5"/>
      <c r="N51" s="29" t="str">
        <f>IF(OR(B51="",M51&lt;&gt;"Yes"),"",IF(O51&lt;&gt;"",O51+IF(L51="Low",3,IF(L51="Medium",7,21)),G51+IF(L51="Low",2,IF(L51="Medium",5,14))))</f>
        <v/>
      </c>
      <c r="O51" s="29"/>
      <c r="P51" s="5"/>
      <c r="Q51" s="5"/>
      <c r="R51" s="5"/>
      <c r="V51" s="42" t="str">
        <f t="shared" si="3"/>
        <v/>
      </c>
    </row>
    <row r="52" spans="1:22">
      <c r="A52" s="7" t="str">
        <f t="shared" si="0"/>
        <v/>
      </c>
      <c r="B52" s="5"/>
      <c r="C52" s="5"/>
      <c r="D52" s="5"/>
      <c r="E52" s="5"/>
      <c r="F52" s="5"/>
      <c r="G52" s="29"/>
      <c r="H52" s="5"/>
      <c r="I52" s="5"/>
      <c r="J52" s="5"/>
      <c r="K52" s="5"/>
      <c r="L52" s="5"/>
      <c r="M52" s="5"/>
      <c r="N52" s="29" t="str">
        <f>IF(OR(B52="",M52&lt;&gt;"Yes"),"",IF(O52&lt;&gt;"",O52+IF(L52="Low",3,IF(L52="Medium",7,21)),G52+IF(L52="Low",2,IF(L52="Medium",5,14))))</f>
        <v/>
      </c>
      <c r="O52" s="29"/>
      <c r="P52" s="5"/>
      <c r="Q52" s="5"/>
      <c r="R52" s="5"/>
      <c r="V52" s="42" t="str">
        <f t="shared" si="3"/>
        <v/>
      </c>
    </row>
    <row r="53" spans="1:22">
      <c r="A53" s="7" t="str">
        <f t="shared" si="0"/>
        <v/>
      </c>
      <c r="B53" s="5"/>
      <c r="C53" s="5"/>
      <c r="D53" s="5"/>
      <c r="E53" s="5"/>
      <c r="F53" s="5"/>
      <c r="G53" s="29"/>
      <c r="H53" s="5"/>
      <c r="I53" s="5"/>
      <c r="J53" s="5"/>
      <c r="K53" s="5"/>
      <c r="L53" s="5"/>
      <c r="M53" s="5"/>
      <c r="N53" s="29" t="str">
        <f>IF(OR(B53="",M53&lt;&gt;"Yes"),"",IF(O53&lt;&gt;"",O53+IF(L53="Low",3,IF(L53="Medium",7,21)),G53+IF(L53="Low",2,IF(L53="Medium",5,14))))</f>
        <v/>
      </c>
      <c r="O53" s="29"/>
      <c r="P53" s="5"/>
      <c r="Q53" s="5"/>
      <c r="R53" s="5"/>
      <c r="V53" s="42" t="str">
        <f t="shared" si="3"/>
        <v/>
      </c>
    </row>
    <row r="54" spans="1:22">
      <c r="A54" s="7" t="str">
        <f t="shared" si="0"/>
        <v/>
      </c>
      <c r="B54" s="5"/>
      <c r="C54" s="5"/>
      <c r="D54" s="5"/>
      <c r="E54" s="5"/>
      <c r="F54" s="5"/>
      <c r="G54" s="29"/>
      <c r="H54" s="5"/>
      <c r="I54" s="5"/>
      <c r="J54" s="5"/>
      <c r="K54" s="5"/>
      <c r="L54" s="5"/>
      <c r="M54" s="5"/>
      <c r="N54" s="29" t="str">
        <f>IF(OR(B54="",M54&lt;&gt;"Yes"),"",IF(O54&lt;&gt;"",O54+IF(L54="Low",3,IF(L54="Medium",7,21)),G54+IF(L54="Low",2,IF(L54="Medium",5,14))))</f>
        <v/>
      </c>
      <c r="O54" s="29"/>
      <c r="P54" s="5"/>
      <c r="Q54" s="5"/>
      <c r="R54" s="5"/>
      <c r="V54" s="42" t="str">
        <f t="shared" si="3"/>
        <v/>
      </c>
    </row>
    <row r="55" spans="1:22">
      <c r="A55" s="7" t="str">
        <f t="shared" si="0"/>
        <v/>
      </c>
      <c r="B55" s="5"/>
      <c r="C55" s="5"/>
      <c r="D55" s="5"/>
      <c r="E55" s="5"/>
      <c r="F55" s="5"/>
      <c r="G55" s="29"/>
      <c r="H55" s="5"/>
      <c r="I55" s="5"/>
      <c r="J55" s="5"/>
      <c r="K55" s="5"/>
      <c r="L55" s="5"/>
      <c r="M55" s="5"/>
      <c r="N55" s="29" t="str">
        <f>IF(OR(B55="",M55&lt;&gt;"Yes"),"",IF(O55&lt;&gt;"",O55+IF(L55="Low",3,IF(L55="Medium",7,21)),G55+IF(L55="Low",2,IF(L55="Medium",5,14))))</f>
        <v/>
      </c>
      <c r="O55" s="29"/>
      <c r="P55" s="5"/>
      <c r="Q55" s="5"/>
      <c r="R55" s="5"/>
      <c r="V55" s="42" t="str">
        <f t="shared" si="3"/>
        <v/>
      </c>
    </row>
    <row r="56" spans="1:22">
      <c r="A56" s="7" t="str">
        <f t="shared" si="0"/>
        <v/>
      </c>
      <c r="B56" s="5"/>
      <c r="C56" s="5"/>
      <c r="D56" s="5"/>
      <c r="E56" s="5"/>
      <c r="F56" s="5"/>
      <c r="G56" s="29"/>
      <c r="H56" s="5"/>
      <c r="I56" s="5"/>
      <c r="J56" s="5"/>
      <c r="K56" s="5"/>
      <c r="L56" s="5"/>
      <c r="M56" s="5"/>
      <c r="N56" s="29" t="str">
        <f>IF(OR(B56="",M56&lt;&gt;"Yes"),"",IF(O56&lt;&gt;"",O56+IF(L56="Low",3,IF(L56="Medium",7,21)),G56+IF(L56="Low",2,IF(L56="Medium",5,14))))</f>
        <v/>
      </c>
      <c r="O56" s="29"/>
      <c r="P56" s="5"/>
      <c r="Q56" s="5"/>
      <c r="R56" s="5"/>
      <c r="V56" s="42" t="str">
        <f t="shared" si="3"/>
        <v/>
      </c>
    </row>
    <row r="57" spans="1:22">
      <c r="A57" s="7" t="str">
        <f t="shared" si="0"/>
        <v/>
      </c>
      <c r="B57" s="5"/>
      <c r="C57" s="5"/>
      <c r="D57" s="5"/>
      <c r="E57" s="5"/>
      <c r="F57" s="5"/>
      <c r="G57" s="29"/>
      <c r="H57" s="5"/>
      <c r="I57" s="5"/>
      <c r="J57" s="5"/>
      <c r="K57" s="5"/>
      <c r="L57" s="5"/>
      <c r="M57" s="5"/>
      <c r="N57" s="29" t="str">
        <f>IF(OR(B57="",M57&lt;&gt;"Yes"),"",IF(O57&lt;&gt;"",O57+IF(L57="Low",3,IF(L57="Medium",7,21)),G57+IF(L57="Low",2,IF(L57="Medium",5,14))))</f>
        <v/>
      </c>
      <c r="O57" s="29"/>
      <c r="P57" s="5"/>
      <c r="Q57" s="5"/>
      <c r="R57" s="5"/>
      <c r="V57" s="42" t="str">
        <f t="shared" si="3"/>
        <v/>
      </c>
    </row>
    <row r="58" spans="1:22">
      <c r="A58" s="7" t="str">
        <f t="shared" si="0"/>
        <v/>
      </c>
      <c r="B58" s="5"/>
      <c r="C58" s="5"/>
      <c r="D58" s="5"/>
      <c r="E58" s="5"/>
      <c r="F58" s="5"/>
      <c r="G58" s="29"/>
      <c r="H58" s="5"/>
      <c r="I58" s="5"/>
      <c r="J58" s="5"/>
      <c r="K58" s="5"/>
      <c r="L58" s="5"/>
      <c r="M58" s="5"/>
      <c r="N58" s="29" t="str">
        <f>IF(OR(B58="",M58&lt;&gt;"Yes"),"",IF(O58&lt;&gt;"",O58+IF(L58="Low",3,IF(L58="Medium",7,21)),G58+IF(L58="Low",2,IF(L58="Medium",5,14))))</f>
        <v/>
      </c>
      <c r="O58" s="29"/>
      <c r="P58" s="5"/>
      <c r="Q58" s="5"/>
      <c r="R58" s="5"/>
      <c r="V58" s="42" t="str">
        <f t="shared" si="3"/>
        <v/>
      </c>
    </row>
    <row r="59" spans="1:22">
      <c r="A59" s="7" t="str">
        <f t="shared" si="0"/>
        <v/>
      </c>
      <c r="B59" s="5"/>
      <c r="C59" s="5"/>
      <c r="D59" s="5"/>
      <c r="E59" s="5"/>
      <c r="F59" s="5"/>
      <c r="G59" s="29"/>
      <c r="H59" s="5"/>
      <c r="I59" s="5"/>
      <c r="J59" s="5"/>
      <c r="K59" s="5"/>
      <c r="L59" s="5"/>
      <c r="M59" s="5"/>
      <c r="N59" s="29" t="str">
        <f>IF(OR(B59="",M59&lt;&gt;"Yes"),"",IF(O59&lt;&gt;"",O59+IF(L59="Low",3,IF(L59="Medium",7,21)),G59+IF(L59="Low",2,IF(L59="Medium",5,14))))</f>
        <v/>
      </c>
      <c r="O59" s="29"/>
      <c r="P59" s="5"/>
      <c r="Q59" s="5"/>
      <c r="R59" s="5"/>
      <c r="V59" s="42" t="str">
        <f t="shared" si="3"/>
        <v/>
      </c>
    </row>
    <row r="60" spans="1:22">
      <c r="A60" s="7" t="str">
        <f t="shared" si="0"/>
        <v/>
      </c>
      <c r="B60" s="5"/>
      <c r="C60" s="5"/>
      <c r="D60" s="5"/>
      <c r="E60" s="5"/>
      <c r="F60" s="5"/>
      <c r="G60" s="29"/>
      <c r="H60" s="5"/>
      <c r="I60" s="5"/>
      <c r="J60" s="5"/>
      <c r="K60" s="5"/>
      <c r="L60" s="5"/>
      <c r="M60" s="5"/>
      <c r="N60" s="29" t="str">
        <f>IF(OR(B60="",M60&lt;&gt;"Yes"),"",IF(O60&lt;&gt;"",O60+IF(L60="Low",3,IF(L60="Medium",7,21)),G60+IF(L60="Low",2,IF(L60="Medium",5,14))))</f>
        <v/>
      </c>
      <c r="O60" s="29"/>
      <c r="P60" s="5"/>
      <c r="Q60" s="5"/>
      <c r="R60" s="5"/>
      <c r="V60" s="42" t="str">
        <f t="shared" si="3"/>
        <v/>
      </c>
    </row>
    <row r="61" spans="1:22">
      <c r="A61" s="7" t="str">
        <f t="shared" si="0"/>
        <v/>
      </c>
      <c r="B61" s="5"/>
      <c r="C61" s="5"/>
      <c r="D61" s="5"/>
      <c r="E61" s="5"/>
      <c r="F61" s="5"/>
      <c r="G61" s="29"/>
      <c r="H61" s="5"/>
      <c r="I61" s="5"/>
      <c r="J61" s="5"/>
      <c r="K61" s="5"/>
      <c r="L61" s="5"/>
      <c r="M61" s="5"/>
      <c r="N61" s="29" t="str">
        <f>IF(OR(B61="",M61&lt;&gt;"Yes"),"",IF(O61&lt;&gt;"",O61+IF(L61="Low",3,IF(L61="Medium",7,21)),G61+IF(L61="Low",2,IF(L61="Medium",5,14))))</f>
        <v/>
      </c>
      <c r="O61" s="29"/>
      <c r="P61" s="5"/>
      <c r="Q61" s="5"/>
      <c r="R61" s="5"/>
      <c r="V61" s="42" t="str">
        <f t="shared" si="3"/>
        <v/>
      </c>
    </row>
    <row r="62" spans="1:22">
      <c r="A62" s="7" t="str">
        <f t="shared" si="0"/>
        <v/>
      </c>
      <c r="B62" s="5"/>
      <c r="C62" s="5"/>
      <c r="D62" s="5"/>
      <c r="E62" s="5"/>
      <c r="F62" s="5"/>
      <c r="G62" s="29"/>
      <c r="H62" s="5"/>
      <c r="I62" s="5"/>
      <c r="J62" s="5"/>
      <c r="K62" s="5"/>
      <c r="L62" s="5"/>
      <c r="M62" s="5"/>
      <c r="N62" s="29" t="str">
        <f>IF(OR(B62="",M62&lt;&gt;"Yes"),"",IF(O62&lt;&gt;"",O62+IF(L62="Low",3,IF(L62="Medium",7,21)),G62+IF(L62="Low",2,IF(L62="Medium",5,14))))</f>
        <v/>
      </c>
      <c r="O62" s="29"/>
      <c r="P62" s="5"/>
      <c r="Q62" s="5"/>
      <c r="R62" s="5"/>
      <c r="V62" s="42" t="str">
        <f t="shared" si="3"/>
        <v/>
      </c>
    </row>
    <row r="63" spans="1:22">
      <c r="A63" s="7" t="str">
        <f t="shared" si="0"/>
        <v/>
      </c>
      <c r="B63" s="5"/>
      <c r="C63" s="5"/>
      <c r="D63" s="5"/>
      <c r="E63" s="5"/>
      <c r="F63" s="5"/>
      <c r="G63" s="29"/>
      <c r="H63" s="5"/>
      <c r="I63" s="5"/>
      <c r="J63" s="5"/>
      <c r="K63" s="5"/>
      <c r="L63" s="5"/>
      <c r="M63" s="5"/>
      <c r="N63" s="29" t="str">
        <f>IF(OR(B63="",M63&lt;&gt;"Yes"),"",IF(O63&lt;&gt;"",O63+IF(L63="Low",3,IF(L63="Medium",7,21)),G63+IF(L63="Low",2,IF(L63="Medium",5,14))))</f>
        <v/>
      </c>
      <c r="O63" s="29"/>
      <c r="P63" s="5"/>
      <c r="Q63" s="5"/>
      <c r="R63" s="5"/>
      <c r="V63" s="42" t="str">
        <f t="shared" si="3"/>
        <v/>
      </c>
    </row>
    <row r="64" spans="1:22">
      <c r="A64" s="7" t="str">
        <f t="shared" si="0"/>
        <v/>
      </c>
      <c r="B64" s="5"/>
      <c r="C64" s="5"/>
      <c r="D64" s="5"/>
      <c r="E64" s="5"/>
      <c r="F64" s="5"/>
      <c r="G64" s="29"/>
      <c r="H64" s="5"/>
      <c r="I64" s="5"/>
      <c r="J64" s="5"/>
      <c r="K64" s="5"/>
      <c r="L64" s="5"/>
      <c r="M64" s="5"/>
      <c r="N64" s="29" t="str">
        <f>IF(OR(B64="",M64&lt;&gt;"Yes"),"",IF(O64&lt;&gt;"",O64+IF(L64="Low",3,IF(L64="Medium",7,21)),G64+IF(L64="Low",2,IF(L64="Medium",5,14))))</f>
        <v/>
      </c>
      <c r="O64" s="29"/>
      <c r="P64" s="5"/>
      <c r="Q64" s="5"/>
      <c r="R64" s="5"/>
      <c r="V64" s="42" t="str">
        <f t="shared" si="3"/>
        <v/>
      </c>
    </row>
    <row r="65" spans="1:22">
      <c r="A65" s="7" t="str">
        <f t="shared" ref="A65:A128" si="4">IF(B65="","",ROW()-3)</f>
        <v/>
      </c>
      <c r="B65" s="5"/>
      <c r="C65" s="5"/>
      <c r="D65" s="5"/>
      <c r="E65" s="5"/>
      <c r="F65" s="5"/>
      <c r="G65" s="29"/>
      <c r="H65" s="5"/>
      <c r="I65" s="5"/>
      <c r="J65" s="5"/>
      <c r="K65" s="5"/>
      <c r="L65" s="5"/>
      <c r="M65" s="5"/>
      <c r="N65" s="29" t="str">
        <f>IF(OR(B65="",M65&lt;&gt;"Yes"),"",IF(O65&lt;&gt;"",O65+IF(L65="Low",3,IF(L65="Medium",7,21)),G65+IF(L65="Low",2,IF(L65="Medium",5,14))))</f>
        <v/>
      </c>
      <c r="O65" s="29"/>
      <c r="P65" s="5"/>
      <c r="Q65" s="5"/>
      <c r="R65" s="5"/>
      <c r="V65" s="42" t="str">
        <f t="shared" ref="V65:V96" si="5">IF(OR(J65="",U65&lt;&gt;"Yes"),"",IF(W65&lt;&gt;"",W65+IF(T65="Low",3,IF(T65="Medium",7,21)),O65+IF(T65="Low",2,IF(T65="Medium",5,14))))</f>
        <v/>
      </c>
    </row>
    <row r="66" spans="1:22">
      <c r="A66" s="7" t="str">
        <f t="shared" si="4"/>
        <v/>
      </c>
      <c r="B66" s="5"/>
      <c r="C66" s="5"/>
      <c r="D66" s="5"/>
      <c r="E66" s="5"/>
      <c r="F66" s="5"/>
      <c r="G66" s="29"/>
      <c r="H66" s="5"/>
      <c r="I66" s="5"/>
      <c r="J66" s="5"/>
      <c r="K66" s="5"/>
      <c r="L66" s="5"/>
      <c r="M66" s="5"/>
      <c r="N66" s="29" t="str">
        <f>IF(OR(B66="",M66&lt;&gt;"Yes"),"",IF(O66&lt;&gt;"",O66+IF(L66="Low",3,IF(L66="Medium",7,21)),G66+IF(L66="Low",2,IF(L66="Medium",5,14))))</f>
        <v/>
      </c>
      <c r="O66" s="29"/>
      <c r="P66" s="5"/>
      <c r="Q66" s="5"/>
      <c r="R66" s="5"/>
      <c r="V66" s="42" t="str">
        <f t="shared" si="5"/>
        <v/>
      </c>
    </row>
    <row r="67" spans="1:22">
      <c r="A67" s="7" t="str">
        <f t="shared" si="4"/>
        <v/>
      </c>
      <c r="B67" s="5"/>
      <c r="C67" s="5"/>
      <c r="D67" s="5"/>
      <c r="E67" s="5"/>
      <c r="F67" s="5"/>
      <c r="G67" s="29"/>
      <c r="H67" s="5"/>
      <c r="I67" s="5"/>
      <c r="J67" s="5"/>
      <c r="K67" s="5"/>
      <c r="L67" s="5"/>
      <c r="M67" s="5"/>
      <c r="N67" s="29" t="str">
        <f>IF(OR(B67="",M67&lt;&gt;"Yes"),"",IF(O67&lt;&gt;"",O67+IF(L67="Low",3,IF(L67="Medium",7,21)),G67+IF(L67="Low",2,IF(L67="Medium",5,14))))</f>
        <v/>
      </c>
      <c r="O67" s="29"/>
      <c r="P67" s="5"/>
      <c r="Q67" s="5"/>
      <c r="R67" s="5"/>
      <c r="V67" s="42" t="str">
        <f t="shared" si="5"/>
        <v/>
      </c>
    </row>
    <row r="68" spans="1:22">
      <c r="A68" s="7" t="str">
        <f t="shared" si="4"/>
        <v/>
      </c>
      <c r="B68" s="5"/>
      <c r="C68" s="5"/>
      <c r="D68" s="5"/>
      <c r="E68" s="5"/>
      <c r="F68" s="5"/>
      <c r="G68" s="29"/>
      <c r="H68" s="5"/>
      <c r="I68" s="5"/>
      <c r="J68" s="5"/>
      <c r="K68" s="5"/>
      <c r="L68" s="5"/>
      <c r="M68" s="5"/>
      <c r="N68" s="29" t="str">
        <f>IF(OR(B68="",M68&lt;&gt;"Yes"),"",IF(O68&lt;&gt;"",O68+IF(L68="Low",3,IF(L68="Medium",7,21)),G68+IF(L68="Low",2,IF(L68="Medium",5,14))))</f>
        <v/>
      </c>
      <c r="O68" s="29"/>
      <c r="P68" s="5"/>
      <c r="Q68" s="5"/>
      <c r="R68" s="5"/>
      <c r="V68" s="42" t="str">
        <f t="shared" si="5"/>
        <v/>
      </c>
    </row>
    <row r="69" spans="1:22">
      <c r="A69" s="7" t="str">
        <f t="shared" si="4"/>
        <v/>
      </c>
      <c r="B69" s="5"/>
      <c r="C69" s="5"/>
      <c r="D69" s="5"/>
      <c r="E69" s="5"/>
      <c r="F69" s="5"/>
      <c r="G69" s="29"/>
      <c r="H69" s="5"/>
      <c r="I69" s="5"/>
      <c r="J69" s="5"/>
      <c r="K69" s="5"/>
      <c r="L69" s="5"/>
      <c r="M69" s="5"/>
      <c r="N69" s="29" t="str">
        <f>IF(OR(B69="",M69&lt;&gt;"Yes"),"",IF(O69&lt;&gt;"",O69+IF(L69="Low",3,IF(L69="Medium",7,21)),G69+IF(L69="Low",2,IF(L69="Medium",5,14))))</f>
        <v/>
      </c>
      <c r="O69" s="29"/>
      <c r="P69" s="5"/>
      <c r="Q69" s="5"/>
      <c r="R69" s="5"/>
      <c r="V69" s="42" t="str">
        <f t="shared" si="5"/>
        <v/>
      </c>
    </row>
    <row r="70" spans="1:22">
      <c r="A70" s="7" t="str">
        <f t="shared" si="4"/>
        <v/>
      </c>
      <c r="B70" s="5"/>
      <c r="C70" s="5"/>
      <c r="D70" s="5"/>
      <c r="E70" s="5"/>
      <c r="F70" s="5"/>
      <c r="G70" s="29"/>
      <c r="H70" s="5"/>
      <c r="I70" s="5"/>
      <c r="J70" s="5"/>
      <c r="K70" s="5"/>
      <c r="L70" s="5"/>
      <c r="M70" s="5"/>
      <c r="N70" s="29" t="str">
        <f>IF(OR(B70="",M70&lt;&gt;"Yes"),"",IF(O70&lt;&gt;"",O70+IF(L70="Low",3,IF(L70="Medium",7,21)),G70+IF(L70="Low",2,IF(L70="Medium",5,14))))</f>
        <v/>
      </c>
      <c r="O70" s="29"/>
      <c r="P70" s="5"/>
      <c r="Q70" s="5"/>
      <c r="R70" s="5"/>
      <c r="V70" s="42" t="str">
        <f t="shared" si="5"/>
        <v/>
      </c>
    </row>
    <row r="71" spans="1:22">
      <c r="A71" s="7" t="str">
        <f t="shared" si="4"/>
        <v/>
      </c>
      <c r="B71" s="5"/>
      <c r="C71" s="5"/>
      <c r="D71" s="5"/>
      <c r="E71" s="5"/>
      <c r="F71" s="5"/>
      <c r="G71" s="29"/>
      <c r="H71" s="5"/>
      <c r="I71" s="5"/>
      <c r="J71" s="5"/>
      <c r="K71" s="5"/>
      <c r="L71" s="5"/>
      <c r="M71" s="5"/>
      <c r="N71" s="29" t="str">
        <f>IF(OR(B71="",M71&lt;&gt;"Yes"),"",IF(O71&lt;&gt;"",O71+IF(L71="Low",3,IF(L71="Medium",7,21)),G71+IF(L71="Low",2,IF(L71="Medium",5,14))))</f>
        <v/>
      </c>
      <c r="O71" s="29"/>
      <c r="P71" s="5"/>
      <c r="Q71" s="5"/>
      <c r="R71" s="5"/>
      <c r="V71" s="42" t="str">
        <f t="shared" si="5"/>
        <v/>
      </c>
    </row>
    <row r="72" spans="1:22">
      <c r="A72" s="7" t="str">
        <f t="shared" si="4"/>
        <v/>
      </c>
      <c r="B72" s="5"/>
      <c r="C72" s="5"/>
      <c r="D72" s="5"/>
      <c r="E72" s="5"/>
      <c r="F72" s="5"/>
      <c r="G72" s="29"/>
      <c r="H72" s="5"/>
      <c r="I72" s="5"/>
      <c r="J72" s="5"/>
      <c r="K72" s="5"/>
      <c r="L72" s="5"/>
      <c r="M72" s="5"/>
      <c r="N72" s="29" t="str">
        <f>IF(OR(B72="",M72&lt;&gt;"Yes"),"",IF(O72&lt;&gt;"",O72+IF(L72="Low",3,IF(L72="Medium",7,21)),G72+IF(L72="Low",2,IF(L72="Medium",5,14))))</f>
        <v/>
      </c>
      <c r="O72" s="29"/>
      <c r="P72" s="5"/>
      <c r="Q72" s="5"/>
      <c r="R72" s="5"/>
      <c r="V72" s="42" t="str">
        <f t="shared" si="5"/>
        <v/>
      </c>
    </row>
    <row r="73" spans="1:22">
      <c r="A73" s="7" t="str">
        <f t="shared" si="4"/>
        <v/>
      </c>
      <c r="B73" s="5"/>
      <c r="C73" s="5"/>
      <c r="D73" s="5"/>
      <c r="E73" s="5"/>
      <c r="F73" s="5"/>
      <c r="G73" s="29"/>
      <c r="H73" s="5"/>
      <c r="I73" s="5"/>
      <c r="J73" s="5"/>
      <c r="K73" s="5"/>
      <c r="L73" s="5"/>
      <c r="M73" s="5"/>
      <c r="N73" s="29" t="str">
        <f>IF(OR(B73="",M73&lt;&gt;"Yes"),"",IF(O73&lt;&gt;"",O73+IF(L73="Low",3,IF(L73="Medium",7,21)),G73+IF(L73="Low",2,IF(L73="Medium",5,14))))</f>
        <v/>
      </c>
      <c r="O73" s="29"/>
      <c r="P73" s="5"/>
      <c r="Q73" s="5"/>
      <c r="R73" s="5"/>
      <c r="V73" s="42" t="str">
        <f t="shared" si="5"/>
        <v/>
      </c>
    </row>
    <row r="74" spans="1:22">
      <c r="A74" s="7" t="str">
        <f t="shared" si="4"/>
        <v/>
      </c>
      <c r="B74" s="5"/>
      <c r="C74" s="5"/>
      <c r="D74" s="5"/>
      <c r="E74" s="5"/>
      <c r="F74" s="5"/>
      <c r="G74" s="29"/>
      <c r="H74" s="5"/>
      <c r="I74" s="5"/>
      <c r="J74" s="5"/>
      <c r="K74" s="5"/>
      <c r="L74" s="5"/>
      <c r="M74" s="5"/>
      <c r="N74" s="29" t="str">
        <f>IF(OR(B74="",M74&lt;&gt;"Yes"),"",IF(O74&lt;&gt;"",O74+IF(L74="Low",3,IF(L74="Medium",7,21)),G74+IF(L74="Low",2,IF(L74="Medium",5,14))))</f>
        <v/>
      </c>
      <c r="O74" s="29"/>
      <c r="P74" s="5"/>
      <c r="Q74" s="5"/>
      <c r="R74" s="5"/>
      <c r="V74" s="42" t="str">
        <f t="shared" si="5"/>
        <v/>
      </c>
    </row>
    <row r="75" spans="1:22">
      <c r="A75" s="7" t="str">
        <f t="shared" si="4"/>
        <v/>
      </c>
      <c r="B75" s="5"/>
      <c r="C75" s="5"/>
      <c r="D75" s="5"/>
      <c r="E75" s="5"/>
      <c r="F75" s="5"/>
      <c r="G75" s="29"/>
      <c r="H75" s="5"/>
      <c r="I75" s="5"/>
      <c r="J75" s="5"/>
      <c r="K75" s="5"/>
      <c r="L75" s="5"/>
      <c r="M75" s="5"/>
      <c r="N75" s="29" t="str">
        <f>IF(OR(B75="",M75&lt;&gt;"Yes"),"",IF(O75&lt;&gt;"",O75+IF(L75="Low",3,IF(L75="Medium",7,21)),G75+IF(L75="Low",2,IF(L75="Medium",5,14))))</f>
        <v/>
      </c>
      <c r="O75" s="29"/>
      <c r="P75" s="5"/>
      <c r="Q75" s="5"/>
      <c r="R75" s="5"/>
      <c r="V75" s="42" t="str">
        <f t="shared" si="5"/>
        <v/>
      </c>
    </row>
    <row r="76" spans="1:22">
      <c r="A76" s="7" t="str">
        <f t="shared" si="4"/>
        <v/>
      </c>
      <c r="B76" s="5"/>
      <c r="C76" s="5"/>
      <c r="D76" s="5"/>
      <c r="E76" s="5"/>
      <c r="F76" s="5"/>
      <c r="G76" s="29"/>
      <c r="H76" s="5"/>
      <c r="I76" s="5"/>
      <c r="J76" s="5"/>
      <c r="K76" s="5"/>
      <c r="L76" s="5"/>
      <c r="M76" s="5"/>
      <c r="N76" s="29" t="str">
        <f>IF(OR(B76="",M76&lt;&gt;"Yes"),"",IF(O76&lt;&gt;"",O76+IF(L76="Low",3,IF(L76="Medium",7,21)),G76+IF(L76="Low",2,IF(L76="Medium",5,14))))</f>
        <v/>
      </c>
      <c r="O76" s="29"/>
      <c r="P76" s="5"/>
      <c r="Q76" s="5"/>
      <c r="R76" s="5"/>
      <c r="V76" s="42" t="str">
        <f t="shared" si="5"/>
        <v/>
      </c>
    </row>
    <row r="77" spans="1:22">
      <c r="A77" s="7" t="str">
        <f t="shared" si="4"/>
        <v/>
      </c>
      <c r="B77" s="5"/>
      <c r="C77" s="5"/>
      <c r="D77" s="5"/>
      <c r="E77" s="5"/>
      <c r="F77" s="5"/>
      <c r="G77" s="29"/>
      <c r="H77" s="5"/>
      <c r="I77" s="5"/>
      <c r="J77" s="5"/>
      <c r="K77" s="5"/>
      <c r="L77" s="5"/>
      <c r="M77" s="5"/>
      <c r="N77" s="29" t="str">
        <f>IF(OR(B77="",M77&lt;&gt;"Yes"),"",IF(O77&lt;&gt;"",O77+IF(L77="Low",3,IF(L77="Medium",7,21)),G77+IF(L77="Low",2,IF(L77="Medium",5,14))))</f>
        <v/>
      </c>
      <c r="O77" s="29"/>
      <c r="P77" s="5"/>
      <c r="Q77" s="5"/>
      <c r="R77" s="5"/>
      <c r="V77" s="42" t="str">
        <f t="shared" si="5"/>
        <v/>
      </c>
    </row>
    <row r="78" spans="1:22">
      <c r="A78" s="7" t="str">
        <f t="shared" si="4"/>
        <v/>
      </c>
      <c r="B78" s="5"/>
      <c r="C78" s="5"/>
      <c r="D78" s="5"/>
      <c r="E78" s="5"/>
      <c r="F78" s="5"/>
      <c r="G78" s="29"/>
      <c r="H78" s="5"/>
      <c r="I78" s="5"/>
      <c r="J78" s="5"/>
      <c r="K78" s="5"/>
      <c r="L78" s="5"/>
      <c r="M78" s="5"/>
      <c r="N78" s="29" t="str">
        <f>IF(OR(B78="",M78&lt;&gt;"Yes"),"",IF(O78&lt;&gt;"",O78+IF(L78="Low",3,IF(L78="Medium",7,21)),G78+IF(L78="Low",2,IF(L78="Medium",5,14))))</f>
        <v/>
      </c>
      <c r="O78" s="29"/>
      <c r="P78" s="5"/>
      <c r="Q78" s="5"/>
      <c r="R78" s="5"/>
      <c r="V78" s="42" t="str">
        <f t="shared" si="5"/>
        <v/>
      </c>
    </row>
    <row r="79" spans="1:22">
      <c r="A79" s="7" t="str">
        <f t="shared" si="4"/>
        <v/>
      </c>
      <c r="B79" s="5"/>
      <c r="C79" s="5"/>
      <c r="D79" s="5"/>
      <c r="E79" s="5"/>
      <c r="F79" s="5"/>
      <c r="G79" s="29"/>
      <c r="H79" s="5"/>
      <c r="I79" s="5"/>
      <c r="J79" s="5"/>
      <c r="K79" s="5"/>
      <c r="L79" s="5"/>
      <c r="M79" s="5"/>
      <c r="N79" s="29" t="str">
        <f>IF(OR(B79="",M79&lt;&gt;"Yes"),"",IF(O79&lt;&gt;"",O79+IF(L79="Low",3,IF(L79="Medium",7,21)),G79+IF(L79="Low",2,IF(L79="Medium",5,14))))</f>
        <v/>
      </c>
      <c r="O79" s="29"/>
      <c r="P79" s="5"/>
      <c r="Q79" s="5"/>
      <c r="R79" s="5"/>
      <c r="V79" s="42" t="str">
        <f t="shared" si="5"/>
        <v/>
      </c>
    </row>
    <row r="80" spans="1:22">
      <c r="A80" s="7" t="str">
        <f t="shared" si="4"/>
        <v/>
      </c>
      <c r="B80" s="5"/>
      <c r="C80" s="5"/>
      <c r="D80" s="5"/>
      <c r="E80" s="5"/>
      <c r="F80" s="5"/>
      <c r="G80" s="29"/>
      <c r="H80" s="5"/>
      <c r="I80" s="5"/>
      <c r="J80" s="5"/>
      <c r="K80" s="5"/>
      <c r="L80" s="5"/>
      <c r="M80" s="5"/>
      <c r="N80" s="29" t="str">
        <f>IF(OR(B80="",M80&lt;&gt;"Yes"),"",IF(O80&lt;&gt;"",O80+IF(L80="Low",3,IF(L80="Medium",7,21)),G80+IF(L80="Low",2,IF(L80="Medium",5,14))))</f>
        <v/>
      </c>
      <c r="O80" s="29"/>
      <c r="P80" s="5"/>
      <c r="Q80" s="5"/>
      <c r="R80" s="5"/>
      <c r="V80" s="42" t="str">
        <f t="shared" si="5"/>
        <v/>
      </c>
    </row>
    <row r="81" spans="1:22">
      <c r="A81" s="7" t="str">
        <f t="shared" si="4"/>
        <v/>
      </c>
      <c r="B81" s="5"/>
      <c r="C81" s="5"/>
      <c r="D81" s="5"/>
      <c r="E81" s="5"/>
      <c r="F81" s="5"/>
      <c r="G81" s="29"/>
      <c r="H81" s="5"/>
      <c r="I81" s="5"/>
      <c r="J81" s="5"/>
      <c r="K81" s="5"/>
      <c r="L81" s="5"/>
      <c r="M81" s="5"/>
      <c r="N81" s="29" t="str">
        <f>IF(OR(B81="",M81&lt;&gt;"Yes"),"",IF(O81&lt;&gt;"",O81+IF(L81="Low",3,IF(L81="Medium",7,21)),G81+IF(L81="Low",2,IF(L81="Medium",5,14))))</f>
        <v/>
      </c>
      <c r="O81" s="29"/>
      <c r="P81" s="5"/>
      <c r="Q81" s="5"/>
      <c r="R81" s="5"/>
      <c r="V81" s="42" t="str">
        <f t="shared" si="5"/>
        <v/>
      </c>
    </row>
    <row r="82" spans="1:22">
      <c r="A82" s="7" t="str">
        <f t="shared" si="4"/>
        <v/>
      </c>
      <c r="B82" s="5"/>
      <c r="C82" s="5"/>
      <c r="D82" s="5"/>
      <c r="E82" s="5"/>
      <c r="F82" s="5"/>
      <c r="G82" s="29"/>
      <c r="H82" s="5"/>
      <c r="I82" s="5"/>
      <c r="J82" s="5"/>
      <c r="K82" s="5"/>
      <c r="L82" s="5"/>
      <c r="M82" s="5"/>
      <c r="N82" s="29" t="str">
        <f>IF(OR(B82="",M82&lt;&gt;"Yes"),"",IF(O82&lt;&gt;"",O82+IF(L82="Low",3,IF(L82="Medium",7,21)),G82+IF(L82="Low",2,IF(L82="Medium",5,14))))</f>
        <v/>
      </c>
      <c r="O82" s="29"/>
      <c r="P82" s="5"/>
      <c r="Q82" s="5"/>
      <c r="R82" s="5"/>
      <c r="V82" s="42" t="str">
        <f t="shared" si="5"/>
        <v/>
      </c>
    </row>
    <row r="83" spans="1:22">
      <c r="A83" s="7" t="str">
        <f t="shared" si="4"/>
        <v/>
      </c>
      <c r="B83" s="5"/>
      <c r="C83" s="5"/>
      <c r="D83" s="5"/>
      <c r="E83" s="5"/>
      <c r="F83" s="5"/>
      <c r="G83" s="29"/>
      <c r="H83" s="5"/>
      <c r="I83" s="5"/>
      <c r="J83" s="5"/>
      <c r="K83" s="5"/>
      <c r="L83" s="5"/>
      <c r="M83" s="5"/>
      <c r="N83" s="29" t="str">
        <f>IF(OR(B83="",M83&lt;&gt;"Yes"),"",IF(O83&lt;&gt;"",O83+IF(L83="Low",3,IF(L83="Medium",7,21)),G83+IF(L83="Low",2,IF(L83="Medium",5,14))))</f>
        <v/>
      </c>
      <c r="O83" s="29"/>
      <c r="P83" s="5"/>
      <c r="Q83" s="5"/>
      <c r="R83" s="5"/>
      <c r="V83" s="42" t="str">
        <f t="shared" si="5"/>
        <v/>
      </c>
    </row>
    <row r="84" spans="1:22">
      <c r="A84" s="7" t="str">
        <f t="shared" si="4"/>
        <v/>
      </c>
      <c r="B84" s="5"/>
      <c r="C84" s="5"/>
      <c r="D84" s="5"/>
      <c r="E84" s="5"/>
      <c r="F84" s="5"/>
      <c r="G84" s="29"/>
      <c r="H84" s="5"/>
      <c r="I84" s="5"/>
      <c r="J84" s="5"/>
      <c r="K84" s="5"/>
      <c r="L84" s="5"/>
      <c r="M84" s="5"/>
      <c r="N84" s="29" t="str">
        <f>IF(OR(B84="",M84&lt;&gt;"Yes"),"",IF(O84&lt;&gt;"",O84+IF(L84="Low",3,IF(L84="Medium",7,21)),G84+IF(L84="Low",2,IF(L84="Medium",5,14))))</f>
        <v/>
      </c>
      <c r="O84" s="29"/>
      <c r="P84" s="5"/>
      <c r="Q84" s="5"/>
      <c r="R84" s="5"/>
      <c r="V84" s="42" t="str">
        <f t="shared" si="5"/>
        <v/>
      </c>
    </row>
    <row r="85" spans="1:22">
      <c r="A85" s="7" t="str">
        <f t="shared" si="4"/>
        <v/>
      </c>
      <c r="B85" s="5"/>
      <c r="C85" s="5"/>
      <c r="D85" s="5"/>
      <c r="E85" s="5"/>
      <c r="F85" s="5"/>
      <c r="G85" s="29"/>
      <c r="H85" s="5"/>
      <c r="I85" s="5"/>
      <c r="J85" s="5"/>
      <c r="K85" s="5"/>
      <c r="L85" s="5"/>
      <c r="M85" s="5"/>
      <c r="N85" s="29" t="str">
        <f>IF(OR(B85="",M85&lt;&gt;"Yes"),"",IF(O85&lt;&gt;"",O85+IF(L85="Low",3,IF(L85="Medium",7,21)),G85+IF(L85="Low",2,IF(L85="Medium",5,14))))</f>
        <v/>
      </c>
      <c r="O85" s="29"/>
      <c r="P85" s="5"/>
      <c r="Q85" s="5"/>
      <c r="R85" s="5"/>
      <c r="V85" s="42" t="str">
        <f t="shared" si="5"/>
        <v/>
      </c>
    </row>
    <row r="86" spans="1:22">
      <c r="A86" s="7" t="str">
        <f t="shared" si="4"/>
        <v/>
      </c>
      <c r="B86" s="5"/>
      <c r="C86" s="5"/>
      <c r="D86" s="5"/>
      <c r="E86" s="5"/>
      <c r="F86" s="5"/>
      <c r="G86" s="29"/>
      <c r="H86" s="5"/>
      <c r="I86" s="5"/>
      <c r="J86" s="5"/>
      <c r="K86" s="5"/>
      <c r="L86" s="5"/>
      <c r="M86" s="5"/>
      <c r="N86" s="29" t="str">
        <f>IF(OR(B86="",M86&lt;&gt;"Yes"),"",IF(O86&lt;&gt;"",O86+IF(L86="Low",3,IF(L86="Medium",7,21)),G86+IF(L86="Low",2,IF(L86="Medium",5,14))))</f>
        <v/>
      </c>
      <c r="O86" s="29"/>
      <c r="P86" s="5"/>
      <c r="Q86" s="5"/>
      <c r="R86" s="5"/>
      <c r="V86" s="42" t="str">
        <f t="shared" si="5"/>
        <v/>
      </c>
    </row>
    <row r="87" spans="1:22">
      <c r="A87" s="7" t="str">
        <f t="shared" si="4"/>
        <v/>
      </c>
      <c r="B87" s="5"/>
      <c r="C87" s="5"/>
      <c r="D87" s="5"/>
      <c r="E87" s="5"/>
      <c r="F87" s="5"/>
      <c r="G87" s="29"/>
      <c r="H87" s="5"/>
      <c r="I87" s="5"/>
      <c r="J87" s="5"/>
      <c r="K87" s="5"/>
      <c r="L87" s="5"/>
      <c r="M87" s="5"/>
      <c r="N87" s="29" t="str">
        <f>IF(OR(B87="",M87&lt;&gt;"Yes"),"",IF(O87&lt;&gt;"",O87+IF(L87="Low",3,IF(L87="Medium",7,21)),G87+IF(L87="Low",2,IF(L87="Medium",5,14))))</f>
        <v/>
      </c>
      <c r="O87" s="29"/>
      <c r="P87" s="5"/>
      <c r="Q87" s="5"/>
      <c r="R87" s="5"/>
      <c r="V87" s="42" t="str">
        <f t="shared" si="5"/>
        <v/>
      </c>
    </row>
    <row r="88" spans="1:22">
      <c r="A88" s="7" t="str">
        <f t="shared" si="4"/>
        <v/>
      </c>
      <c r="B88" s="5"/>
      <c r="C88" s="5"/>
      <c r="D88" s="5"/>
      <c r="E88" s="5"/>
      <c r="F88" s="5"/>
      <c r="G88" s="29"/>
      <c r="H88" s="5"/>
      <c r="I88" s="5"/>
      <c r="J88" s="5"/>
      <c r="K88" s="5"/>
      <c r="L88" s="5"/>
      <c r="M88" s="5"/>
      <c r="N88" s="29" t="str">
        <f>IF(OR(B88="",M88&lt;&gt;"Yes"),"",IF(O88&lt;&gt;"",O88+IF(L88="Low",3,IF(L88="Medium",7,21)),G88+IF(L88="Low",2,IF(L88="Medium",5,14))))</f>
        <v/>
      </c>
      <c r="O88" s="29"/>
      <c r="P88" s="5"/>
      <c r="Q88" s="5"/>
      <c r="R88" s="5"/>
      <c r="V88" s="42" t="str">
        <f t="shared" si="5"/>
        <v/>
      </c>
    </row>
    <row r="89" spans="1:22">
      <c r="A89" s="7" t="str">
        <f t="shared" si="4"/>
        <v/>
      </c>
      <c r="B89" s="5"/>
      <c r="C89" s="5"/>
      <c r="D89" s="5"/>
      <c r="E89" s="5"/>
      <c r="F89" s="5"/>
      <c r="G89" s="29"/>
      <c r="H89" s="5"/>
      <c r="I89" s="5"/>
      <c r="J89" s="5"/>
      <c r="K89" s="5"/>
      <c r="L89" s="5"/>
      <c r="M89" s="5"/>
      <c r="N89" s="29" t="str">
        <f>IF(OR(B89="",M89&lt;&gt;"Yes"),"",IF(O89&lt;&gt;"",O89+IF(L89="Low",3,IF(L89="Medium",7,21)),G89+IF(L89="Low",2,IF(L89="Medium",5,14))))</f>
        <v/>
      </c>
      <c r="O89" s="29"/>
      <c r="P89" s="5"/>
      <c r="Q89" s="5"/>
      <c r="R89" s="5"/>
      <c r="V89" s="42" t="str">
        <f t="shared" si="5"/>
        <v/>
      </c>
    </row>
    <row r="90" spans="1:22">
      <c r="A90" s="7" t="str">
        <f t="shared" si="4"/>
        <v/>
      </c>
      <c r="B90" s="5"/>
      <c r="C90" s="5"/>
      <c r="D90" s="5"/>
      <c r="E90" s="5"/>
      <c r="F90" s="5"/>
      <c r="G90" s="29"/>
      <c r="H90" s="5"/>
      <c r="I90" s="5"/>
      <c r="J90" s="5"/>
      <c r="K90" s="5"/>
      <c r="L90" s="5"/>
      <c r="M90" s="5"/>
      <c r="N90" s="29" t="str">
        <f>IF(OR(B90="",M90&lt;&gt;"Yes"),"",IF(O90&lt;&gt;"",O90+IF(L90="Low",3,IF(L90="Medium",7,21)),G90+IF(L90="Low",2,IF(L90="Medium",5,14))))</f>
        <v/>
      </c>
      <c r="O90" s="29"/>
      <c r="P90" s="5"/>
      <c r="Q90" s="5"/>
      <c r="R90" s="5"/>
      <c r="V90" s="42" t="str">
        <f t="shared" si="5"/>
        <v/>
      </c>
    </row>
    <row r="91" spans="1:22">
      <c r="A91" s="7" t="str">
        <f t="shared" si="4"/>
        <v/>
      </c>
      <c r="B91" s="5"/>
      <c r="C91" s="5"/>
      <c r="D91" s="5"/>
      <c r="E91" s="5"/>
      <c r="F91" s="5"/>
      <c r="G91" s="29"/>
      <c r="H91" s="5"/>
      <c r="I91" s="5"/>
      <c r="J91" s="5"/>
      <c r="K91" s="5"/>
      <c r="L91" s="5"/>
      <c r="M91" s="5"/>
      <c r="N91" s="29" t="str">
        <f>IF(OR(B91="",M91&lt;&gt;"Yes"),"",IF(O91&lt;&gt;"",O91+IF(L91="Low",3,IF(L91="Medium",7,21)),G91+IF(L91="Low",2,IF(L91="Medium",5,14))))</f>
        <v/>
      </c>
      <c r="O91" s="29"/>
      <c r="P91" s="5"/>
      <c r="Q91" s="5"/>
      <c r="R91" s="5"/>
      <c r="V91" s="42" t="str">
        <f t="shared" si="5"/>
        <v/>
      </c>
    </row>
    <row r="92" spans="1:22">
      <c r="A92" s="7" t="str">
        <f t="shared" si="4"/>
        <v/>
      </c>
      <c r="B92" s="5"/>
      <c r="C92" s="5"/>
      <c r="D92" s="5"/>
      <c r="E92" s="5"/>
      <c r="F92" s="5"/>
      <c r="G92" s="29"/>
      <c r="H92" s="5"/>
      <c r="I92" s="5"/>
      <c r="J92" s="5"/>
      <c r="K92" s="5"/>
      <c r="L92" s="5"/>
      <c r="M92" s="5"/>
      <c r="N92" s="29" t="str">
        <f>IF(OR(B92="",M92&lt;&gt;"Yes"),"",IF(O92&lt;&gt;"",O92+IF(L92="Low",3,IF(L92="Medium",7,21)),G92+IF(L92="Low",2,IF(L92="Medium",5,14))))</f>
        <v/>
      </c>
      <c r="O92" s="29"/>
      <c r="P92" s="5"/>
      <c r="Q92" s="5"/>
      <c r="R92" s="5"/>
      <c r="V92" s="42" t="str">
        <f t="shared" si="5"/>
        <v/>
      </c>
    </row>
    <row r="93" spans="1:22">
      <c r="A93" s="7" t="str">
        <f t="shared" si="4"/>
        <v/>
      </c>
      <c r="B93" s="5"/>
      <c r="C93" s="5"/>
      <c r="D93" s="5"/>
      <c r="E93" s="5"/>
      <c r="F93" s="5"/>
      <c r="G93" s="29"/>
      <c r="H93" s="5"/>
      <c r="I93" s="5"/>
      <c r="J93" s="5"/>
      <c r="K93" s="5"/>
      <c r="L93" s="5"/>
      <c r="M93" s="5"/>
      <c r="N93" s="29" t="str">
        <f>IF(OR(B93="",M93&lt;&gt;"Yes"),"",IF(O93&lt;&gt;"",O93+IF(L93="Low",3,IF(L93="Medium",7,21)),G93+IF(L93="Low",2,IF(L93="Medium",5,14))))</f>
        <v/>
      </c>
      <c r="O93" s="29"/>
      <c r="P93" s="5"/>
      <c r="Q93" s="5"/>
      <c r="R93" s="5"/>
      <c r="V93" s="42" t="str">
        <f t="shared" si="5"/>
        <v/>
      </c>
    </row>
    <row r="94" spans="1:22">
      <c r="A94" s="7" t="str">
        <f t="shared" si="4"/>
        <v/>
      </c>
      <c r="B94" s="5"/>
      <c r="C94" s="5"/>
      <c r="D94" s="5"/>
      <c r="E94" s="5"/>
      <c r="F94" s="5"/>
      <c r="G94" s="29"/>
      <c r="H94" s="5"/>
      <c r="I94" s="5"/>
      <c r="J94" s="5"/>
      <c r="K94" s="5"/>
      <c r="L94" s="5"/>
      <c r="M94" s="5"/>
      <c r="N94" s="29" t="str">
        <f>IF(OR(B94="",M94&lt;&gt;"Yes"),"",IF(O94&lt;&gt;"",O94+IF(L94="Low",3,IF(L94="Medium",7,21)),G94+IF(L94="Low",2,IF(L94="Medium",5,14))))</f>
        <v/>
      </c>
      <c r="O94" s="29"/>
      <c r="P94" s="5"/>
      <c r="Q94" s="5"/>
      <c r="R94" s="5"/>
      <c r="V94" s="42" t="str">
        <f t="shared" si="5"/>
        <v/>
      </c>
    </row>
    <row r="95" spans="1:22">
      <c r="A95" s="7" t="str">
        <f t="shared" si="4"/>
        <v/>
      </c>
      <c r="B95" s="5"/>
      <c r="C95" s="5"/>
      <c r="D95" s="5"/>
      <c r="E95" s="5"/>
      <c r="F95" s="5"/>
      <c r="G95" s="29"/>
      <c r="H95" s="5"/>
      <c r="I95" s="5"/>
      <c r="J95" s="5"/>
      <c r="K95" s="5"/>
      <c r="L95" s="5"/>
      <c r="M95" s="5"/>
      <c r="N95" s="29" t="str">
        <f>IF(OR(B95="",M95&lt;&gt;"Yes"),"",IF(O95&lt;&gt;"",O95+IF(L95="Low",3,IF(L95="Medium",7,21)),G95+IF(L95="Low",2,IF(L95="Medium",5,14))))</f>
        <v/>
      </c>
      <c r="O95" s="29"/>
      <c r="P95" s="5"/>
      <c r="Q95" s="5"/>
      <c r="R95" s="5"/>
      <c r="V95" s="42" t="str">
        <f t="shared" si="5"/>
        <v/>
      </c>
    </row>
    <row r="96" spans="1:22">
      <c r="A96" s="7" t="str">
        <f t="shared" si="4"/>
        <v/>
      </c>
      <c r="B96" s="5"/>
      <c r="C96" s="5"/>
      <c r="D96" s="5"/>
      <c r="E96" s="5"/>
      <c r="F96" s="5"/>
      <c r="G96" s="29"/>
      <c r="H96" s="5"/>
      <c r="I96" s="5"/>
      <c r="J96" s="5"/>
      <c r="K96" s="5"/>
      <c r="L96" s="5"/>
      <c r="M96" s="5"/>
      <c r="N96" s="29" t="str">
        <f>IF(OR(B96="",M96&lt;&gt;"Yes"),"",IF(O96&lt;&gt;"",O96+IF(L96="Low",3,IF(L96="Medium",7,21)),G96+IF(L96="Low",2,IF(L96="Medium",5,14))))</f>
        <v/>
      </c>
      <c r="O96" s="29"/>
      <c r="P96" s="5"/>
      <c r="Q96" s="5"/>
      <c r="R96" s="5"/>
      <c r="V96" s="42" t="str">
        <f t="shared" si="5"/>
        <v/>
      </c>
    </row>
    <row r="97" spans="1:22">
      <c r="A97" s="7" t="str">
        <f t="shared" si="4"/>
        <v/>
      </c>
      <c r="B97" s="5"/>
      <c r="C97" s="5"/>
      <c r="D97" s="5"/>
      <c r="E97" s="5"/>
      <c r="F97" s="5"/>
      <c r="G97" s="29"/>
      <c r="H97" s="5"/>
      <c r="I97" s="5"/>
      <c r="J97" s="5"/>
      <c r="K97" s="5"/>
      <c r="L97" s="5"/>
      <c r="M97" s="5"/>
      <c r="N97" s="29" t="str">
        <f>IF(OR(B97="",M97&lt;&gt;"Yes"),"",IF(O97&lt;&gt;"",O97+IF(L97="Low",3,IF(L97="Medium",7,21)),G97+IF(L97="Low",2,IF(L97="Medium",5,14))))</f>
        <v/>
      </c>
      <c r="O97" s="29"/>
      <c r="P97" s="5"/>
      <c r="Q97" s="5"/>
      <c r="R97" s="5"/>
      <c r="V97" s="42" t="str">
        <f t="shared" ref="V97:V128" si="6">IF(OR(J97="",U97&lt;&gt;"Yes"),"",IF(W97&lt;&gt;"",W97+IF(T97="Low",3,IF(T97="Medium",7,21)),O97+IF(T97="Low",2,IF(T97="Medium",5,14))))</f>
        <v/>
      </c>
    </row>
    <row r="98" spans="1:22">
      <c r="A98" s="7" t="str">
        <f t="shared" si="4"/>
        <v/>
      </c>
      <c r="B98" s="5"/>
      <c r="C98" s="5"/>
      <c r="D98" s="5"/>
      <c r="E98" s="5"/>
      <c r="F98" s="5"/>
      <c r="G98" s="29"/>
      <c r="H98" s="5"/>
      <c r="I98" s="5"/>
      <c r="J98" s="5"/>
      <c r="K98" s="5"/>
      <c r="L98" s="5"/>
      <c r="M98" s="5"/>
      <c r="N98" s="29" t="str">
        <f>IF(OR(B98="",M98&lt;&gt;"Yes"),"",IF(O98&lt;&gt;"",O98+IF(L98="Low",3,IF(L98="Medium",7,21)),G98+IF(L98="Low",2,IF(L98="Medium",5,14))))</f>
        <v/>
      </c>
      <c r="O98" s="29"/>
      <c r="P98" s="5"/>
      <c r="Q98" s="5"/>
      <c r="R98" s="5"/>
    </row>
    <row r="99" spans="1:22">
      <c r="A99" s="7" t="str">
        <f t="shared" si="4"/>
        <v/>
      </c>
      <c r="B99" s="5"/>
      <c r="C99" s="5"/>
      <c r="D99" s="5"/>
      <c r="E99" s="5"/>
      <c r="F99" s="5"/>
      <c r="G99" s="29"/>
      <c r="H99" s="5"/>
      <c r="I99" s="5"/>
      <c r="J99" s="5"/>
      <c r="K99" s="5"/>
      <c r="L99" s="5"/>
      <c r="M99" s="5"/>
      <c r="N99" s="29" t="str">
        <f>IF(OR(B99="",M99&lt;&gt;"Yes"),"",IF(O99&lt;&gt;"",O99+IF(L99="Low",3,IF(L99="Medium",7,21)),G99+IF(L99="Low",2,IF(L99="Medium",5,14))))</f>
        <v/>
      </c>
      <c r="O99" s="29"/>
      <c r="P99" s="5"/>
      <c r="Q99" s="5"/>
      <c r="R99" s="5"/>
    </row>
    <row r="100" spans="1:22">
      <c r="A100" s="7" t="str">
        <f t="shared" si="4"/>
        <v/>
      </c>
      <c r="B100" s="5"/>
      <c r="C100" s="5"/>
      <c r="D100" s="5"/>
      <c r="E100" s="5"/>
      <c r="F100" s="5"/>
      <c r="G100" s="29"/>
      <c r="H100" s="5"/>
      <c r="I100" s="5"/>
      <c r="J100" s="5"/>
      <c r="K100" s="5"/>
      <c r="L100" s="5"/>
      <c r="M100" s="5"/>
      <c r="N100" s="29" t="str">
        <f>IF(OR(B100="",M100&lt;&gt;"Yes"),"",IF(O100&lt;&gt;"",O100+IF(L100="Low",3,IF(L100="Medium",7,21)),G100+IF(L100="Low",2,IF(L100="Medium",5,14))))</f>
        <v/>
      </c>
      <c r="O100" s="29"/>
      <c r="P100" s="5"/>
      <c r="Q100" s="5"/>
      <c r="R100" s="5"/>
    </row>
    <row r="101" spans="1:22">
      <c r="A101" s="7" t="str">
        <f t="shared" si="4"/>
        <v/>
      </c>
      <c r="B101" s="5"/>
      <c r="C101" s="5"/>
      <c r="D101" s="5"/>
      <c r="E101" s="5"/>
      <c r="F101" s="5"/>
      <c r="G101" s="29"/>
      <c r="H101" s="5"/>
      <c r="I101" s="5"/>
      <c r="J101" s="5"/>
      <c r="K101" s="5"/>
      <c r="L101" s="5"/>
      <c r="M101" s="5"/>
      <c r="N101" s="29" t="str">
        <f>IF(OR(B101="",M101&lt;&gt;"Yes"),"",IF(O101&lt;&gt;"",O101+IF(L101="Low",3,IF(L101="Medium",7,21)),G101+IF(L101="Low",2,IF(L101="Medium",5,14))))</f>
        <v/>
      </c>
      <c r="O101" s="29"/>
      <c r="P101" s="5"/>
      <c r="Q101" s="5"/>
      <c r="R101" s="5"/>
    </row>
    <row r="102" spans="1:22">
      <c r="A102" s="7" t="str">
        <f t="shared" si="4"/>
        <v/>
      </c>
      <c r="B102" s="5"/>
      <c r="C102" s="5"/>
      <c r="D102" s="5"/>
      <c r="E102" s="5"/>
      <c r="F102" s="5"/>
      <c r="G102" s="29"/>
      <c r="H102" s="5"/>
      <c r="I102" s="5"/>
      <c r="J102" s="5"/>
      <c r="K102" s="5"/>
      <c r="L102" s="5"/>
      <c r="M102" s="5"/>
      <c r="N102" s="29" t="str">
        <f>IF(OR(B102="",M102&lt;&gt;"Yes"),"",IF(O102&lt;&gt;"",O102+IF(L102="Low",3,IF(L102="Medium",7,21)),G102+IF(L102="Low",2,IF(L102="Medium",5,14))))</f>
        <v/>
      </c>
      <c r="O102" s="29"/>
      <c r="P102" s="5"/>
      <c r="Q102" s="5"/>
      <c r="R102" s="5"/>
    </row>
    <row r="103" spans="1:22">
      <c r="A103" s="7" t="str">
        <f t="shared" si="4"/>
        <v/>
      </c>
      <c r="B103" s="5"/>
      <c r="C103" s="5"/>
      <c r="D103" s="5"/>
      <c r="E103" s="5"/>
      <c r="F103" s="5"/>
      <c r="G103" s="29"/>
      <c r="H103" s="5"/>
      <c r="I103" s="5"/>
      <c r="J103" s="5"/>
      <c r="K103" s="5"/>
      <c r="L103" s="5"/>
      <c r="M103" s="5"/>
      <c r="N103" s="29" t="str">
        <f>IF(OR(B103="",M103&lt;&gt;"Yes"),"",IF(O103&lt;&gt;"",O103+IF(L103="Low",3,IF(L103="Medium",7,21)),G103+IF(L103="Low",2,IF(L103="Medium",5,14))))</f>
        <v/>
      </c>
      <c r="O103" s="29"/>
      <c r="P103" s="5"/>
      <c r="Q103" s="5"/>
      <c r="R103" s="5"/>
    </row>
    <row r="104" spans="1:22">
      <c r="A104" s="7" t="str">
        <f t="shared" si="4"/>
        <v/>
      </c>
      <c r="B104" s="5"/>
      <c r="C104" s="5"/>
      <c r="D104" s="5"/>
      <c r="E104" s="5"/>
      <c r="F104" s="5"/>
      <c r="G104" s="29"/>
      <c r="H104" s="5"/>
      <c r="I104" s="5"/>
      <c r="J104" s="5"/>
      <c r="K104" s="5"/>
      <c r="L104" s="5"/>
      <c r="M104" s="5"/>
      <c r="N104" s="29" t="str">
        <f>IF(OR(B104="",M104&lt;&gt;"Yes"),"",IF(O104&lt;&gt;"",O104+IF(L104="Low",3,IF(L104="Medium",7,21)),G104+IF(L104="Low",2,IF(L104="Medium",5,14))))</f>
        <v/>
      </c>
      <c r="O104" s="29"/>
      <c r="P104" s="5"/>
      <c r="Q104" s="5"/>
      <c r="R104" s="5"/>
    </row>
    <row r="105" spans="1:22">
      <c r="A105" s="7" t="str">
        <f t="shared" si="4"/>
        <v/>
      </c>
      <c r="B105" s="5"/>
      <c r="C105" s="5"/>
      <c r="D105" s="5"/>
      <c r="E105" s="5"/>
      <c r="F105" s="5"/>
      <c r="G105" s="29"/>
      <c r="H105" s="5"/>
      <c r="I105" s="5"/>
      <c r="J105" s="5"/>
      <c r="K105" s="5"/>
      <c r="L105" s="5"/>
      <c r="M105" s="5"/>
      <c r="N105" s="29" t="str">
        <f>IF(OR(B105="",M105&lt;&gt;"Yes"),"",IF(O105&lt;&gt;"",O105+IF(L105="Low",3,IF(L105="Medium",7,21)),G105+IF(L105="Low",2,IF(L105="Medium",5,14))))</f>
        <v/>
      </c>
      <c r="O105" s="29"/>
      <c r="P105" s="5"/>
      <c r="Q105" s="5"/>
      <c r="R105" s="5"/>
    </row>
    <row r="106" spans="1:22">
      <c r="A106" s="7" t="str">
        <f t="shared" si="4"/>
        <v/>
      </c>
      <c r="B106" s="5"/>
      <c r="C106" s="5"/>
      <c r="D106" s="5"/>
      <c r="E106" s="5"/>
      <c r="F106" s="5"/>
      <c r="G106" s="29"/>
      <c r="H106" s="5"/>
      <c r="I106" s="5"/>
      <c r="J106" s="5"/>
      <c r="K106" s="5"/>
      <c r="L106" s="5"/>
      <c r="M106" s="5"/>
      <c r="N106" s="29" t="str">
        <f>IF(OR(B106="",M106&lt;&gt;"Yes"),"",IF(O106&lt;&gt;"",O106+IF(L106="Low",3,IF(L106="Medium",7,21)),G106+IF(L106="Low",2,IF(L106="Medium",5,14))))</f>
        <v/>
      </c>
      <c r="O106" s="29"/>
      <c r="P106" s="5"/>
      <c r="Q106" s="5"/>
      <c r="R106" s="5"/>
    </row>
    <row r="107" spans="1:22">
      <c r="A107" s="7" t="str">
        <f t="shared" si="4"/>
        <v/>
      </c>
      <c r="B107" s="5"/>
      <c r="C107" s="5"/>
      <c r="D107" s="5"/>
      <c r="E107" s="5"/>
      <c r="F107" s="5"/>
      <c r="G107" s="29"/>
      <c r="H107" s="5"/>
      <c r="I107" s="5"/>
      <c r="J107" s="5"/>
      <c r="K107" s="5"/>
      <c r="L107" s="5"/>
      <c r="M107" s="5"/>
      <c r="N107" s="29" t="str">
        <f>IF(OR(B107="",M107&lt;&gt;"Yes"),"",IF(O107&lt;&gt;"",O107+IF(L107="Low",3,IF(L107="Medium",7,21)),G107+IF(L107="Low",2,IF(L107="Medium",5,14))))</f>
        <v/>
      </c>
      <c r="O107" s="29"/>
      <c r="P107" s="5"/>
      <c r="Q107" s="5"/>
      <c r="R107" s="5"/>
    </row>
    <row r="108" spans="1:22">
      <c r="A108" s="7" t="str">
        <f t="shared" si="4"/>
        <v/>
      </c>
      <c r="B108" s="5"/>
      <c r="C108" s="5"/>
      <c r="D108" s="5"/>
      <c r="E108" s="5"/>
      <c r="F108" s="5"/>
      <c r="G108" s="29"/>
      <c r="H108" s="5"/>
      <c r="I108" s="5"/>
      <c r="J108" s="5"/>
      <c r="K108" s="5"/>
      <c r="L108" s="5"/>
      <c r="M108" s="5"/>
      <c r="N108" s="29" t="str">
        <f>IF(OR(B108="",M108&lt;&gt;"Yes"),"",IF(O108&lt;&gt;"",O108+IF(L108="Low",3,IF(L108="Medium",7,21)),G108+IF(L108="Low",2,IF(L108="Medium",5,14))))</f>
        <v/>
      </c>
      <c r="O108" s="29"/>
      <c r="P108" s="5"/>
      <c r="Q108" s="5"/>
      <c r="R108" s="5"/>
    </row>
    <row r="109" spans="1:22">
      <c r="A109" s="7" t="str">
        <f t="shared" si="4"/>
        <v/>
      </c>
      <c r="B109" s="5"/>
      <c r="C109" s="5"/>
      <c r="D109" s="5"/>
      <c r="E109" s="5"/>
      <c r="F109" s="5"/>
      <c r="G109" s="29"/>
      <c r="H109" s="5"/>
      <c r="I109" s="5"/>
      <c r="J109" s="5"/>
      <c r="K109" s="5"/>
      <c r="L109" s="5"/>
      <c r="M109" s="5"/>
      <c r="N109" s="29" t="str">
        <f>IF(OR(B109="",M109&lt;&gt;"Yes"),"",IF(O109&lt;&gt;"",O109+IF(L109="Low",3,IF(L109="Medium",7,21)),G109+IF(L109="Low",2,IF(L109="Medium",5,14))))</f>
        <v/>
      </c>
      <c r="O109" s="29"/>
      <c r="P109" s="5"/>
      <c r="Q109" s="5"/>
      <c r="R109" s="5"/>
    </row>
    <row r="110" spans="1:22">
      <c r="A110" s="7" t="str">
        <f t="shared" si="4"/>
        <v/>
      </c>
      <c r="B110" s="5"/>
      <c r="C110" s="5"/>
      <c r="D110" s="5"/>
      <c r="E110" s="5"/>
      <c r="F110" s="5"/>
      <c r="G110" s="29"/>
      <c r="H110" s="5"/>
      <c r="I110" s="5"/>
      <c r="J110" s="5"/>
      <c r="K110" s="5"/>
      <c r="L110" s="5"/>
      <c r="M110" s="5"/>
      <c r="N110" s="29" t="str">
        <f>IF(OR(B110="",M110&lt;&gt;"Yes"),"",IF(O110&lt;&gt;"",O110+IF(L110="Low",3,IF(L110="Medium",7,21)),G110+IF(L110="Low",2,IF(L110="Medium",5,14))))</f>
        <v/>
      </c>
      <c r="O110" s="29"/>
      <c r="P110" s="5"/>
      <c r="Q110" s="5"/>
      <c r="R110" s="5"/>
    </row>
    <row r="111" spans="1:22">
      <c r="A111" s="7" t="str">
        <f t="shared" si="4"/>
        <v/>
      </c>
      <c r="B111" s="5"/>
      <c r="C111" s="5"/>
      <c r="D111" s="5"/>
      <c r="E111" s="5"/>
      <c r="F111" s="5"/>
      <c r="G111" s="29"/>
      <c r="H111" s="5"/>
      <c r="I111" s="5"/>
      <c r="J111" s="5"/>
      <c r="K111" s="5"/>
      <c r="L111" s="5"/>
      <c r="M111" s="5"/>
      <c r="N111" s="29" t="str">
        <f>IF(OR(B111="",M111&lt;&gt;"Yes"),"",IF(O111&lt;&gt;"",O111+IF(L111="Low",3,IF(L111="Medium",7,21)),G111+IF(L111="Low",2,IF(L111="Medium",5,14))))</f>
        <v/>
      </c>
      <c r="O111" s="29"/>
      <c r="P111" s="5"/>
      <c r="Q111" s="5"/>
      <c r="R111" s="5"/>
    </row>
    <row r="112" spans="1:22">
      <c r="A112" s="7" t="str">
        <f t="shared" si="4"/>
        <v/>
      </c>
      <c r="B112" s="5"/>
      <c r="C112" s="5"/>
      <c r="D112" s="5"/>
      <c r="E112" s="5"/>
      <c r="F112" s="5"/>
      <c r="G112" s="29"/>
      <c r="H112" s="5"/>
      <c r="I112" s="5"/>
      <c r="J112" s="5"/>
      <c r="K112" s="5"/>
      <c r="L112" s="5"/>
      <c r="M112" s="5"/>
      <c r="N112" s="29" t="str">
        <f>IF(OR(B112="",M112&lt;&gt;"Yes"),"",IF(O112&lt;&gt;"",O112+IF(L112="Low",3,IF(L112="Medium",7,21)),G112+IF(L112="Low",2,IF(L112="Medium",5,14))))</f>
        <v/>
      </c>
      <c r="O112" s="29"/>
      <c r="P112" s="5"/>
      <c r="Q112" s="5"/>
      <c r="R112" s="5"/>
    </row>
    <row r="113" spans="1:18">
      <c r="A113" s="7" t="str">
        <f t="shared" si="4"/>
        <v/>
      </c>
      <c r="B113" s="5"/>
      <c r="C113" s="5"/>
      <c r="D113" s="5"/>
      <c r="E113" s="5"/>
      <c r="F113" s="5"/>
      <c r="G113" s="29"/>
      <c r="H113" s="5"/>
      <c r="I113" s="5"/>
      <c r="J113" s="5"/>
      <c r="K113" s="5"/>
      <c r="L113" s="5"/>
      <c r="M113" s="5"/>
      <c r="N113" s="29" t="str">
        <f>IF(OR(B113="",M113&lt;&gt;"Yes"),"",IF(O113&lt;&gt;"",O113+IF(L113="Low",3,IF(L113="Medium",7,21)),G113+IF(L113="Low",2,IF(L113="Medium",5,14))))</f>
        <v/>
      </c>
      <c r="O113" s="29"/>
      <c r="P113" s="5"/>
      <c r="Q113" s="5"/>
      <c r="R113" s="5"/>
    </row>
    <row r="114" spans="1:18">
      <c r="A114" s="7" t="str">
        <f t="shared" si="4"/>
        <v/>
      </c>
      <c r="B114" s="5"/>
      <c r="C114" s="5"/>
      <c r="D114" s="5"/>
      <c r="E114" s="5"/>
      <c r="F114" s="5"/>
      <c r="G114" s="29"/>
      <c r="H114" s="5"/>
      <c r="I114" s="5"/>
      <c r="J114" s="5"/>
      <c r="K114" s="5"/>
      <c r="L114" s="5"/>
      <c r="M114" s="5"/>
      <c r="N114" s="29" t="str">
        <f>IF(OR(B114="",M114&lt;&gt;"Yes"),"",IF(O114&lt;&gt;"",O114+IF(L114="Low",3,IF(L114="Medium",7,21)),G114+IF(L114="Low",2,IF(L114="Medium",5,14))))</f>
        <v/>
      </c>
      <c r="O114" s="29"/>
      <c r="P114" s="5"/>
      <c r="Q114" s="5"/>
      <c r="R114" s="5"/>
    </row>
    <row r="115" spans="1:18">
      <c r="A115" s="7" t="str">
        <f t="shared" si="4"/>
        <v/>
      </c>
      <c r="B115" s="5"/>
      <c r="C115" s="5"/>
      <c r="D115" s="5"/>
      <c r="E115" s="5"/>
      <c r="F115" s="5"/>
      <c r="G115" s="29"/>
      <c r="H115" s="5"/>
      <c r="I115" s="5"/>
      <c r="J115" s="5"/>
      <c r="K115" s="5"/>
      <c r="L115" s="5"/>
      <c r="M115" s="5"/>
      <c r="N115" s="29" t="str">
        <f>IF(OR(B115="",M115&lt;&gt;"Yes"),"",IF(O115&lt;&gt;"",O115+IF(L115="Low",3,IF(L115="Medium",7,21)),G115+IF(L115="Low",2,IF(L115="Medium",5,14))))</f>
        <v/>
      </c>
      <c r="O115" s="29"/>
      <c r="P115" s="5"/>
      <c r="Q115" s="5"/>
      <c r="R115" s="5"/>
    </row>
    <row r="116" spans="1:18">
      <c r="A116" s="7" t="str">
        <f t="shared" si="4"/>
        <v/>
      </c>
      <c r="B116" s="5"/>
      <c r="C116" s="5"/>
      <c r="D116" s="5"/>
      <c r="E116" s="5"/>
      <c r="F116" s="5"/>
      <c r="G116" s="29"/>
      <c r="H116" s="5"/>
      <c r="I116" s="5"/>
      <c r="J116" s="5"/>
      <c r="K116" s="5"/>
      <c r="L116" s="5"/>
      <c r="M116" s="5"/>
      <c r="N116" s="29" t="str">
        <f>IF(OR(B116="",M116&lt;&gt;"Yes"),"",IF(O116&lt;&gt;"",O116+IF(L116="Low",3,IF(L116="Medium",7,21)),G116+IF(L116="Low",2,IF(L116="Medium",5,14))))</f>
        <v/>
      </c>
      <c r="O116" s="29"/>
      <c r="P116" s="5"/>
      <c r="Q116" s="5"/>
      <c r="R116" s="5"/>
    </row>
    <row r="117" spans="1:18">
      <c r="A117" s="7" t="str">
        <f t="shared" si="4"/>
        <v/>
      </c>
      <c r="B117" s="5"/>
      <c r="C117" s="5"/>
      <c r="D117" s="5"/>
      <c r="E117" s="5"/>
      <c r="F117" s="5"/>
      <c r="G117" s="29"/>
      <c r="H117" s="5"/>
      <c r="I117" s="5"/>
      <c r="J117" s="5"/>
      <c r="K117" s="5"/>
      <c r="L117" s="5"/>
      <c r="M117" s="5"/>
      <c r="N117" s="29" t="str">
        <f>IF(OR(B117="",M117&lt;&gt;"Yes"),"",IF(O117&lt;&gt;"",O117+IF(L117="Low",3,IF(L117="Medium",7,21)),G117+IF(L117="Low",2,IF(L117="Medium",5,14))))</f>
        <v/>
      </c>
      <c r="O117" s="29"/>
      <c r="P117" s="5"/>
      <c r="Q117" s="5"/>
      <c r="R117" s="5"/>
    </row>
    <row r="118" spans="1:18">
      <c r="A118" s="7" t="str">
        <f t="shared" si="4"/>
        <v/>
      </c>
      <c r="B118" s="5"/>
      <c r="C118" s="5"/>
      <c r="D118" s="5"/>
      <c r="E118" s="5"/>
      <c r="F118" s="5"/>
      <c r="G118" s="29"/>
      <c r="H118" s="5"/>
      <c r="I118" s="5"/>
      <c r="J118" s="5"/>
      <c r="K118" s="5"/>
      <c r="L118" s="5"/>
      <c r="M118" s="5"/>
      <c r="N118" s="29" t="str">
        <f>IF(OR(B118="",M118&lt;&gt;"Yes"),"",IF(O118&lt;&gt;"",O118+IF(L118="Low",3,IF(L118="Medium",7,21)),G118+IF(L118="Low",2,IF(L118="Medium",5,14))))</f>
        <v/>
      </c>
      <c r="O118" s="29"/>
      <c r="P118" s="5"/>
      <c r="Q118" s="5"/>
      <c r="R118" s="5"/>
    </row>
    <row r="119" spans="1:18">
      <c r="A119" s="7" t="str">
        <f t="shared" si="4"/>
        <v/>
      </c>
      <c r="B119" s="5"/>
      <c r="C119" s="5"/>
      <c r="D119" s="5"/>
      <c r="E119" s="5"/>
      <c r="F119" s="5"/>
      <c r="G119" s="29"/>
      <c r="H119" s="5"/>
      <c r="I119" s="5"/>
      <c r="J119" s="5"/>
      <c r="K119" s="5"/>
      <c r="L119" s="5"/>
      <c r="M119" s="5"/>
      <c r="N119" s="29" t="str">
        <f>IF(OR(B119="",M119&lt;&gt;"Yes"),"",IF(O119&lt;&gt;"",O119+IF(L119="Low",3,IF(L119="Medium",7,21)),G119+IF(L119="Low",2,IF(L119="Medium",5,14))))</f>
        <v/>
      </c>
      <c r="O119" s="29"/>
      <c r="P119" s="5"/>
      <c r="Q119" s="5"/>
      <c r="R119" s="5"/>
    </row>
    <row r="120" spans="1:18">
      <c r="A120" s="7" t="str">
        <f t="shared" si="4"/>
        <v/>
      </c>
      <c r="B120" s="5"/>
      <c r="C120" s="5"/>
      <c r="D120" s="5"/>
      <c r="E120" s="5"/>
      <c r="F120" s="5"/>
      <c r="G120" s="29"/>
      <c r="H120" s="5"/>
      <c r="I120" s="5"/>
      <c r="J120" s="5"/>
      <c r="K120" s="5"/>
      <c r="L120" s="5"/>
      <c r="M120" s="5"/>
      <c r="N120" s="29" t="str">
        <f>IF(OR(B120="",M120&lt;&gt;"Yes"),"",IF(O120&lt;&gt;"",O120+IF(L120="Low",3,IF(L120="Medium",7,21)),G120+IF(L120="Low",2,IF(L120="Medium",5,14))))</f>
        <v/>
      </c>
      <c r="O120" s="29"/>
      <c r="P120" s="5"/>
      <c r="Q120" s="5"/>
      <c r="R120" s="5"/>
    </row>
    <row r="121" spans="1:18">
      <c r="A121" s="7" t="str">
        <f t="shared" si="4"/>
        <v/>
      </c>
      <c r="B121" s="5"/>
      <c r="C121" s="5"/>
      <c r="D121" s="5"/>
      <c r="E121" s="5"/>
      <c r="F121" s="5"/>
      <c r="G121" s="29"/>
      <c r="H121" s="5"/>
      <c r="I121" s="5"/>
      <c r="J121" s="5"/>
      <c r="K121" s="5"/>
      <c r="L121" s="5"/>
      <c r="M121" s="5"/>
      <c r="N121" s="29" t="str">
        <f>IF(OR(B121="",M121&lt;&gt;"Yes"),"",IF(O121&lt;&gt;"",O121+IF(L121="Low",3,IF(L121="Medium",7,21)),G121+IF(L121="Low",2,IF(L121="Medium",5,14))))</f>
        <v/>
      </c>
      <c r="O121" s="29"/>
      <c r="P121" s="5"/>
      <c r="Q121" s="5"/>
      <c r="R121" s="5"/>
    </row>
    <row r="122" spans="1:18">
      <c r="A122" s="7" t="str">
        <f t="shared" si="4"/>
        <v/>
      </c>
      <c r="B122" s="5"/>
      <c r="C122" s="5"/>
      <c r="D122" s="5"/>
      <c r="E122" s="5"/>
      <c r="F122" s="5"/>
      <c r="G122" s="29"/>
      <c r="H122" s="5"/>
      <c r="I122" s="5"/>
      <c r="J122" s="5"/>
      <c r="K122" s="5"/>
      <c r="L122" s="5"/>
      <c r="M122" s="5"/>
      <c r="N122" s="29" t="str">
        <f>IF(OR(B122="",M122&lt;&gt;"Yes"),"",IF(O122&lt;&gt;"",O122+IF(L122="Low",3,IF(L122="Medium",7,21)),G122+IF(L122="Low",2,IF(L122="Medium",5,14))))</f>
        <v/>
      </c>
      <c r="O122" s="29"/>
      <c r="P122" s="5"/>
      <c r="Q122" s="5"/>
      <c r="R122" s="5"/>
    </row>
    <row r="123" spans="1:18">
      <c r="A123" s="7" t="str">
        <f t="shared" si="4"/>
        <v/>
      </c>
      <c r="B123" s="5"/>
      <c r="C123" s="5"/>
      <c r="D123" s="5"/>
      <c r="E123" s="5"/>
      <c r="F123" s="5"/>
      <c r="G123" s="29"/>
      <c r="H123" s="5"/>
      <c r="I123" s="5"/>
      <c r="J123" s="5"/>
      <c r="K123" s="5"/>
      <c r="L123" s="5"/>
      <c r="M123" s="5"/>
      <c r="N123" s="29" t="str">
        <f>IF(OR(B123="",M123&lt;&gt;"Yes"),"",IF(O123&lt;&gt;"",O123+IF(L123="Low",3,IF(L123="Medium",7,21)),G123+IF(L123="Low",2,IF(L123="Medium",5,14))))</f>
        <v/>
      </c>
      <c r="O123" s="29"/>
      <c r="P123" s="5"/>
      <c r="Q123" s="5"/>
      <c r="R123" s="5"/>
    </row>
    <row r="124" spans="1:18">
      <c r="A124" s="7" t="str">
        <f t="shared" si="4"/>
        <v/>
      </c>
      <c r="B124" s="5"/>
      <c r="C124" s="5"/>
      <c r="D124" s="5"/>
      <c r="E124" s="5"/>
      <c r="F124" s="5"/>
      <c r="G124" s="29"/>
      <c r="H124" s="5"/>
      <c r="I124" s="5"/>
      <c r="J124" s="5"/>
      <c r="K124" s="5"/>
      <c r="L124" s="5"/>
      <c r="M124" s="5"/>
      <c r="N124" s="29" t="str">
        <f>IF(OR(B124="",M124&lt;&gt;"Yes"),"",IF(O124&lt;&gt;"",O124+IF(L124="Low",3,IF(L124="Medium",7,21)),G124+IF(L124="Low",2,IF(L124="Medium",5,14))))</f>
        <v/>
      </c>
      <c r="O124" s="29"/>
      <c r="P124" s="5"/>
      <c r="Q124" s="5"/>
      <c r="R124" s="5"/>
    </row>
    <row r="125" spans="1:18">
      <c r="A125" s="7" t="str">
        <f t="shared" si="4"/>
        <v/>
      </c>
      <c r="B125" s="5"/>
      <c r="C125" s="5"/>
      <c r="D125" s="5"/>
      <c r="E125" s="5"/>
      <c r="F125" s="5"/>
      <c r="G125" s="29"/>
      <c r="H125" s="5"/>
      <c r="I125" s="5"/>
      <c r="J125" s="5"/>
      <c r="K125" s="5"/>
      <c r="L125" s="5"/>
      <c r="M125" s="5"/>
      <c r="N125" s="29" t="str">
        <f>IF(OR(B125="",M125&lt;&gt;"Yes"),"",IF(O125&lt;&gt;"",O125+IF(L125="Low",3,IF(L125="Medium",7,21)),G125+IF(L125="Low",2,IF(L125="Medium",5,14))))</f>
        <v/>
      </c>
      <c r="O125" s="29"/>
      <c r="P125" s="5"/>
      <c r="Q125" s="5"/>
      <c r="R125" s="5"/>
    </row>
    <row r="126" spans="1:18">
      <c r="A126" s="7" t="str">
        <f t="shared" si="4"/>
        <v/>
      </c>
      <c r="B126" s="5"/>
      <c r="C126" s="5"/>
      <c r="D126" s="5"/>
      <c r="E126" s="5"/>
      <c r="F126" s="5"/>
      <c r="G126" s="29"/>
      <c r="H126" s="5"/>
      <c r="I126" s="5"/>
      <c r="J126" s="5"/>
      <c r="K126" s="5"/>
      <c r="L126" s="5"/>
      <c r="M126" s="5"/>
      <c r="N126" s="29" t="str">
        <f>IF(OR(B126="",M126&lt;&gt;"Yes"),"",IF(O126&lt;&gt;"",O126+IF(L126="Low",3,IF(L126="Medium",7,21)),G126+IF(L126="Low",2,IF(L126="Medium",5,14))))</f>
        <v/>
      </c>
      <c r="O126" s="29"/>
      <c r="P126" s="5"/>
      <c r="Q126" s="5"/>
      <c r="R126" s="5"/>
    </row>
    <row r="127" spans="1:18">
      <c r="A127" s="7" t="str">
        <f t="shared" si="4"/>
        <v/>
      </c>
      <c r="B127" s="5"/>
      <c r="C127" s="5"/>
      <c r="D127" s="5"/>
      <c r="E127" s="5"/>
      <c r="F127" s="5"/>
      <c r="G127" s="29"/>
      <c r="H127" s="5"/>
      <c r="I127" s="5"/>
      <c r="J127" s="5"/>
      <c r="K127" s="5"/>
      <c r="L127" s="5"/>
      <c r="M127" s="5"/>
      <c r="N127" s="29" t="str">
        <f>IF(OR(B127="",M127&lt;&gt;"Yes"),"",IF(O127&lt;&gt;"",O127+IF(L127="Low",3,IF(L127="Medium",7,21)),G127+IF(L127="Low",2,IF(L127="Medium",5,14))))</f>
        <v/>
      </c>
      <c r="O127" s="29"/>
      <c r="P127" s="5"/>
      <c r="Q127" s="5"/>
      <c r="R127" s="5"/>
    </row>
    <row r="128" spans="1:18">
      <c r="A128" s="7" t="str">
        <f t="shared" si="4"/>
        <v/>
      </c>
      <c r="B128" s="5"/>
      <c r="C128" s="5"/>
      <c r="D128" s="5"/>
      <c r="E128" s="5"/>
      <c r="F128" s="5"/>
      <c r="G128" s="29"/>
      <c r="H128" s="5"/>
      <c r="I128" s="5"/>
      <c r="J128" s="5"/>
      <c r="K128" s="5"/>
      <c r="L128" s="5"/>
      <c r="M128" s="5"/>
      <c r="N128" s="29" t="str">
        <f>IF(OR(B128="",M128&lt;&gt;"Yes"),"",IF(O128&lt;&gt;"",O128+IF(L128="Low",3,IF(L128="Medium",7,21)),G128+IF(L128="Low",2,IF(L128="Medium",5,14))))</f>
        <v/>
      </c>
      <c r="O128" s="29"/>
      <c r="P128" s="5"/>
      <c r="Q128" s="5"/>
      <c r="R128" s="5"/>
    </row>
    <row r="129" spans="1:18">
      <c r="A129" s="7" t="str">
        <f t="shared" ref="A129:A192" si="7">IF(B129="","",ROW()-3)</f>
        <v/>
      </c>
      <c r="B129" s="5"/>
      <c r="C129" s="5"/>
      <c r="D129" s="5"/>
      <c r="E129" s="5"/>
      <c r="F129" s="5"/>
      <c r="G129" s="29"/>
      <c r="H129" s="5"/>
      <c r="I129" s="5"/>
      <c r="J129" s="5"/>
      <c r="K129" s="5"/>
      <c r="L129" s="5"/>
      <c r="M129" s="5"/>
      <c r="N129" s="29" t="str">
        <f>IF(OR(B129="",M129&lt;&gt;"Yes"),"",IF(O129&lt;&gt;"",O129+IF(L129="Low",3,IF(L129="Medium",7,21)),G129+IF(L129="Low",2,IF(L129="Medium",5,14))))</f>
        <v/>
      </c>
      <c r="O129" s="29"/>
      <c r="P129" s="5"/>
      <c r="Q129" s="5"/>
      <c r="R129" s="5"/>
    </row>
    <row r="130" spans="1:18">
      <c r="A130" s="7" t="str">
        <f t="shared" si="7"/>
        <v/>
      </c>
      <c r="B130" s="5"/>
      <c r="C130" s="5"/>
      <c r="D130" s="5"/>
      <c r="E130" s="5"/>
      <c r="F130" s="5"/>
      <c r="G130" s="29"/>
      <c r="H130" s="5"/>
      <c r="I130" s="5"/>
      <c r="J130" s="5"/>
      <c r="K130" s="5"/>
      <c r="L130" s="5"/>
      <c r="M130" s="5"/>
      <c r="N130" s="29" t="str">
        <f>IF(OR(B130="",M130&lt;&gt;"Yes"),"",IF(O130&lt;&gt;"",O130+IF(L130="Low",3,IF(L130="Medium",7,21)),G130+IF(L130="Low",2,IF(L130="Medium",5,14))))</f>
        <v/>
      </c>
      <c r="O130" s="29"/>
      <c r="P130" s="5"/>
      <c r="Q130" s="5"/>
      <c r="R130" s="5"/>
    </row>
    <row r="131" spans="1:18">
      <c r="A131" s="7" t="str">
        <f t="shared" si="7"/>
        <v/>
      </c>
      <c r="B131" s="5"/>
      <c r="C131" s="5"/>
      <c r="D131" s="5"/>
      <c r="E131" s="5"/>
      <c r="F131" s="5"/>
      <c r="G131" s="29"/>
      <c r="H131" s="5"/>
      <c r="I131" s="5"/>
      <c r="J131" s="5"/>
      <c r="K131" s="5"/>
      <c r="L131" s="5"/>
      <c r="M131" s="5"/>
      <c r="N131" s="29" t="str">
        <f>IF(OR(B131="",M131&lt;&gt;"Yes"),"",IF(O131&lt;&gt;"",O131+IF(L131="Low",3,IF(L131="Medium",7,21)),G131+IF(L131="Low",2,IF(L131="Medium",5,14))))</f>
        <v/>
      </c>
      <c r="O131" s="29"/>
      <c r="P131" s="5"/>
      <c r="Q131" s="5"/>
      <c r="R131" s="5"/>
    </row>
    <row r="132" spans="1:18">
      <c r="A132" s="7" t="str">
        <f t="shared" si="7"/>
        <v/>
      </c>
      <c r="B132" s="5"/>
      <c r="C132" s="5"/>
      <c r="D132" s="5"/>
      <c r="E132" s="5"/>
      <c r="F132" s="5"/>
      <c r="G132" s="29"/>
      <c r="H132" s="5"/>
      <c r="I132" s="5"/>
      <c r="J132" s="5"/>
      <c r="K132" s="5"/>
      <c r="L132" s="5"/>
      <c r="M132" s="5"/>
      <c r="N132" s="29" t="str">
        <f>IF(OR(B132="",M132&lt;&gt;"Yes"),"",IF(O132&lt;&gt;"",O132+IF(L132="Low",3,IF(L132="Medium",7,21)),G132+IF(L132="Low",2,IF(L132="Medium",5,14))))</f>
        <v/>
      </c>
      <c r="O132" s="29"/>
      <c r="P132" s="5"/>
      <c r="Q132" s="5"/>
      <c r="R132" s="5"/>
    </row>
    <row r="133" spans="1:18">
      <c r="A133" s="7" t="str">
        <f t="shared" si="7"/>
        <v/>
      </c>
      <c r="B133" s="5"/>
      <c r="C133" s="5"/>
      <c r="D133" s="5"/>
      <c r="E133" s="5"/>
      <c r="F133" s="5"/>
      <c r="G133" s="29"/>
      <c r="H133" s="5"/>
      <c r="I133" s="5"/>
      <c r="J133" s="5"/>
      <c r="K133" s="5"/>
      <c r="L133" s="5"/>
      <c r="M133" s="5"/>
      <c r="N133" s="29" t="str">
        <f>IF(OR(B133="",M133&lt;&gt;"Yes"),"",IF(O133&lt;&gt;"",O133+IF(L133="Low",3,IF(L133="Medium",7,21)),G133+IF(L133="Low",2,IF(L133="Medium",5,14))))</f>
        <v/>
      </c>
      <c r="O133" s="29"/>
      <c r="P133" s="5"/>
      <c r="Q133" s="5"/>
      <c r="R133" s="5"/>
    </row>
    <row r="134" spans="1:18">
      <c r="A134" s="7" t="str">
        <f t="shared" si="7"/>
        <v/>
      </c>
      <c r="B134" s="5"/>
      <c r="C134" s="5"/>
      <c r="D134" s="5"/>
      <c r="E134" s="5"/>
      <c r="F134" s="5"/>
      <c r="G134" s="29"/>
      <c r="H134" s="5"/>
      <c r="I134" s="5"/>
      <c r="J134" s="5"/>
      <c r="K134" s="5"/>
      <c r="L134" s="5"/>
      <c r="M134" s="5"/>
      <c r="N134" s="29" t="str">
        <f>IF(OR(B134="",M134&lt;&gt;"Yes"),"",IF(O134&lt;&gt;"",O134+IF(L134="Low",3,IF(L134="Medium",7,21)),G134+IF(L134="Low",2,IF(L134="Medium",5,14))))</f>
        <v/>
      </c>
      <c r="O134" s="29"/>
      <c r="P134" s="5"/>
      <c r="Q134" s="5"/>
      <c r="R134" s="5"/>
    </row>
    <row r="135" spans="1:18">
      <c r="A135" s="7" t="str">
        <f t="shared" si="7"/>
        <v/>
      </c>
      <c r="B135" s="5"/>
      <c r="C135" s="5"/>
      <c r="D135" s="5"/>
      <c r="E135" s="5"/>
      <c r="F135" s="5"/>
      <c r="G135" s="29"/>
      <c r="H135" s="5"/>
      <c r="I135" s="5"/>
      <c r="J135" s="5"/>
      <c r="K135" s="5"/>
      <c r="L135" s="5"/>
      <c r="M135" s="5"/>
      <c r="N135" s="29" t="str">
        <f>IF(OR(B135="",M135&lt;&gt;"Yes"),"",IF(O135&lt;&gt;"",O135+IF(L135="Low",3,IF(L135="Medium",7,21)),G135+IF(L135="Low",2,IF(L135="Medium",5,14))))</f>
        <v/>
      </c>
      <c r="O135" s="29"/>
      <c r="P135" s="5"/>
      <c r="Q135" s="5"/>
      <c r="R135" s="5"/>
    </row>
    <row r="136" spans="1:18">
      <c r="A136" s="7" t="str">
        <f t="shared" si="7"/>
        <v/>
      </c>
      <c r="B136" s="5"/>
      <c r="C136" s="5"/>
      <c r="D136" s="5"/>
      <c r="E136" s="5"/>
      <c r="F136" s="5"/>
      <c r="G136" s="29"/>
      <c r="H136" s="5"/>
      <c r="I136" s="5"/>
      <c r="J136" s="5"/>
      <c r="K136" s="5"/>
      <c r="L136" s="5"/>
      <c r="M136" s="5"/>
      <c r="N136" s="29" t="str">
        <f>IF(OR(B136="",M136&lt;&gt;"Yes"),"",IF(O136&lt;&gt;"",O136+IF(L136="Low",3,IF(L136="Medium",7,21)),G136+IF(L136="Low",2,IF(L136="Medium",5,14))))</f>
        <v/>
      </c>
      <c r="O136" s="29"/>
      <c r="P136" s="5"/>
      <c r="Q136" s="5"/>
      <c r="R136" s="5"/>
    </row>
    <row r="137" spans="1:18">
      <c r="A137" s="7" t="str">
        <f t="shared" si="7"/>
        <v/>
      </c>
      <c r="B137" s="5"/>
      <c r="C137" s="5"/>
      <c r="D137" s="5"/>
      <c r="E137" s="5"/>
      <c r="F137" s="5"/>
      <c r="G137" s="29"/>
      <c r="H137" s="5"/>
      <c r="I137" s="5"/>
      <c r="J137" s="5"/>
      <c r="K137" s="5"/>
      <c r="L137" s="5"/>
      <c r="M137" s="5"/>
      <c r="N137" s="29" t="str">
        <f>IF(OR(B137="",M137&lt;&gt;"Yes"),"",IF(O137&lt;&gt;"",O137+IF(L137="Low",3,IF(L137="Medium",7,21)),G137+IF(L137="Low",2,IF(L137="Medium",5,14))))</f>
        <v/>
      </c>
      <c r="O137" s="29"/>
      <c r="P137" s="5"/>
      <c r="Q137" s="5"/>
      <c r="R137" s="5"/>
    </row>
    <row r="138" spans="1:18">
      <c r="A138" s="7" t="str">
        <f t="shared" si="7"/>
        <v/>
      </c>
      <c r="B138" s="5"/>
      <c r="C138" s="5"/>
      <c r="D138" s="5"/>
      <c r="E138" s="5"/>
      <c r="F138" s="5"/>
      <c r="G138" s="29"/>
      <c r="H138" s="5"/>
      <c r="I138" s="5"/>
      <c r="J138" s="5"/>
      <c r="K138" s="5"/>
      <c r="L138" s="5"/>
      <c r="M138" s="5"/>
      <c r="N138" s="29" t="str">
        <f>IF(OR(B138="",M138&lt;&gt;"Yes"),"",IF(O138&lt;&gt;"",O138+IF(L138="Low",3,IF(L138="Medium",7,21)),G138+IF(L138="Low",2,IF(L138="Medium",5,14))))</f>
        <v/>
      </c>
      <c r="O138" s="29"/>
      <c r="P138" s="5"/>
      <c r="Q138" s="5"/>
      <c r="R138" s="5"/>
    </row>
    <row r="139" spans="1:18">
      <c r="A139" s="7" t="str">
        <f t="shared" si="7"/>
        <v/>
      </c>
      <c r="B139" s="5"/>
      <c r="C139" s="5"/>
      <c r="D139" s="5"/>
      <c r="E139" s="5"/>
      <c r="F139" s="5"/>
      <c r="G139" s="29"/>
      <c r="H139" s="5"/>
      <c r="I139" s="5"/>
      <c r="J139" s="5"/>
      <c r="K139" s="5"/>
      <c r="L139" s="5"/>
      <c r="M139" s="5"/>
      <c r="N139" s="29" t="str">
        <f>IF(OR(B139="",M139&lt;&gt;"Yes"),"",IF(O139&lt;&gt;"",O139+IF(L139="Low",3,IF(L139="Medium",7,21)),G139+IF(L139="Low",2,IF(L139="Medium",5,14))))</f>
        <v/>
      </c>
      <c r="O139" s="29"/>
      <c r="P139" s="5"/>
      <c r="Q139" s="5"/>
      <c r="R139" s="5"/>
    </row>
    <row r="140" spans="1:18">
      <c r="A140" s="7" t="str">
        <f t="shared" si="7"/>
        <v/>
      </c>
      <c r="B140" s="5"/>
      <c r="C140" s="5"/>
      <c r="D140" s="5"/>
      <c r="E140" s="5"/>
      <c r="F140" s="5"/>
      <c r="G140" s="29"/>
      <c r="H140" s="5"/>
      <c r="I140" s="5"/>
      <c r="J140" s="5"/>
      <c r="K140" s="5"/>
      <c r="L140" s="5"/>
      <c r="M140" s="5"/>
      <c r="N140" s="29" t="str">
        <f>IF(OR(B140="",M140&lt;&gt;"Yes"),"",IF(O140&lt;&gt;"",O140+IF(L140="Low",3,IF(L140="Medium",7,21)),G140+IF(L140="Low",2,IF(L140="Medium",5,14))))</f>
        <v/>
      </c>
      <c r="O140" s="29"/>
      <c r="P140" s="5"/>
      <c r="Q140" s="5"/>
      <c r="R140" s="5"/>
    </row>
    <row r="141" spans="1:18">
      <c r="A141" s="7" t="str">
        <f t="shared" si="7"/>
        <v/>
      </c>
      <c r="B141" s="5"/>
      <c r="C141" s="5"/>
      <c r="D141" s="5"/>
      <c r="E141" s="5"/>
      <c r="F141" s="5"/>
      <c r="G141" s="29"/>
      <c r="H141" s="5"/>
      <c r="I141" s="5"/>
      <c r="J141" s="5"/>
      <c r="K141" s="5"/>
      <c r="L141" s="5"/>
      <c r="M141" s="5"/>
      <c r="N141" s="29" t="str">
        <f>IF(OR(B141="",M141&lt;&gt;"Yes"),"",IF(O141&lt;&gt;"",O141+IF(L141="Low",3,IF(L141="Medium",7,21)),G141+IF(L141="Low",2,IF(L141="Medium",5,14))))</f>
        <v/>
      </c>
      <c r="O141" s="29"/>
      <c r="P141" s="5"/>
      <c r="Q141" s="5"/>
      <c r="R141" s="5"/>
    </row>
    <row r="142" spans="1:18">
      <c r="A142" s="7" t="str">
        <f t="shared" si="7"/>
        <v/>
      </c>
      <c r="B142" s="5"/>
      <c r="C142" s="5"/>
      <c r="D142" s="5"/>
      <c r="E142" s="5"/>
      <c r="F142" s="5"/>
      <c r="G142" s="29"/>
      <c r="H142" s="5"/>
      <c r="I142" s="5"/>
      <c r="J142" s="5"/>
      <c r="K142" s="5"/>
      <c r="L142" s="5"/>
      <c r="M142" s="5"/>
      <c r="N142" s="29" t="str">
        <f>IF(OR(B142="",M142&lt;&gt;"Yes"),"",IF(O142&lt;&gt;"",O142+IF(L142="Low",3,IF(L142="Medium",7,21)),G142+IF(L142="Low",2,IF(L142="Medium",5,14))))</f>
        <v/>
      </c>
      <c r="O142" s="29"/>
      <c r="P142" s="5"/>
      <c r="Q142" s="5"/>
      <c r="R142" s="5"/>
    </row>
    <row r="143" spans="1:18">
      <c r="A143" s="7" t="str">
        <f t="shared" si="7"/>
        <v/>
      </c>
      <c r="B143" s="5"/>
      <c r="C143" s="5"/>
      <c r="D143" s="5"/>
      <c r="E143" s="5"/>
      <c r="F143" s="5"/>
      <c r="G143" s="29"/>
      <c r="H143" s="5"/>
      <c r="I143" s="5"/>
      <c r="J143" s="5"/>
      <c r="K143" s="5"/>
      <c r="L143" s="5"/>
      <c r="M143" s="5"/>
      <c r="N143" s="29" t="str">
        <f>IF(OR(B143="",M143&lt;&gt;"Yes"),"",IF(O143&lt;&gt;"",O143+IF(L143="Low",3,IF(L143="Medium",7,21)),G143+IF(L143="Low",2,IF(L143="Medium",5,14))))</f>
        <v/>
      </c>
      <c r="O143" s="29"/>
      <c r="P143" s="5"/>
      <c r="Q143" s="5"/>
      <c r="R143" s="5"/>
    </row>
    <row r="144" spans="1:18">
      <c r="A144" s="7" t="str">
        <f t="shared" si="7"/>
        <v/>
      </c>
      <c r="B144" s="5"/>
      <c r="C144" s="5"/>
      <c r="D144" s="5"/>
      <c r="E144" s="5"/>
      <c r="F144" s="5"/>
      <c r="G144" s="29"/>
      <c r="H144" s="5"/>
      <c r="I144" s="5"/>
      <c r="J144" s="5"/>
      <c r="K144" s="5"/>
      <c r="L144" s="5"/>
      <c r="M144" s="5"/>
      <c r="N144" s="29" t="str">
        <f>IF(OR(B144="",M144&lt;&gt;"Yes"),"",IF(O144&lt;&gt;"",O144+IF(L144="Low",3,IF(L144="Medium",7,21)),G144+IF(L144="Low",2,IF(L144="Medium",5,14))))</f>
        <v/>
      </c>
      <c r="O144" s="29"/>
      <c r="P144" s="5"/>
      <c r="Q144" s="5"/>
      <c r="R144" s="5"/>
    </row>
    <row r="145" spans="1:18">
      <c r="A145" s="7" t="str">
        <f t="shared" si="7"/>
        <v/>
      </c>
      <c r="B145" s="5"/>
      <c r="C145" s="5"/>
      <c r="D145" s="5"/>
      <c r="E145" s="5"/>
      <c r="F145" s="5"/>
      <c r="G145" s="29"/>
      <c r="H145" s="5"/>
      <c r="I145" s="5"/>
      <c r="J145" s="5"/>
      <c r="K145" s="5"/>
      <c r="L145" s="5"/>
      <c r="M145" s="5"/>
      <c r="N145" s="29" t="str">
        <f>IF(OR(B145="",M145&lt;&gt;"Yes"),"",IF(O145&lt;&gt;"",O145+IF(L145="Low",3,IF(L145="Medium",7,21)),G145+IF(L145="Low",2,IF(L145="Medium",5,14))))</f>
        <v/>
      </c>
      <c r="O145" s="29"/>
      <c r="P145" s="5"/>
      <c r="Q145" s="5"/>
      <c r="R145" s="5"/>
    </row>
    <row r="146" spans="1:18">
      <c r="A146" s="7" t="str">
        <f t="shared" si="7"/>
        <v/>
      </c>
      <c r="B146" s="5"/>
      <c r="C146" s="5"/>
      <c r="D146" s="5"/>
      <c r="E146" s="5"/>
      <c r="F146" s="5"/>
      <c r="G146" s="29"/>
      <c r="H146" s="5"/>
      <c r="I146" s="5"/>
      <c r="J146" s="5"/>
      <c r="K146" s="5"/>
      <c r="L146" s="5"/>
      <c r="M146" s="5"/>
      <c r="N146" s="29" t="str">
        <f>IF(OR(B146="",M146&lt;&gt;"Yes"),"",IF(O146&lt;&gt;"",O146+IF(L146="Low",3,IF(L146="Medium",7,21)),G146+IF(L146="Low",2,IF(L146="Medium",5,14))))</f>
        <v/>
      </c>
      <c r="O146" s="29"/>
      <c r="P146" s="5"/>
      <c r="Q146" s="5"/>
      <c r="R146" s="5"/>
    </row>
    <row r="147" spans="1:18">
      <c r="A147" s="7" t="str">
        <f t="shared" si="7"/>
        <v/>
      </c>
      <c r="B147" s="5"/>
      <c r="C147" s="5"/>
      <c r="D147" s="5"/>
      <c r="E147" s="5"/>
      <c r="F147" s="5"/>
      <c r="G147" s="29"/>
      <c r="H147" s="5"/>
      <c r="I147" s="5"/>
      <c r="J147" s="5"/>
      <c r="K147" s="5"/>
      <c r="L147" s="5"/>
      <c r="M147" s="5"/>
      <c r="N147" s="29" t="str">
        <f>IF(OR(B147="",M147&lt;&gt;"Yes"),"",IF(O147&lt;&gt;"",O147+IF(L147="Low",3,IF(L147="Medium",7,21)),G147+IF(L147="Low",2,IF(L147="Medium",5,14))))</f>
        <v/>
      </c>
      <c r="O147" s="29"/>
      <c r="P147" s="5"/>
      <c r="Q147" s="5"/>
      <c r="R147" s="5"/>
    </row>
    <row r="148" spans="1:18">
      <c r="A148" s="7" t="str">
        <f t="shared" si="7"/>
        <v/>
      </c>
      <c r="B148" s="5"/>
      <c r="C148" s="5"/>
      <c r="D148" s="5"/>
      <c r="E148" s="5"/>
      <c r="F148" s="5"/>
      <c r="G148" s="29"/>
      <c r="H148" s="5"/>
      <c r="I148" s="5"/>
      <c r="J148" s="5"/>
      <c r="K148" s="5"/>
      <c r="L148" s="5"/>
      <c r="M148" s="5"/>
      <c r="N148" s="29" t="str">
        <f>IF(OR(B148="",M148&lt;&gt;"Yes"),"",IF(O148&lt;&gt;"",O148+IF(L148="Low",3,IF(L148="Medium",7,21)),G148+IF(L148="Low",2,IF(L148="Medium",5,14))))</f>
        <v/>
      </c>
      <c r="O148" s="29"/>
      <c r="P148" s="5"/>
      <c r="Q148" s="5"/>
      <c r="R148" s="5"/>
    </row>
    <row r="149" spans="1:18">
      <c r="A149" s="7" t="str">
        <f t="shared" si="7"/>
        <v/>
      </c>
      <c r="B149" s="5"/>
      <c r="C149" s="5"/>
      <c r="D149" s="5"/>
      <c r="E149" s="5"/>
      <c r="F149" s="5"/>
      <c r="G149" s="29"/>
      <c r="H149" s="5"/>
      <c r="I149" s="5"/>
      <c r="J149" s="5"/>
      <c r="K149" s="5"/>
      <c r="L149" s="5"/>
      <c r="M149" s="5"/>
      <c r="N149" s="29" t="str">
        <f>IF(OR(B149="",M149&lt;&gt;"Yes"),"",IF(O149&lt;&gt;"",O149+IF(L149="Low",3,IF(L149="Medium",7,21)),G149+IF(L149="Low",2,IF(L149="Medium",5,14))))</f>
        <v/>
      </c>
      <c r="O149" s="29"/>
      <c r="P149" s="5"/>
      <c r="Q149" s="5"/>
      <c r="R149" s="5"/>
    </row>
    <row r="150" spans="1:18">
      <c r="A150" s="7" t="str">
        <f t="shared" si="7"/>
        <v/>
      </c>
      <c r="B150" s="5"/>
      <c r="C150" s="5"/>
      <c r="D150" s="5"/>
      <c r="E150" s="5"/>
      <c r="F150" s="5"/>
      <c r="G150" s="29"/>
      <c r="H150" s="5"/>
      <c r="I150" s="5"/>
      <c r="J150" s="5"/>
      <c r="K150" s="5"/>
      <c r="L150" s="5"/>
      <c r="M150" s="5"/>
      <c r="N150" s="29" t="str">
        <f>IF(OR(B150="",M150&lt;&gt;"Yes"),"",IF(O150&lt;&gt;"",O150+IF(L150="Low",3,IF(L150="Medium",7,21)),G150+IF(L150="Low",2,IF(L150="Medium",5,14))))</f>
        <v/>
      </c>
      <c r="O150" s="29"/>
      <c r="P150" s="5"/>
      <c r="Q150" s="5"/>
      <c r="R150" s="5"/>
    </row>
    <row r="151" spans="1:18">
      <c r="A151" s="7" t="str">
        <f t="shared" si="7"/>
        <v/>
      </c>
      <c r="B151" s="5"/>
      <c r="C151" s="5"/>
      <c r="D151" s="5"/>
      <c r="E151" s="5"/>
      <c r="F151" s="5"/>
      <c r="G151" s="29"/>
      <c r="H151" s="5"/>
      <c r="I151" s="5"/>
      <c r="J151" s="5"/>
      <c r="K151" s="5"/>
      <c r="L151" s="5"/>
      <c r="M151" s="5"/>
      <c r="N151" s="29" t="str">
        <f>IF(OR(B151="",M151&lt;&gt;"Yes"),"",IF(O151&lt;&gt;"",O151+IF(L151="Low",3,IF(L151="Medium",7,21)),G151+IF(L151="Low",2,IF(L151="Medium",5,14))))</f>
        <v/>
      </c>
      <c r="O151" s="29"/>
      <c r="P151" s="5"/>
      <c r="Q151" s="5"/>
      <c r="R151" s="5"/>
    </row>
    <row r="152" spans="1:18">
      <c r="A152" s="7" t="str">
        <f t="shared" si="7"/>
        <v/>
      </c>
      <c r="B152" s="5"/>
      <c r="C152" s="5"/>
      <c r="D152" s="5"/>
      <c r="E152" s="5"/>
      <c r="F152" s="5"/>
      <c r="G152" s="29"/>
      <c r="H152" s="5"/>
      <c r="I152" s="5"/>
      <c r="J152" s="5"/>
      <c r="K152" s="5"/>
      <c r="L152" s="5"/>
      <c r="M152" s="5"/>
      <c r="N152" s="29" t="str">
        <f>IF(OR(B152="",M152&lt;&gt;"Yes"),"",IF(O152&lt;&gt;"",O152+IF(L152="Low",3,IF(L152="Medium",7,21)),G152+IF(L152="Low",2,IF(L152="Medium",5,14))))</f>
        <v/>
      </c>
      <c r="O152" s="29"/>
      <c r="P152" s="5"/>
      <c r="Q152" s="5"/>
      <c r="R152" s="5"/>
    </row>
    <row r="153" spans="1:18">
      <c r="A153" s="7" t="str">
        <f t="shared" si="7"/>
        <v/>
      </c>
      <c r="B153" s="5"/>
      <c r="C153" s="5"/>
      <c r="D153" s="5"/>
      <c r="E153" s="5"/>
      <c r="F153" s="5"/>
      <c r="G153" s="29"/>
      <c r="H153" s="5"/>
      <c r="I153" s="5"/>
      <c r="J153" s="5"/>
      <c r="K153" s="5"/>
      <c r="L153" s="5"/>
      <c r="M153" s="5"/>
      <c r="N153" s="29" t="str">
        <f>IF(OR(B153="",M153&lt;&gt;"Yes"),"",IF(O153&lt;&gt;"",O153+IF(L153="Low",3,IF(L153="Medium",7,21)),G153+IF(L153="Low",2,IF(L153="Medium",5,14))))</f>
        <v/>
      </c>
      <c r="O153" s="29"/>
      <c r="P153" s="5"/>
      <c r="Q153" s="5"/>
      <c r="R153" s="5"/>
    </row>
    <row r="154" spans="1:18">
      <c r="A154" s="7" t="str">
        <f t="shared" si="7"/>
        <v/>
      </c>
      <c r="B154" s="5"/>
      <c r="C154" s="5"/>
      <c r="D154" s="5"/>
      <c r="E154" s="5"/>
      <c r="F154" s="5"/>
      <c r="G154" s="29"/>
      <c r="H154" s="5"/>
      <c r="I154" s="5"/>
      <c r="J154" s="5"/>
      <c r="K154" s="5"/>
      <c r="L154" s="5"/>
      <c r="M154" s="5"/>
      <c r="N154" s="29" t="str">
        <f>IF(OR(B154="",M154&lt;&gt;"Yes"),"",IF(O154&lt;&gt;"",O154+IF(L154="Low",3,IF(L154="Medium",7,21)),G154+IF(L154="Low",2,IF(L154="Medium",5,14))))</f>
        <v/>
      </c>
      <c r="O154" s="29"/>
      <c r="P154" s="5"/>
      <c r="Q154" s="5"/>
      <c r="R154" s="5"/>
    </row>
    <row r="155" spans="1:18">
      <c r="A155" s="7" t="str">
        <f t="shared" si="7"/>
        <v/>
      </c>
      <c r="B155" s="5"/>
      <c r="C155" s="5"/>
      <c r="D155" s="5"/>
      <c r="E155" s="5"/>
      <c r="F155" s="5"/>
      <c r="G155" s="29"/>
      <c r="H155" s="5"/>
      <c r="I155" s="5"/>
      <c r="J155" s="5"/>
      <c r="K155" s="5"/>
      <c r="L155" s="5"/>
      <c r="M155" s="5"/>
      <c r="N155" s="29" t="str">
        <f>IF(OR(B155="",M155&lt;&gt;"Yes"),"",IF(O155&lt;&gt;"",O155+IF(L155="Low",3,IF(L155="Medium",7,21)),G155+IF(L155="Low",2,IF(L155="Medium",5,14))))</f>
        <v/>
      </c>
      <c r="O155" s="29"/>
      <c r="P155" s="5"/>
      <c r="Q155" s="5"/>
      <c r="R155" s="5"/>
    </row>
    <row r="156" spans="1:18">
      <c r="A156" s="7" t="str">
        <f t="shared" si="7"/>
        <v/>
      </c>
      <c r="B156" s="5"/>
      <c r="C156" s="5"/>
      <c r="D156" s="5"/>
      <c r="E156" s="5"/>
      <c r="F156" s="5"/>
      <c r="G156" s="29"/>
      <c r="H156" s="5"/>
      <c r="I156" s="5"/>
      <c r="J156" s="5"/>
      <c r="K156" s="5"/>
      <c r="L156" s="5"/>
      <c r="M156" s="5"/>
      <c r="N156" s="29" t="str">
        <f>IF(OR(B156="",M156&lt;&gt;"Yes"),"",IF(O156&lt;&gt;"",O156+IF(L156="Low",3,IF(L156="Medium",7,21)),G156+IF(L156="Low",2,IF(L156="Medium",5,14))))</f>
        <v/>
      </c>
      <c r="O156" s="29"/>
      <c r="P156" s="5"/>
      <c r="Q156" s="5"/>
      <c r="R156" s="5"/>
    </row>
    <row r="157" spans="1:18">
      <c r="A157" s="7" t="str">
        <f t="shared" si="7"/>
        <v/>
      </c>
      <c r="B157" s="5"/>
      <c r="C157" s="5"/>
      <c r="D157" s="5"/>
      <c r="E157" s="5"/>
      <c r="F157" s="5"/>
      <c r="G157" s="29"/>
      <c r="H157" s="5"/>
      <c r="I157" s="5"/>
      <c r="J157" s="5"/>
      <c r="K157" s="5"/>
      <c r="L157" s="5"/>
      <c r="M157" s="5"/>
      <c r="N157" s="29" t="str">
        <f>IF(OR(B157="",M157&lt;&gt;"Yes"),"",IF(O157&lt;&gt;"",O157+IF(L157="Low",3,IF(L157="Medium",7,21)),G157+IF(L157="Low",2,IF(L157="Medium",5,14))))</f>
        <v/>
      </c>
      <c r="O157" s="29"/>
      <c r="P157" s="5"/>
      <c r="Q157" s="5"/>
      <c r="R157" s="5"/>
    </row>
    <row r="158" spans="1:18">
      <c r="A158" s="7" t="str">
        <f t="shared" si="7"/>
        <v/>
      </c>
      <c r="B158" s="5"/>
      <c r="C158" s="5"/>
      <c r="D158" s="5"/>
      <c r="E158" s="5"/>
      <c r="F158" s="5"/>
      <c r="G158" s="29"/>
      <c r="H158" s="5"/>
      <c r="I158" s="5"/>
      <c r="J158" s="5"/>
      <c r="K158" s="5"/>
      <c r="L158" s="5"/>
      <c r="M158" s="5"/>
      <c r="N158" s="29" t="str">
        <f>IF(OR(B158="",M158&lt;&gt;"Yes"),"",IF(O158&lt;&gt;"",O158+IF(L158="Low",3,IF(L158="Medium",7,21)),G158+IF(L158="Low",2,IF(L158="Medium",5,14))))</f>
        <v/>
      </c>
      <c r="O158" s="29"/>
      <c r="P158" s="5"/>
      <c r="Q158" s="5"/>
      <c r="R158" s="5"/>
    </row>
    <row r="159" spans="1:18">
      <c r="A159" s="7" t="str">
        <f t="shared" si="7"/>
        <v/>
      </c>
      <c r="B159" s="5"/>
      <c r="C159" s="5"/>
      <c r="D159" s="5"/>
      <c r="E159" s="5"/>
      <c r="F159" s="5"/>
      <c r="G159" s="29"/>
      <c r="H159" s="5"/>
      <c r="I159" s="5"/>
      <c r="J159" s="5"/>
      <c r="K159" s="5"/>
      <c r="L159" s="5"/>
      <c r="M159" s="5"/>
      <c r="N159" s="29" t="str">
        <f>IF(OR(B159="",M159&lt;&gt;"Yes"),"",IF(O159&lt;&gt;"",O159+IF(L159="Low",3,IF(L159="Medium",7,21)),G159+IF(L159="Low",2,IF(L159="Medium",5,14))))</f>
        <v/>
      </c>
      <c r="O159" s="29"/>
      <c r="P159" s="5"/>
      <c r="Q159" s="5"/>
      <c r="R159" s="5"/>
    </row>
    <row r="160" spans="1:18">
      <c r="A160" s="7" t="str">
        <f t="shared" si="7"/>
        <v/>
      </c>
      <c r="B160" s="5"/>
      <c r="C160" s="5"/>
      <c r="D160" s="5"/>
      <c r="E160" s="5"/>
      <c r="F160" s="5"/>
      <c r="G160" s="29"/>
      <c r="H160" s="5"/>
      <c r="I160" s="5"/>
      <c r="J160" s="5"/>
      <c r="K160" s="5"/>
      <c r="L160" s="5"/>
      <c r="M160" s="5"/>
      <c r="N160" s="29" t="str">
        <f>IF(OR(B160="",M160&lt;&gt;"Yes"),"",IF(O160&lt;&gt;"",O160+IF(L160="Low",3,IF(L160="Medium",7,21)),G160+IF(L160="Low",2,IF(L160="Medium",5,14))))</f>
        <v/>
      </c>
      <c r="O160" s="29"/>
      <c r="P160" s="5"/>
      <c r="Q160" s="5"/>
      <c r="R160" s="5"/>
    </row>
    <row r="161" spans="1:18">
      <c r="A161" s="7" t="str">
        <f t="shared" si="7"/>
        <v/>
      </c>
      <c r="B161" s="5"/>
      <c r="C161" s="5"/>
      <c r="D161" s="5"/>
      <c r="E161" s="5"/>
      <c r="F161" s="5"/>
      <c r="G161" s="29"/>
      <c r="H161" s="5"/>
      <c r="I161" s="5"/>
      <c r="J161" s="5"/>
      <c r="K161" s="5"/>
      <c r="L161" s="5"/>
      <c r="M161" s="5"/>
      <c r="N161" s="29" t="str">
        <f>IF(OR(B161="",M161&lt;&gt;"Yes"),"",IF(O161&lt;&gt;"",O161+IF(L161="Low",3,IF(L161="Medium",7,21)),G161+IF(L161="Low",2,IF(L161="Medium",5,14))))</f>
        <v/>
      </c>
      <c r="O161" s="29"/>
      <c r="P161" s="5"/>
      <c r="Q161" s="5"/>
      <c r="R161" s="5"/>
    </row>
    <row r="162" spans="1:18">
      <c r="A162" s="7" t="str">
        <f t="shared" si="7"/>
        <v/>
      </c>
      <c r="B162" s="5"/>
      <c r="C162" s="5"/>
      <c r="D162" s="5"/>
      <c r="E162" s="5"/>
      <c r="F162" s="5"/>
      <c r="G162" s="29"/>
      <c r="H162" s="5"/>
      <c r="I162" s="5"/>
      <c r="J162" s="5"/>
      <c r="K162" s="5"/>
      <c r="L162" s="5"/>
      <c r="M162" s="5"/>
      <c r="N162" s="29" t="str">
        <f>IF(OR(B162="",M162&lt;&gt;"Yes"),"",IF(O162&lt;&gt;"",O162+IF(L162="Low",3,IF(L162="Medium",7,21)),G162+IF(L162="Low",2,IF(L162="Medium",5,14))))</f>
        <v/>
      </c>
      <c r="O162" s="29"/>
      <c r="P162" s="5"/>
      <c r="Q162" s="5"/>
      <c r="R162" s="5"/>
    </row>
    <row r="163" spans="1:18">
      <c r="A163" s="7" t="str">
        <f t="shared" si="7"/>
        <v/>
      </c>
      <c r="B163" s="5"/>
      <c r="C163" s="5"/>
      <c r="D163" s="5"/>
      <c r="E163" s="5"/>
      <c r="F163" s="5"/>
      <c r="G163" s="29"/>
      <c r="H163" s="5"/>
      <c r="I163" s="5"/>
      <c r="J163" s="5"/>
      <c r="K163" s="5"/>
      <c r="L163" s="5"/>
      <c r="M163" s="5"/>
      <c r="N163" s="29" t="str">
        <f>IF(OR(B163="",M163&lt;&gt;"Yes"),"",IF(O163&lt;&gt;"",O163+IF(L163="Low",3,IF(L163="Medium",7,21)),G163+IF(L163="Low",2,IF(L163="Medium",5,14))))</f>
        <v/>
      </c>
      <c r="O163" s="29"/>
      <c r="P163" s="5"/>
      <c r="Q163" s="5"/>
      <c r="R163" s="5"/>
    </row>
    <row r="164" spans="1:18">
      <c r="A164" s="7" t="str">
        <f t="shared" si="7"/>
        <v/>
      </c>
      <c r="B164" s="5"/>
      <c r="C164" s="5"/>
      <c r="D164" s="5"/>
      <c r="E164" s="5"/>
      <c r="F164" s="5"/>
      <c r="G164" s="29"/>
      <c r="H164" s="5"/>
      <c r="I164" s="5"/>
      <c r="J164" s="5"/>
      <c r="K164" s="5"/>
      <c r="L164" s="5"/>
      <c r="M164" s="5"/>
      <c r="N164" s="29" t="str">
        <f>IF(OR(B164="",M164&lt;&gt;"Yes"),"",IF(O164&lt;&gt;"",O164+IF(L164="Low",3,IF(L164="Medium",7,21)),G164+IF(L164="Low",2,IF(L164="Medium",5,14))))</f>
        <v/>
      </c>
      <c r="O164" s="29"/>
      <c r="P164" s="5"/>
      <c r="Q164" s="5"/>
      <c r="R164" s="5"/>
    </row>
    <row r="165" spans="1:18">
      <c r="A165" s="7" t="str">
        <f t="shared" si="7"/>
        <v/>
      </c>
      <c r="B165" s="5"/>
      <c r="C165" s="5"/>
      <c r="D165" s="5"/>
      <c r="E165" s="5"/>
      <c r="F165" s="5"/>
      <c r="G165" s="29"/>
      <c r="H165" s="5"/>
      <c r="I165" s="5"/>
      <c r="J165" s="5"/>
      <c r="K165" s="5"/>
      <c r="L165" s="5"/>
      <c r="M165" s="5"/>
      <c r="N165" s="29" t="str">
        <f>IF(OR(B165="",M165&lt;&gt;"Yes"),"",IF(O165&lt;&gt;"",O165+IF(L165="Low",3,IF(L165="Medium",7,21)),G165+IF(L165="Low",2,IF(L165="Medium",5,14))))</f>
        <v/>
      </c>
      <c r="O165" s="29"/>
      <c r="P165" s="5"/>
      <c r="Q165" s="5"/>
      <c r="R165" s="5"/>
    </row>
    <row r="166" spans="1:18">
      <c r="A166" s="7" t="str">
        <f t="shared" si="7"/>
        <v/>
      </c>
      <c r="B166" s="5"/>
      <c r="C166" s="5"/>
      <c r="D166" s="5"/>
      <c r="E166" s="5"/>
      <c r="F166" s="5"/>
      <c r="G166" s="29"/>
      <c r="H166" s="5"/>
      <c r="I166" s="5"/>
      <c r="J166" s="5"/>
      <c r="K166" s="5"/>
      <c r="L166" s="5"/>
      <c r="M166" s="5"/>
      <c r="N166" s="29" t="str">
        <f>IF(OR(B166="",M166&lt;&gt;"Yes"),"",IF(O166&lt;&gt;"",O166+IF(L166="Low",3,IF(L166="Medium",7,21)),G166+IF(L166="Low",2,IF(L166="Medium",5,14))))</f>
        <v/>
      </c>
      <c r="O166" s="29"/>
      <c r="P166" s="5"/>
      <c r="Q166" s="5"/>
      <c r="R166" s="5"/>
    </row>
    <row r="167" spans="1:18">
      <c r="A167" s="7" t="str">
        <f t="shared" si="7"/>
        <v/>
      </c>
      <c r="B167" s="5"/>
      <c r="C167" s="5"/>
      <c r="D167" s="5"/>
      <c r="E167" s="5"/>
      <c r="F167" s="5"/>
      <c r="G167" s="29"/>
      <c r="H167" s="5"/>
      <c r="I167" s="5"/>
      <c r="J167" s="5"/>
      <c r="K167" s="5"/>
      <c r="L167" s="5"/>
      <c r="M167" s="5"/>
      <c r="N167" s="29" t="str">
        <f>IF(OR(B167="",M167&lt;&gt;"Yes"),"",IF(O167&lt;&gt;"",O167+IF(L167="Low",3,IF(L167="Medium",7,21)),G167+IF(L167="Low",2,IF(L167="Medium",5,14))))</f>
        <v/>
      </c>
      <c r="O167" s="29"/>
      <c r="P167" s="5"/>
      <c r="Q167" s="5"/>
      <c r="R167" s="5"/>
    </row>
    <row r="168" spans="1:18">
      <c r="A168" s="7" t="str">
        <f t="shared" si="7"/>
        <v/>
      </c>
      <c r="B168" s="5"/>
      <c r="C168" s="5"/>
      <c r="D168" s="5"/>
      <c r="E168" s="5"/>
      <c r="F168" s="5"/>
      <c r="G168" s="29"/>
      <c r="H168" s="5"/>
      <c r="I168" s="5"/>
      <c r="J168" s="5"/>
      <c r="K168" s="5"/>
      <c r="L168" s="5"/>
      <c r="M168" s="5"/>
      <c r="N168" s="29" t="str">
        <f>IF(OR(B168="",M168&lt;&gt;"Yes"),"",IF(O168&lt;&gt;"",O168+IF(L168="Low",3,IF(L168="Medium",7,21)),G168+IF(L168="Low",2,IF(L168="Medium",5,14))))</f>
        <v/>
      </c>
      <c r="O168" s="29"/>
      <c r="P168" s="5"/>
      <c r="Q168" s="5"/>
      <c r="R168" s="5"/>
    </row>
    <row r="169" spans="1:18">
      <c r="A169" s="7" t="str">
        <f t="shared" si="7"/>
        <v/>
      </c>
      <c r="B169" s="5"/>
      <c r="C169" s="5"/>
      <c r="D169" s="5"/>
      <c r="E169" s="5"/>
      <c r="F169" s="5"/>
      <c r="G169" s="29"/>
      <c r="H169" s="5"/>
      <c r="I169" s="5"/>
      <c r="J169" s="5"/>
      <c r="K169" s="5"/>
      <c r="L169" s="5"/>
      <c r="M169" s="5"/>
      <c r="N169" s="29" t="str">
        <f>IF(OR(B169="",M169&lt;&gt;"Yes"),"",IF(O169&lt;&gt;"",O169+IF(L169="Low",3,IF(L169="Medium",7,21)),G169+IF(L169="Low",2,IF(L169="Medium",5,14))))</f>
        <v/>
      </c>
      <c r="O169" s="29"/>
      <c r="P169" s="5"/>
      <c r="Q169" s="5"/>
      <c r="R169" s="5"/>
    </row>
    <row r="170" spans="1:18">
      <c r="A170" s="7" t="str">
        <f t="shared" si="7"/>
        <v/>
      </c>
      <c r="B170" s="5"/>
      <c r="C170" s="5"/>
      <c r="D170" s="5"/>
      <c r="E170" s="5"/>
      <c r="F170" s="5"/>
      <c r="G170" s="29"/>
      <c r="H170" s="5"/>
      <c r="I170" s="5"/>
      <c r="J170" s="5"/>
      <c r="K170" s="5"/>
      <c r="L170" s="5"/>
      <c r="M170" s="5"/>
      <c r="N170" s="29" t="str">
        <f>IF(OR(B170="",M170&lt;&gt;"Yes"),"",IF(O170&lt;&gt;"",O170+IF(L170="Low",3,IF(L170="Medium",7,21)),G170+IF(L170="Low",2,IF(L170="Medium",5,14))))</f>
        <v/>
      </c>
      <c r="O170" s="29"/>
      <c r="P170" s="5"/>
      <c r="Q170" s="5"/>
      <c r="R170" s="5"/>
    </row>
    <row r="171" spans="1:18">
      <c r="A171" s="7" t="str">
        <f t="shared" si="7"/>
        <v/>
      </c>
      <c r="B171" s="5"/>
      <c r="C171" s="5"/>
      <c r="D171" s="5"/>
      <c r="E171" s="5"/>
      <c r="F171" s="5"/>
      <c r="G171" s="29"/>
      <c r="H171" s="5"/>
      <c r="I171" s="5"/>
      <c r="J171" s="5"/>
      <c r="K171" s="5"/>
      <c r="L171" s="5"/>
      <c r="M171" s="5"/>
      <c r="N171" s="29" t="str">
        <f>IF(OR(B171="",M171&lt;&gt;"Yes"),"",IF(O171&lt;&gt;"",O171+IF(L171="Low",3,IF(L171="Medium",7,21)),G171+IF(L171="Low",2,IF(L171="Medium",5,14))))</f>
        <v/>
      </c>
      <c r="O171" s="29"/>
      <c r="P171" s="5"/>
      <c r="Q171" s="5"/>
      <c r="R171" s="5"/>
    </row>
    <row r="172" spans="1:18">
      <c r="A172" s="7" t="str">
        <f t="shared" si="7"/>
        <v/>
      </c>
      <c r="B172" s="5"/>
      <c r="C172" s="5"/>
      <c r="D172" s="5"/>
      <c r="E172" s="5"/>
      <c r="F172" s="5"/>
      <c r="G172" s="29"/>
      <c r="H172" s="5"/>
      <c r="I172" s="5"/>
      <c r="J172" s="5"/>
      <c r="K172" s="5"/>
      <c r="L172" s="5"/>
      <c r="M172" s="5"/>
      <c r="N172" s="29" t="str">
        <f>IF(OR(B172="",M172&lt;&gt;"Yes"),"",IF(O172&lt;&gt;"",O172+IF(L172="Low",3,IF(L172="Medium",7,21)),G172+IF(L172="Low",2,IF(L172="Medium",5,14))))</f>
        <v/>
      </c>
      <c r="O172" s="29"/>
      <c r="P172" s="5"/>
      <c r="Q172" s="5"/>
      <c r="R172" s="5"/>
    </row>
    <row r="173" spans="1:18">
      <c r="A173" s="7" t="str">
        <f t="shared" si="7"/>
        <v/>
      </c>
      <c r="B173" s="5"/>
      <c r="C173" s="5"/>
      <c r="D173" s="5"/>
      <c r="E173" s="5"/>
      <c r="F173" s="5"/>
      <c r="G173" s="29"/>
      <c r="H173" s="5"/>
      <c r="I173" s="5"/>
      <c r="J173" s="5"/>
      <c r="K173" s="5"/>
      <c r="L173" s="5"/>
      <c r="M173" s="5"/>
      <c r="N173" s="29" t="str">
        <f>IF(OR(B173="",M173&lt;&gt;"Yes"),"",IF(O173&lt;&gt;"",O173+IF(L173="Low",3,IF(L173="Medium",7,21)),G173+IF(L173="Low",2,IF(L173="Medium",5,14))))</f>
        <v/>
      </c>
      <c r="O173" s="29"/>
      <c r="P173" s="5"/>
      <c r="Q173" s="5"/>
      <c r="R173" s="5"/>
    </row>
    <row r="174" spans="1:18">
      <c r="A174" s="7" t="str">
        <f t="shared" si="7"/>
        <v/>
      </c>
      <c r="B174" s="5"/>
      <c r="C174" s="5"/>
      <c r="D174" s="5"/>
      <c r="E174" s="5"/>
      <c r="F174" s="5"/>
      <c r="G174" s="29"/>
      <c r="H174" s="5"/>
      <c r="I174" s="5"/>
      <c r="J174" s="5"/>
      <c r="K174" s="5"/>
      <c r="L174" s="5"/>
      <c r="M174" s="5"/>
      <c r="N174" s="29" t="str">
        <f>IF(OR(B174="",M174&lt;&gt;"Yes"),"",IF(O174&lt;&gt;"",O174+IF(L174="Low",3,IF(L174="Medium",7,21)),G174+IF(L174="Low",2,IF(L174="Medium",5,14))))</f>
        <v/>
      </c>
      <c r="O174" s="29"/>
      <c r="P174" s="5"/>
      <c r="Q174" s="5"/>
      <c r="R174" s="5"/>
    </row>
    <row r="175" spans="1:18">
      <c r="A175" s="7" t="str">
        <f t="shared" si="7"/>
        <v/>
      </c>
      <c r="B175" s="5"/>
      <c r="C175" s="5"/>
      <c r="D175" s="5"/>
      <c r="E175" s="5"/>
      <c r="F175" s="5"/>
      <c r="G175" s="29"/>
      <c r="H175" s="5"/>
      <c r="I175" s="5"/>
      <c r="J175" s="5"/>
      <c r="K175" s="5"/>
      <c r="L175" s="5"/>
      <c r="M175" s="5"/>
      <c r="N175" s="29" t="str">
        <f>IF(OR(B175="",M175&lt;&gt;"Yes"),"",IF(O175&lt;&gt;"",O175+IF(L175="Low",3,IF(L175="Medium",7,21)),G175+IF(L175="Low",2,IF(L175="Medium",5,14))))</f>
        <v/>
      </c>
      <c r="O175" s="29"/>
      <c r="P175" s="5"/>
      <c r="Q175" s="5"/>
      <c r="R175" s="5"/>
    </row>
    <row r="176" spans="1:18">
      <c r="A176" s="7" t="str">
        <f t="shared" si="7"/>
        <v/>
      </c>
      <c r="B176" s="5"/>
      <c r="C176" s="5"/>
      <c r="D176" s="5"/>
      <c r="E176" s="5"/>
      <c r="F176" s="5"/>
      <c r="G176" s="29"/>
      <c r="H176" s="5"/>
      <c r="I176" s="5"/>
      <c r="J176" s="5"/>
      <c r="K176" s="5"/>
      <c r="L176" s="5"/>
      <c r="M176" s="5"/>
      <c r="N176" s="29" t="str">
        <f>IF(OR(B176="",M176&lt;&gt;"Yes"),"",IF(O176&lt;&gt;"",O176+IF(L176="Low",3,IF(L176="Medium",7,21)),G176+IF(L176="Low",2,IF(L176="Medium",5,14))))</f>
        <v/>
      </c>
      <c r="O176" s="29"/>
      <c r="P176" s="5"/>
      <c r="Q176" s="5"/>
      <c r="R176" s="5"/>
    </row>
    <row r="177" spans="1:18">
      <c r="A177" s="7" t="str">
        <f t="shared" si="7"/>
        <v/>
      </c>
      <c r="B177" s="5"/>
      <c r="C177" s="5"/>
      <c r="D177" s="5"/>
      <c r="E177" s="5"/>
      <c r="F177" s="5"/>
      <c r="G177" s="29"/>
      <c r="H177" s="5"/>
      <c r="I177" s="5"/>
      <c r="J177" s="5"/>
      <c r="K177" s="5"/>
      <c r="L177" s="5"/>
      <c r="M177" s="5"/>
      <c r="N177" s="29" t="str">
        <f>IF(OR(B177="",M177&lt;&gt;"Yes"),"",IF(O177&lt;&gt;"",O177+IF(L177="Low",3,IF(L177="Medium",7,21)),G177+IF(L177="Low",2,IF(L177="Medium",5,14))))</f>
        <v/>
      </c>
      <c r="O177" s="29"/>
      <c r="P177" s="5"/>
      <c r="Q177" s="5"/>
      <c r="R177" s="5"/>
    </row>
    <row r="178" spans="1:18">
      <c r="A178" s="7" t="str">
        <f t="shared" si="7"/>
        <v/>
      </c>
      <c r="B178" s="5"/>
      <c r="C178" s="5"/>
      <c r="D178" s="5"/>
      <c r="E178" s="5"/>
      <c r="F178" s="5"/>
      <c r="G178" s="29"/>
      <c r="H178" s="5"/>
      <c r="I178" s="5"/>
      <c r="J178" s="5"/>
      <c r="K178" s="5"/>
      <c r="L178" s="5"/>
      <c r="M178" s="5"/>
      <c r="N178" s="29" t="str">
        <f>IF(OR(B178="",M178&lt;&gt;"Yes"),"",IF(O178&lt;&gt;"",O178+IF(L178="Low",3,IF(L178="Medium",7,21)),G178+IF(L178="Low",2,IF(L178="Medium",5,14))))</f>
        <v/>
      </c>
      <c r="O178" s="29"/>
      <c r="P178" s="5"/>
      <c r="Q178" s="5"/>
      <c r="R178" s="5"/>
    </row>
    <row r="179" spans="1:18">
      <c r="A179" s="7" t="str">
        <f t="shared" si="7"/>
        <v/>
      </c>
      <c r="B179" s="5"/>
      <c r="C179" s="5"/>
      <c r="D179" s="5"/>
      <c r="E179" s="5"/>
      <c r="F179" s="5"/>
      <c r="G179" s="29"/>
      <c r="H179" s="5"/>
      <c r="I179" s="5"/>
      <c r="J179" s="5"/>
      <c r="K179" s="5"/>
      <c r="L179" s="5"/>
      <c r="M179" s="5"/>
      <c r="N179" s="29" t="str">
        <f>IF(OR(B179="",M179&lt;&gt;"Yes"),"",IF(O179&lt;&gt;"",O179+IF(L179="Low",3,IF(L179="Medium",7,21)),G179+IF(L179="Low",2,IF(L179="Medium",5,14))))</f>
        <v/>
      </c>
      <c r="O179" s="29"/>
      <c r="P179" s="5"/>
      <c r="Q179" s="5"/>
      <c r="R179" s="5"/>
    </row>
    <row r="180" spans="1:18">
      <c r="A180" s="7" t="str">
        <f t="shared" si="7"/>
        <v/>
      </c>
      <c r="B180" s="5"/>
      <c r="C180" s="5"/>
      <c r="D180" s="5"/>
      <c r="E180" s="5"/>
      <c r="F180" s="5"/>
      <c r="G180" s="29"/>
      <c r="H180" s="5"/>
      <c r="I180" s="5"/>
      <c r="J180" s="5"/>
      <c r="K180" s="5"/>
      <c r="L180" s="5"/>
      <c r="M180" s="5"/>
      <c r="N180" s="29" t="str">
        <f>IF(OR(B180="",M180&lt;&gt;"Yes"),"",IF(O180&lt;&gt;"",O180+IF(L180="Low",3,IF(L180="Medium",7,21)),G180+IF(L180="Low",2,IF(L180="Medium",5,14))))</f>
        <v/>
      </c>
      <c r="O180" s="29"/>
      <c r="P180" s="5"/>
      <c r="Q180" s="5"/>
      <c r="R180" s="5"/>
    </row>
    <row r="181" spans="1:18">
      <c r="A181" s="7" t="str">
        <f t="shared" si="7"/>
        <v/>
      </c>
      <c r="B181" s="5"/>
      <c r="C181" s="5"/>
      <c r="D181" s="5"/>
      <c r="E181" s="5"/>
      <c r="F181" s="5"/>
      <c r="G181" s="29"/>
      <c r="H181" s="5"/>
      <c r="I181" s="5"/>
      <c r="J181" s="5"/>
      <c r="K181" s="5"/>
      <c r="L181" s="5"/>
      <c r="M181" s="5"/>
      <c r="N181" s="29" t="str">
        <f>IF(OR(B181="",M181&lt;&gt;"Yes"),"",IF(O181&lt;&gt;"",O181+IF(L181="Low",3,IF(L181="Medium",7,21)),G181+IF(L181="Low",2,IF(L181="Medium",5,14))))</f>
        <v/>
      </c>
      <c r="O181" s="29"/>
      <c r="P181" s="5"/>
      <c r="Q181" s="5"/>
      <c r="R181" s="5"/>
    </row>
    <row r="182" spans="1:18">
      <c r="A182" s="7" t="str">
        <f t="shared" si="7"/>
        <v/>
      </c>
      <c r="B182" s="5"/>
      <c r="C182" s="5"/>
      <c r="D182" s="5"/>
      <c r="E182" s="5"/>
      <c r="F182" s="5"/>
      <c r="G182" s="29"/>
      <c r="H182" s="5"/>
      <c r="I182" s="5"/>
      <c r="J182" s="5"/>
      <c r="K182" s="5"/>
      <c r="L182" s="5"/>
      <c r="M182" s="5"/>
      <c r="N182" s="29" t="str">
        <f>IF(OR(B182="",M182&lt;&gt;"Yes"),"",IF(O182&lt;&gt;"",O182+IF(L182="Low",3,IF(L182="Medium",7,21)),G182+IF(L182="Low",2,IF(L182="Medium",5,14))))</f>
        <v/>
      </c>
      <c r="O182" s="29"/>
      <c r="P182" s="5"/>
      <c r="Q182" s="5"/>
      <c r="R182" s="5"/>
    </row>
    <row r="183" spans="1:18">
      <c r="A183" s="7" t="str">
        <f t="shared" si="7"/>
        <v/>
      </c>
      <c r="B183" s="5"/>
      <c r="C183" s="5"/>
      <c r="D183" s="5"/>
      <c r="E183" s="5"/>
      <c r="F183" s="5"/>
      <c r="G183" s="29"/>
      <c r="H183" s="5"/>
      <c r="I183" s="5"/>
      <c r="J183" s="5"/>
      <c r="K183" s="5"/>
      <c r="L183" s="5"/>
      <c r="M183" s="5"/>
      <c r="N183" s="29" t="str">
        <f>IF(OR(B183="",M183&lt;&gt;"Yes"),"",IF(O183&lt;&gt;"",O183+IF(L183="Low",3,IF(L183="Medium",7,21)),G183+IF(L183="Low",2,IF(L183="Medium",5,14))))</f>
        <v/>
      </c>
      <c r="O183" s="29"/>
      <c r="P183" s="5"/>
      <c r="Q183" s="5"/>
      <c r="R183" s="5"/>
    </row>
    <row r="184" spans="1:18">
      <c r="A184" s="7" t="str">
        <f t="shared" si="7"/>
        <v/>
      </c>
      <c r="B184" s="5"/>
      <c r="C184" s="5"/>
      <c r="D184" s="5"/>
      <c r="E184" s="5"/>
      <c r="F184" s="5"/>
      <c r="G184" s="29"/>
      <c r="H184" s="5"/>
      <c r="I184" s="5"/>
      <c r="J184" s="5"/>
      <c r="K184" s="5"/>
      <c r="L184" s="5"/>
      <c r="M184" s="5"/>
      <c r="N184" s="29" t="str">
        <f>IF(OR(B184="",M184&lt;&gt;"Yes"),"",IF(O184&lt;&gt;"",O184+IF(L184="Low",3,IF(L184="Medium",7,21)),G184+IF(L184="Low",2,IF(L184="Medium",5,14))))</f>
        <v/>
      </c>
      <c r="O184" s="29"/>
      <c r="P184" s="5"/>
      <c r="Q184" s="5"/>
      <c r="R184" s="5"/>
    </row>
    <row r="185" spans="1:18">
      <c r="A185" s="7" t="str">
        <f t="shared" si="7"/>
        <v/>
      </c>
      <c r="B185" s="5"/>
      <c r="C185" s="5"/>
      <c r="D185" s="5"/>
      <c r="E185" s="5"/>
      <c r="F185" s="5"/>
      <c r="G185" s="29"/>
      <c r="H185" s="5"/>
      <c r="I185" s="5"/>
      <c r="J185" s="5"/>
      <c r="K185" s="5"/>
      <c r="L185" s="5"/>
      <c r="M185" s="5"/>
      <c r="N185" s="29" t="str">
        <f>IF(OR(B185="",M185&lt;&gt;"Yes"),"",IF(O185&lt;&gt;"",O185+IF(L185="Low",3,IF(L185="Medium",7,21)),G185+IF(L185="Low",2,IF(L185="Medium",5,14))))</f>
        <v/>
      </c>
      <c r="O185" s="29"/>
      <c r="P185" s="5"/>
      <c r="Q185" s="5"/>
      <c r="R185" s="5"/>
    </row>
    <row r="186" spans="1:18">
      <c r="A186" s="7" t="str">
        <f t="shared" si="7"/>
        <v/>
      </c>
      <c r="B186" s="5"/>
      <c r="C186" s="5"/>
      <c r="D186" s="5"/>
      <c r="E186" s="5"/>
      <c r="F186" s="5"/>
      <c r="G186" s="29"/>
      <c r="H186" s="5"/>
      <c r="I186" s="5"/>
      <c r="J186" s="5"/>
      <c r="K186" s="5"/>
      <c r="L186" s="5"/>
      <c r="M186" s="5"/>
      <c r="N186" s="29" t="str">
        <f>IF(OR(B186="",M186&lt;&gt;"Yes"),"",IF(O186&lt;&gt;"",O186+IF(L186="Low",3,IF(L186="Medium",7,21)),G186+IF(L186="Low",2,IF(L186="Medium",5,14))))</f>
        <v/>
      </c>
      <c r="O186" s="29"/>
      <c r="P186" s="5"/>
      <c r="Q186" s="5"/>
      <c r="R186" s="5"/>
    </row>
    <row r="187" spans="1:18">
      <c r="A187" s="7" t="str">
        <f t="shared" si="7"/>
        <v/>
      </c>
      <c r="B187" s="5"/>
      <c r="C187" s="5"/>
      <c r="D187" s="5"/>
      <c r="E187" s="5"/>
      <c r="F187" s="5"/>
      <c r="G187" s="29"/>
      <c r="H187" s="5"/>
      <c r="I187" s="5"/>
      <c r="J187" s="5"/>
      <c r="K187" s="5"/>
      <c r="L187" s="5"/>
      <c r="M187" s="5"/>
      <c r="N187" s="29" t="str">
        <f>IF(OR(B187="",M187&lt;&gt;"Yes"),"",IF(O187&lt;&gt;"",O187+IF(L187="Low",3,IF(L187="Medium",7,21)),G187+IF(L187="Low",2,IF(L187="Medium",5,14))))</f>
        <v/>
      </c>
      <c r="O187" s="29"/>
      <c r="P187" s="5"/>
      <c r="Q187" s="5"/>
      <c r="R187" s="5"/>
    </row>
    <row r="188" spans="1:18">
      <c r="A188" s="7" t="str">
        <f t="shared" si="7"/>
        <v/>
      </c>
      <c r="B188" s="5"/>
      <c r="C188" s="5"/>
      <c r="D188" s="5"/>
      <c r="E188" s="5"/>
      <c r="F188" s="5"/>
      <c r="G188" s="29"/>
      <c r="H188" s="5"/>
      <c r="I188" s="5"/>
      <c r="J188" s="5"/>
      <c r="K188" s="5"/>
      <c r="L188" s="5"/>
      <c r="M188" s="5"/>
      <c r="N188" s="29" t="str">
        <f>IF(OR(B188="",M188&lt;&gt;"Yes"),"",IF(O188&lt;&gt;"",O188+IF(L188="Low",3,IF(L188="Medium",7,21)),G188+IF(L188="Low",2,IF(L188="Medium",5,14))))</f>
        <v/>
      </c>
      <c r="O188" s="29"/>
      <c r="P188" s="5"/>
      <c r="Q188" s="5"/>
      <c r="R188" s="5"/>
    </row>
    <row r="189" spans="1:18">
      <c r="A189" s="7" t="str">
        <f t="shared" si="7"/>
        <v/>
      </c>
      <c r="B189" s="5"/>
      <c r="C189" s="5"/>
      <c r="D189" s="5"/>
      <c r="E189" s="5"/>
      <c r="F189" s="5"/>
      <c r="G189" s="29"/>
      <c r="H189" s="5"/>
      <c r="I189" s="5"/>
      <c r="J189" s="5"/>
      <c r="K189" s="5"/>
      <c r="L189" s="5"/>
      <c r="M189" s="5"/>
      <c r="N189" s="29" t="str">
        <f>IF(OR(B189="",M189&lt;&gt;"Yes"),"",IF(O189&lt;&gt;"",O189+IF(L189="Low",3,IF(L189="Medium",7,21)),G189+IF(L189="Low",2,IF(L189="Medium",5,14))))</f>
        <v/>
      </c>
      <c r="O189" s="29"/>
      <c r="P189" s="5"/>
      <c r="Q189" s="5"/>
      <c r="R189" s="5"/>
    </row>
    <row r="190" spans="1:18">
      <c r="A190" s="7" t="str">
        <f t="shared" si="7"/>
        <v/>
      </c>
      <c r="B190" s="5"/>
      <c r="C190" s="5"/>
      <c r="D190" s="5"/>
      <c r="E190" s="5"/>
      <c r="F190" s="5"/>
      <c r="G190" s="29"/>
      <c r="H190" s="5"/>
      <c r="I190" s="5"/>
      <c r="J190" s="5"/>
      <c r="K190" s="5"/>
      <c r="L190" s="5"/>
      <c r="M190" s="5"/>
      <c r="N190" s="29" t="str">
        <f>IF(OR(B190="",M190&lt;&gt;"Yes"),"",IF(O190&lt;&gt;"",O190+IF(L190="Low",3,IF(L190="Medium",7,21)),G190+IF(L190="Low",2,IF(L190="Medium",5,14))))</f>
        <v/>
      </c>
      <c r="O190" s="29"/>
      <c r="P190" s="5"/>
      <c r="Q190" s="5"/>
      <c r="R190" s="5"/>
    </row>
    <row r="191" spans="1:18">
      <c r="A191" s="7" t="str">
        <f t="shared" si="7"/>
        <v/>
      </c>
      <c r="B191" s="5"/>
      <c r="C191" s="5"/>
      <c r="D191" s="5"/>
      <c r="E191" s="5"/>
      <c r="F191" s="5"/>
      <c r="G191" s="29"/>
      <c r="H191" s="5"/>
      <c r="I191" s="5"/>
      <c r="J191" s="5"/>
      <c r="K191" s="5"/>
      <c r="L191" s="5"/>
      <c r="M191" s="5"/>
      <c r="N191" s="29" t="str">
        <f>IF(OR(B191="",M191&lt;&gt;"Yes"),"",IF(O191&lt;&gt;"",O191+IF(L191="Low",3,IF(L191="Medium",7,21)),G191+IF(L191="Low",2,IF(L191="Medium",5,14))))</f>
        <v/>
      </c>
      <c r="O191" s="29"/>
      <c r="P191" s="5"/>
      <c r="Q191" s="5"/>
      <c r="R191" s="5"/>
    </row>
    <row r="192" spans="1:18">
      <c r="A192" s="7" t="str">
        <f t="shared" si="7"/>
        <v/>
      </c>
      <c r="B192" s="5"/>
      <c r="C192" s="5"/>
      <c r="D192" s="5"/>
      <c r="E192" s="5"/>
      <c r="F192" s="5"/>
      <c r="G192" s="29"/>
      <c r="H192" s="5"/>
      <c r="I192" s="5"/>
      <c r="J192" s="5"/>
      <c r="K192" s="5"/>
      <c r="L192" s="5"/>
      <c r="M192" s="5"/>
      <c r="N192" s="29" t="str">
        <f>IF(OR(B192="",M192&lt;&gt;"Yes"),"",IF(O192&lt;&gt;"",O192+IF(L192="Low",3,IF(L192="Medium",7,21)),G192+IF(L192="Low",2,IF(L192="Medium",5,14))))</f>
        <v/>
      </c>
      <c r="O192" s="29"/>
      <c r="P192" s="5"/>
      <c r="Q192" s="5"/>
      <c r="R192" s="5"/>
    </row>
    <row r="193" spans="1:18">
      <c r="A193" s="7" t="str">
        <f t="shared" ref="A193:A256" si="8">IF(B193="","",ROW()-3)</f>
        <v/>
      </c>
      <c r="B193" s="5"/>
      <c r="C193" s="5"/>
      <c r="D193" s="5"/>
      <c r="E193" s="5"/>
      <c r="F193" s="5"/>
      <c r="G193" s="29"/>
      <c r="H193" s="5"/>
      <c r="I193" s="5"/>
      <c r="J193" s="5"/>
      <c r="K193" s="5"/>
      <c r="L193" s="5"/>
      <c r="M193" s="5"/>
      <c r="N193" s="29" t="str">
        <f>IF(OR(B193="",M193&lt;&gt;"Yes"),"",IF(O193&lt;&gt;"",O193+IF(L193="Low",3,IF(L193="Medium",7,21)),G193+IF(L193="Low",2,IF(L193="Medium",5,14))))</f>
        <v/>
      </c>
      <c r="O193" s="29"/>
      <c r="P193" s="5"/>
      <c r="Q193" s="5"/>
      <c r="R193" s="5"/>
    </row>
    <row r="194" spans="1:18">
      <c r="A194" s="7" t="str">
        <f t="shared" si="8"/>
        <v/>
      </c>
      <c r="B194" s="5"/>
      <c r="C194" s="5"/>
      <c r="D194" s="5"/>
      <c r="E194" s="5"/>
      <c r="F194" s="5"/>
      <c r="G194" s="29"/>
      <c r="H194" s="5"/>
      <c r="I194" s="5"/>
      <c r="J194" s="5"/>
      <c r="K194" s="5"/>
      <c r="L194" s="5"/>
      <c r="M194" s="5"/>
      <c r="N194" s="29" t="str">
        <f>IF(OR(B194="",M194&lt;&gt;"Yes"),"",IF(O194&lt;&gt;"",O194+IF(L194="Low",3,IF(L194="Medium",7,21)),G194+IF(L194="Low",2,IF(L194="Medium",5,14))))</f>
        <v/>
      </c>
      <c r="O194" s="29"/>
      <c r="P194" s="5"/>
      <c r="Q194" s="5"/>
      <c r="R194" s="5"/>
    </row>
    <row r="195" spans="1:18">
      <c r="A195" s="7" t="str">
        <f t="shared" si="8"/>
        <v/>
      </c>
      <c r="B195" s="5"/>
      <c r="C195" s="5"/>
      <c r="D195" s="5"/>
      <c r="E195" s="5"/>
      <c r="F195" s="5"/>
      <c r="G195" s="29"/>
      <c r="H195" s="5"/>
      <c r="I195" s="5"/>
      <c r="J195" s="5"/>
      <c r="K195" s="5"/>
      <c r="L195" s="5"/>
      <c r="M195" s="5"/>
      <c r="N195" s="29" t="str">
        <f>IF(OR(B195="",M195&lt;&gt;"Yes"),"",IF(O195&lt;&gt;"",O195+IF(L195="Low",3,IF(L195="Medium",7,21)),G195+IF(L195="Low",2,IF(L195="Medium",5,14))))</f>
        <v/>
      </c>
      <c r="O195" s="29"/>
      <c r="P195" s="5"/>
      <c r="Q195" s="5"/>
      <c r="R195" s="5"/>
    </row>
    <row r="196" spans="1:18">
      <c r="A196" s="7" t="str">
        <f t="shared" si="8"/>
        <v/>
      </c>
      <c r="B196" s="5"/>
      <c r="C196" s="5"/>
      <c r="D196" s="5"/>
      <c r="E196" s="5"/>
      <c r="F196" s="5"/>
      <c r="G196" s="29"/>
      <c r="H196" s="5"/>
      <c r="I196" s="5"/>
      <c r="J196" s="5"/>
      <c r="K196" s="5"/>
      <c r="L196" s="5"/>
      <c r="M196" s="5"/>
      <c r="N196" s="29" t="str">
        <f>IF(OR(B196="",M196&lt;&gt;"Yes"),"",IF(O196&lt;&gt;"",O196+IF(L196="Low",3,IF(L196="Medium",7,21)),G196+IF(L196="Low",2,IF(L196="Medium",5,14))))</f>
        <v/>
      </c>
      <c r="O196" s="29"/>
      <c r="P196" s="5"/>
      <c r="Q196" s="5"/>
      <c r="R196" s="5"/>
    </row>
    <row r="197" spans="1:18">
      <c r="A197" s="7" t="str">
        <f t="shared" si="8"/>
        <v/>
      </c>
      <c r="B197" s="5"/>
      <c r="C197" s="5"/>
      <c r="D197" s="5"/>
      <c r="E197" s="5"/>
      <c r="F197" s="5"/>
      <c r="G197" s="29"/>
      <c r="H197" s="5"/>
      <c r="I197" s="5"/>
      <c r="J197" s="5"/>
      <c r="K197" s="5"/>
      <c r="L197" s="5"/>
      <c r="M197" s="5"/>
      <c r="N197" s="29" t="str">
        <f>IF(OR(B197="",M197&lt;&gt;"Yes"),"",IF(O197&lt;&gt;"",O197+IF(L197="Low",3,IF(L197="Medium",7,21)),G197+IF(L197="Low",2,IF(L197="Medium",5,14))))</f>
        <v/>
      </c>
      <c r="O197" s="29"/>
      <c r="P197" s="5"/>
      <c r="Q197" s="5"/>
      <c r="R197" s="5"/>
    </row>
    <row r="198" spans="1:18">
      <c r="A198" s="7" t="str">
        <f t="shared" si="8"/>
        <v/>
      </c>
      <c r="B198" s="5"/>
      <c r="C198" s="5"/>
      <c r="D198" s="5"/>
      <c r="E198" s="5"/>
      <c r="F198" s="5"/>
      <c r="G198" s="29"/>
      <c r="H198" s="5"/>
      <c r="I198" s="5"/>
      <c r="J198" s="5"/>
      <c r="K198" s="5"/>
      <c r="L198" s="5"/>
      <c r="M198" s="5"/>
      <c r="N198" s="29" t="str">
        <f>IF(OR(B198="",M198&lt;&gt;"Yes"),"",IF(O198&lt;&gt;"",O198+IF(L198="Low",3,IF(L198="Medium",7,21)),G198+IF(L198="Low",2,IF(L198="Medium",5,14))))</f>
        <v/>
      </c>
      <c r="O198" s="29"/>
      <c r="P198" s="5"/>
      <c r="Q198" s="5"/>
      <c r="R198" s="5"/>
    </row>
    <row r="199" spans="1:18">
      <c r="A199" s="7" t="str">
        <f t="shared" si="8"/>
        <v/>
      </c>
      <c r="B199" s="5"/>
      <c r="C199" s="5"/>
      <c r="D199" s="5"/>
      <c r="E199" s="5"/>
      <c r="F199" s="5"/>
      <c r="G199" s="29"/>
      <c r="H199" s="5"/>
      <c r="I199" s="5"/>
      <c r="J199" s="5"/>
      <c r="K199" s="5"/>
      <c r="L199" s="5"/>
      <c r="M199" s="5"/>
      <c r="N199" s="29" t="str">
        <f>IF(OR(B199="",M199&lt;&gt;"Yes"),"",IF(O199&lt;&gt;"",O199+IF(L199="Low",3,IF(L199="Medium",7,21)),G199+IF(L199="Low",2,IF(L199="Medium",5,14))))</f>
        <v/>
      </c>
      <c r="O199" s="29"/>
      <c r="P199" s="5"/>
      <c r="Q199" s="5"/>
      <c r="R199" s="5"/>
    </row>
    <row r="200" spans="1:18">
      <c r="A200" s="7" t="str">
        <f t="shared" si="8"/>
        <v/>
      </c>
      <c r="B200" s="5"/>
      <c r="C200" s="5"/>
      <c r="D200" s="5"/>
      <c r="E200" s="5"/>
      <c r="F200" s="5"/>
      <c r="G200" s="29"/>
      <c r="H200" s="5"/>
      <c r="I200" s="5"/>
      <c r="J200" s="5"/>
      <c r="K200" s="5"/>
      <c r="L200" s="5"/>
      <c r="M200" s="5"/>
      <c r="N200" s="29" t="str">
        <f>IF(OR(B200="",M200&lt;&gt;"Yes"),"",IF(O200&lt;&gt;"",O200+IF(L200="Low",3,IF(L200="Medium",7,21)),G200+IF(L200="Low",2,IF(L200="Medium",5,14))))</f>
        <v/>
      </c>
      <c r="O200" s="29"/>
      <c r="P200" s="5"/>
      <c r="Q200" s="5"/>
      <c r="R200" s="5"/>
    </row>
    <row r="201" spans="1:18">
      <c r="A201" s="7" t="str">
        <f t="shared" si="8"/>
        <v/>
      </c>
      <c r="B201" s="5"/>
      <c r="C201" s="5"/>
      <c r="D201" s="5"/>
      <c r="E201" s="5"/>
      <c r="F201" s="5"/>
      <c r="G201" s="29"/>
      <c r="H201" s="5"/>
      <c r="I201" s="5"/>
      <c r="J201" s="5"/>
      <c r="K201" s="5"/>
      <c r="L201" s="5"/>
      <c r="M201" s="5"/>
      <c r="N201" s="29" t="str">
        <f>IF(OR(B201="",M201&lt;&gt;"Yes"),"",IF(O201&lt;&gt;"",O201+IF(L201="Low",3,IF(L201="Medium",7,21)),G201+IF(L201="Low",2,IF(L201="Medium",5,14))))</f>
        <v/>
      </c>
      <c r="O201" s="29"/>
      <c r="P201" s="5"/>
      <c r="Q201" s="5"/>
      <c r="R201" s="5"/>
    </row>
    <row r="202" spans="1:18">
      <c r="A202" s="7" t="str">
        <f t="shared" si="8"/>
        <v/>
      </c>
      <c r="B202" s="5"/>
      <c r="C202" s="5"/>
      <c r="D202" s="5"/>
      <c r="E202" s="5"/>
      <c r="F202" s="5"/>
      <c r="G202" s="29"/>
      <c r="H202" s="5"/>
      <c r="I202" s="5"/>
      <c r="J202" s="5"/>
      <c r="K202" s="5"/>
      <c r="L202" s="5"/>
      <c r="M202" s="5"/>
      <c r="N202" s="29" t="str">
        <f>IF(OR(B202="",M202&lt;&gt;"Yes"),"",IF(O202&lt;&gt;"",O202+IF(L202="Low",3,IF(L202="Medium",7,21)),G202+IF(L202="Low",2,IF(L202="Medium",5,14))))</f>
        <v/>
      </c>
      <c r="O202" s="29"/>
      <c r="P202" s="5"/>
      <c r="Q202" s="5"/>
      <c r="R202" s="5"/>
    </row>
    <row r="203" spans="1:18">
      <c r="A203" s="7" t="str">
        <f t="shared" si="8"/>
        <v/>
      </c>
      <c r="B203" s="5"/>
      <c r="C203" s="5"/>
      <c r="D203" s="5"/>
      <c r="E203" s="5"/>
      <c r="F203" s="5"/>
      <c r="G203" s="29"/>
      <c r="H203" s="5"/>
      <c r="I203" s="5"/>
      <c r="J203" s="5"/>
      <c r="K203" s="5"/>
      <c r="L203" s="5"/>
      <c r="M203" s="5"/>
      <c r="N203" s="29" t="str">
        <f>IF(OR(B203="",M203&lt;&gt;"Yes"),"",IF(O203&lt;&gt;"",O203+IF(L203="Low",3,IF(L203="Medium",7,21)),G203+IF(L203="Low",2,IF(L203="Medium",5,14))))</f>
        <v/>
      </c>
      <c r="O203" s="29"/>
      <c r="P203" s="5"/>
      <c r="Q203" s="5"/>
      <c r="R203" s="5"/>
    </row>
    <row r="204" spans="1:18">
      <c r="A204" s="7" t="str">
        <f t="shared" si="8"/>
        <v/>
      </c>
      <c r="B204" s="5"/>
      <c r="C204" s="5"/>
      <c r="D204" s="5"/>
      <c r="E204" s="5"/>
      <c r="F204" s="5"/>
      <c r="G204" s="29"/>
      <c r="H204" s="5"/>
      <c r="I204" s="5"/>
      <c r="J204" s="5"/>
      <c r="K204" s="5"/>
      <c r="L204" s="5"/>
      <c r="M204" s="5"/>
      <c r="N204" s="29" t="str">
        <f>IF(OR(B204="",M204&lt;&gt;"Yes"),"",IF(O204&lt;&gt;"",O204+IF(L204="Low",3,IF(L204="Medium",7,21)),G204+IF(L204="Low",2,IF(L204="Medium",5,14))))</f>
        <v/>
      </c>
      <c r="O204" s="29"/>
      <c r="P204" s="5"/>
      <c r="Q204" s="5"/>
      <c r="R204" s="5"/>
    </row>
    <row r="205" spans="1:18">
      <c r="A205" s="7" t="str">
        <f t="shared" si="8"/>
        <v/>
      </c>
      <c r="B205" s="5"/>
      <c r="C205" s="5"/>
      <c r="D205" s="5"/>
      <c r="E205" s="5"/>
      <c r="F205" s="5"/>
      <c r="G205" s="29"/>
      <c r="H205" s="5"/>
      <c r="I205" s="5"/>
      <c r="J205" s="5"/>
      <c r="K205" s="5"/>
      <c r="L205" s="5"/>
      <c r="M205" s="5"/>
      <c r="N205" s="29" t="str">
        <f>IF(OR(B205="",M205&lt;&gt;"Yes"),"",IF(O205&lt;&gt;"",O205+IF(L205="Low",3,IF(L205="Medium",7,21)),G205+IF(L205="Low",2,IF(L205="Medium",5,14))))</f>
        <v/>
      </c>
      <c r="O205" s="29"/>
      <c r="P205" s="5"/>
      <c r="Q205" s="5"/>
      <c r="R205" s="5"/>
    </row>
    <row r="206" spans="1:18">
      <c r="A206" s="7" t="str">
        <f t="shared" si="8"/>
        <v/>
      </c>
      <c r="B206" s="5"/>
      <c r="C206" s="5"/>
      <c r="D206" s="5"/>
      <c r="E206" s="5"/>
      <c r="F206" s="5"/>
      <c r="G206" s="29"/>
      <c r="H206" s="5"/>
      <c r="I206" s="5"/>
      <c r="J206" s="5"/>
      <c r="K206" s="5"/>
      <c r="L206" s="5"/>
      <c r="M206" s="5"/>
      <c r="N206" s="29" t="str">
        <f>IF(OR(B206="",M206&lt;&gt;"Yes"),"",IF(O206&lt;&gt;"",O206+IF(L206="Low",3,IF(L206="Medium",7,21)),G206+IF(L206="Low",2,IF(L206="Medium",5,14))))</f>
        <v/>
      </c>
      <c r="O206" s="29"/>
      <c r="P206" s="5"/>
      <c r="Q206" s="5"/>
      <c r="R206" s="5"/>
    </row>
    <row r="207" spans="1:18">
      <c r="A207" s="7" t="str">
        <f t="shared" si="8"/>
        <v/>
      </c>
      <c r="B207" s="5"/>
      <c r="C207" s="5"/>
      <c r="D207" s="5"/>
      <c r="E207" s="5"/>
      <c r="F207" s="5"/>
      <c r="G207" s="29"/>
      <c r="H207" s="5"/>
      <c r="I207" s="5"/>
      <c r="J207" s="5"/>
      <c r="K207" s="5"/>
      <c r="L207" s="5"/>
      <c r="M207" s="5"/>
      <c r="N207" s="29" t="str">
        <f>IF(OR(B207="",M207&lt;&gt;"Yes"),"",IF(O207&lt;&gt;"",O207+IF(L207="Low",3,IF(L207="Medium",7,21)),G207+IF(L207="Low",2,IF(L207="Medium",5,14))))</f>
        <v/>
      </c>
      <c r="O207" s="29"/>
      <c r="P207" s="5"/>
      <c r="Q207" s="5"/>
      <c r="R207" s="5"/>
    </row>
    <row r="208" spans="1:18">
      <c r="A208" s="7" t="str">
        <f t="shared" si="8"/>
        <v/>
      </c>
      <c r="B208" s="5"/>
      <c r="C208" s="5"/>
      <c r="D208" s="5"/>
      <c r="E208" s="5"/>
      <c r="F208" s="5"/>
      <c r="G208" s="29"/>
      <c r="H208" s="5"/>
      <c r="I208" s="5"/>
      <c r="J208" s="5"/>
      <c r="K208" s="5"/>
      <c r="L208" s="5"/>
      <c r="M208" s="5"/>
      <c r="N208" s="29" t="str">
        <f>IF(OR(B208="",M208&lt;&gt;"Yes"),"",IF(O208&lt;&gt;"",O208+IF(L208="Low",3,IF(L208="Medium",7,21)),G208+IF(L208="Low",2,IF(L208="Medium",5,14))))</f>
        <v/>
      </c>
      <c r="O208" s="29"/>
      <c r="P208" s="5"/>
      <c r="Q208" s="5"/>
      <c r="R208" s="5"/>
    </row>
    <row r="209" spans="1:18">
      <c r="A209" s="7" t="str">
        <f t="shared" si="8"/>
        <v/>
      </c>
      <c r="B209" s="5"/>
      <c r="C209" s="5"/>
      <c r="D209" s="5"/>
      <c r="E209" s="5"/>
      <c r="F209" s="5"/>
      <c r="G209" s="29"/>
      <c r="H209" s="5"/>
      <c r="I209" s="5"/>
      <c r="J209" s="5"/>
      <c r="K209" s="5"/>
      <c r="L209" s="5"/>
      <c r="M209" s="5"/>
      <c r="N209" s="29" t="str">
        <f>IF(OR(B209="",M209&lt;&gt;"Yes"),"",IF(O209&lt;&gt;"",O209+IF(L209="Low",3,IF(L209="Medium",7,21)),G209+IF(L209="Low",2,IF(L209="Medium",5,14))))</f>
        <v/>
      </c>
      <c r="O209" s="29"/>
      <c r="P209" s="5"/>
      <c r="Q209" s="5"/>
      <c r="R209" s="5"/>
    </row>
    <row r="210" spans="1:18">
      <c r="A210" s="7" t="str">
        <f t="shared" si="8"/>
        <v/>
      </c>
      <c r="B210" s="5"/>
      <c r="C210" s="5"/>
      <c r="D210" s="5"/>
      <c r="E210" s="5"/>
      <c r="F210" s="5"/>
      <c r="G210" s="29"/>
      <c r="H210" s="5"/>
      <c r="I210" s="5"/>
      <c r="J210" s="5"/>
      <c r="K210" s="5"/>
      <c r="L210" s="5"/>
      <c r="M210" s="5"/>
      <c r="N210" s="29" t="str">
        <f>IF(OR(B210="",M210&lt;&gt;"Yes"),"",IF(O210&lt;&gt;"",O210+IF(L210="Low",3,IF(L210="Medium",7,21)),G210+IF(L210="Low",2,IF(L210="Medium",5,14))))</f>
        <v/>
      </c>
      <c r="O210" s="29"/>
      <c r="P210" s="5"/>
      <c r="Q210" s="5"/>
      <c r="R210" s="5"/>
    </row>
    <row r="211" spans="1:18">
      <c r="A211" s="7" t="str">
        <f t="shared" si="8"/>
        <v/>
      </c>
      <c r="B211" s="5"/>
      <c r="C211" s="5"/>
      <c r="D211" s="5"/>
      <c r="E211" s="5"/>
      <c r="F211" s="5"/>
      <c r="G211" s="29"/>
      <c r="H211" s="5"/>
      <c r="I211" s="5"/>
      <c r="J211" s="5"/>
      <c r="K211" s="5"/>
      <c r="L211" s="5"/>
      <c r="M211" s="5"/>
      <c r="N211" s="29" t="str">
        <f>IF(OR(B211="",M211&lt;&gt;"Yes"),"",IF(O211&lt;&gt;"",O211+IF(L211="Low",3,IF(L211="Medium",7,21)),G211+IF(L211="Low",2,IF(L211="Medium",5,14))))</f>
        <v/>
      </c>
      <c r="O211" s="29"/>
      <c r="P211" s="5"/>
      <c r="Q211" s="5"/>
      <c r="R211" s="5"/>
    </row>
    <row r="212" spans="1:18">
      <c r="A212" s="7" t="str">
        <f t="shared" si="8"/>
        <v/>
      </c>
      <c r="B212" s="5"/>
      <c r="C212" s="5"/>
      <c r="D212" s="5"/>
      <c r="E212" s="5"/>
      <c r="F212" s="5"/>
      <c r="G212" s="29"/>
      <c r="H212" s="5"/>
      <c r="I212" s="5"/>
      <c r="J212" s="5"/>
      <c r="K212" s="5"/>
      <c r="L212" s="5"/>
      <c r="M212" s="5"/>
      <c r="N212" s="29" t="str">
        <f>IF(OR(B212="",M212&lt;&gt;"Yes"),"",IF(O212&lt;&gt;"",O212+IF(L212="Low",3,IF(L212="Medium",7,21)),G212+IF(L212="Low",2,IF(L212="Medium",5,14))))</f>
        <v/>
      </c>
      <c r="O212" s="29"/>
      <c r="P212" s="5"/>
      <c r="Q212" s="5"/>
      <c r="R212" s="5"/>
    </row>
    <row r="213" spans="1:18">
      <c r="A213" s="7" t="str">
        <f t="shared" si="8"/>
        <v/>
      </c>
      <c r="B213" s="5"/>
      <c r="C213" s="5"/>
      <c r="D213" s="5"/>
      <c r="E213" s="5"/>
      <c r="F213" s="5"/>
      <c r="G213" s="29"/>
      <c r="H213" s="5"/>
      <c r="I213" s="5"/>
      <c r="J213" s="5"/>
      <c r="K213" s="5"/>
      <c r="L213" s="5"/>
      <c r="M213" s="5"/>
      <c r="N213" s="29" t="str">
        <f>IF(OR(B213="",M213&lt;&gt;"Yes"),"",IF(O213&lt;&gt;"",O213+IF(L213="Low",3,IF(L213="Medium",7,21)),G213+IF(L213="Low",2,IF(L213="Medium",5,14))))</f>
        <v/>
      </c>
      <c r="O213" s="29"/>
      <c r="P213" s="5"/>
      <c r="Q213" s="5"/>
      <c r="R213" s="5"/>
    </row>
    <row r="214" spans="1:18">
      <c r="A214" s="7" t="str">
        <f t="shared" si="8"/>
        <v/>
      </c>
      <c r="B214" s="5"/>
      <c r="C214" s="5"/>
      <c r="D214" s="5"/>
      <c r="E214" s="5"/>
      <c r="F214" s="5"/>
      <c r="G214" s="29"/>
      <c r="H214" s="5"/>
      <c r="I214" s="5"/>
      <c r="J214" s="5"/>
      <c r="K214" s="5"/>
      <c r="L214" s="5"/>
      <c r="M214" s="5"/>
      <c r="N214" s="29" t="str">
        <f>IF(OR(B214="",M214&lt;&gt;"Yes"),"",IF(O214&lt;&gt;"",O214+IF(L214="Low",3,IF(L214="Medium",7,21)),G214+IF(L214="Low",2,IF(L214="Medium",5,14))))</f>
        <v/>
      </c>
      <c r="O214" s="29"/>
      <c r="P214" s="5"/>
      <c r="Q214" s="5"/>
      <c r="R214" s="5"/>
    </row>
    <row r="215" spans="1:18">
      <c r="A215" s="7" t="str">
        <f t="shared" si="8"/>
        <v/>
      </c>
      <c r="B215" s="5"/>
      <c r="C215" s="5"/>
      <c r="D215" s="5"/>
      <c r="E215" s="5"/>
      <c r="F215" s="5"/>
      <c r="G215" s="29"/>
      <c r="H215" s="5"/>
      <c r="I215" s="5"/>
      <c r="J215" s="5"/>
      <c r="K215" s="5"/>
      <c r="L215" s="5"/>
      <c r="M215" s="5"/>
      <c r="N215" s="29" t="str">
        <f>IF(OR(B215="",M215&lt;&gt;"Yes"),"",IF(O215&lt;&gt;"",O215+IF(L215="Low",3,IF(L215="Medium",7,21)),G215+IF(L215="Low",2,IF(L215="Medium",5,14))))</f>
        <v/>
      </c>
      <c r="O215" s="29"/>
      <c r="P215" s="5"/>
      <c r="Q215" s="5"/>
      <c r="R215" s="5"/>
    </row>
    <row r="216" spans="1:18">
      <c r="A216" s="7" t="str">
        <f t="shared" si="8"/>
        <v/>
      </c>
      <c r="B216" s="5"/>
      <c r="C216" s="5"/>
      <c r="D216" s="5"/>
      <c r="E216" s="5"/>
      <c r="F216" s="5"/>
      <c r="G216" s="29"/>
      <c r="H216" s="5"/>
      <c r="I216" s="5"/>
      <c r="J216" s="5"/>
      <c r="K216" s="5"/>
      <c r="L216" s="5"/>
      <c r="M216" s="5"/>
      <c r="N216" s="29" t="str">
        <f>IF(OR(B216="",M216&lt;&gt;"Yes"),"",IF(O216&lt;&gt;"",O216+IF(L216="Low",3,IF(L216="Medium",7,21)),G216+IF(L216="Low",2,IF(L216="Medium",5,14))))</f>
        <v/>
      </c>
      <c r="O216" s="29"/>
      <c r="P216" s="5"/>
      <c r="Q216" s="5"/>
      <c r="R216" s="5"/>
    </row>
    <row r="217" spans="1:18">
      <c r="A217" s="7" t="str">
        <f t="shared" si="8"/>
        <v/>
      </c>
      <c r="B217" s="5"/>
      <c r="C217" s="5"/>
      <c r="D217" s="5"/>
      <c r="E217" s="5"/>
      <c r="F217" s="5"/>
      <c r="G217" s="29"/>
      <c r="H217" s="5"/>
      <c r="I217" s="5"/>
      <c r="J217" s="5"/>
      <c r="K217" s="5"/>
      <c r="L217" s="5"/>
      <c r="M217" s="5"/>
      <c r="N217" s="29" t="str">
        <f>IF(OR(B217="",M217&lt;&gt;"Yes"),"",IF(O217&lt;&gt;"",O217+IF(L217="Low",3,IF(L217="Medium",7,21)),G217+IF(L217="Low",2,IF(L217="Medium",5,14))))</f>
        <v/>
      </c>
      <c r="O217" s="29"/>
      <c r="P217" s="5"/>
      <c r="Q217" s="5"/>
      <c r="R217" s="5"/>
    </row>
    <row r="218" spans="1:18">
      <c r="A218" s="7" t="str">
        <f t="shared" si="8"/>
        <v/>
      </c>
      <c r="B218" s="5"/>
      <c r="C218" s="5"/>
      <c r="D218" s="5"/>
      <c r="E218" s="5"/>
      <c r="F218" s="5"/>
      <c r="G218" s="29"/>
      <c r="H218" s="5"/>
      <c r="I218" s="5"/>
      <c r="J218" s="5"/>
      <c r="K218" s="5"/>
      <c r="L218" s="5"/>
      <c r="M218" s="5"/>
      <c r="N218" s="29" t="str">
        <f>IF(OR(B218="",M218&lt;&gt;"Yes"),"",IF(O218&lt;&gt;"",O218+IF(L218="Low",3,IF(L218="Medium",7,21)),G218+IF(L218="Low",2,IF(L218="Medium",5,14))))</f>
        <v/>
      </c>
      <c r="O218" s="29"/>
      <c r="P218" s="5"/>
      <c r="Q218" s="5"/>
      <c r="R218" s="5"/>
    </row>
    <row r="219" spans="1:18">
      <c r="A219" s="7" t="str">
        <f t="shared" si="8"/>
        <v/>
      </c>
      <c r="B219" s="5"/>
      <c r="C219" s="5"/>
      <c r="D219" s="5"/>
      <c r="E219" s="5"/>
      <c r="F219" s="5"/>
      <c r="G219" s="29"/>
      <c r="H219" s="5"/>
      <c r="I219" s="5"/>
      <c r="J219" s="5"/>
      <c r="K219" s="5"/>
      <c r="L219" s="5"/>
      <c r="M219" s="5"/>
      <c r="N219" s="29" t="str">
        <f>IF(OR(B219="",M219&lt;&gt;"Yes"),"",IF(O219&lt;&gt;"",O219+IF(L219="Low",3,IF(L219="Medium",7,21)),G219+IF(L219="Low",2,IF(L219="Medium",5,14))))</f>
        <v/>
      </c>
      <c r="O219" s="29"/>
      <c r="P219" s="5"/>
      <c r="Q219" s="5"/>
      <c r="R219" s="5"/>
    </row>
    <row r="220" spans="1:18">
      <c r="A220" s="7" t="str">
        <f t="shared" si="8"/>
        <v/>
      </c>
      <c r="B220" s="5"/>
      <c r="C220" s="5"/>
      <c r="D220" s="5"/>
      <c r="E220" s="5"/>
      <c r="F220" s="5"/>
      <c r="G220" s="29"/>
      <c r="H220" s="5"/>
      <c r="I220" s="5"/>
      <c r="J220" s="5"/>
      <c r="K220" s="5"/>
      <c r="L220" s="5"/>
      <c r="M220" s="5"/>
      <c r="N220" s="29" t="str">
        <f>IF(OR(B220="",M220&lt;&gt;"Yes"),"",IF(O220&lt;&gt;"",O220+IF(L220="Low",3,IF(L220="Medium",7,21)),G220+IF(L220="Low",2,IF(L220="Medium",5,14))))</f>
        <v/>
      </c>
      <c r="O220" s="29"/>
      <c r="P220" s="5"/>
      <c r="Q220" s="5"/>
      <c r="R220" s="5"/>
    </row>
    <row r="221" spans="1:18">
      <c r="A221" s="7" t="str">
        <f t="shared" si="8"/>
        <v/>
      </c>
      <c r="B221" s="5"/>
      <c r="C221" s="5"/>
      <c r="D221" s="5"/>
      <c r="E221" s="5"/>
      <c r="F221" s="5"/>
      <c r="G221" s="29"/>
      <c r="H221" s="5"/>
      <c r="I221" s="5"/>
      <c r="J221" s="5"/>
      <c r="K221" s="5"/>
      <c r="L221" s="5"/>
      <c r="M221" s="5"/>
      <c r="N221" s="29" t="str">
        <f>IF(OR(B221="",M221&lt;&gt;"Yes"),"",IF(O221&lt;&gt;"",O221+IF(L221="Low",3,IF(L221="Medium",7,21)),G221+IF(L221="Low",2,IF(L221="Medium",5,14))))</f>
        <v/>
      </c>
      <c r="O221" s="29"/>
      <c r="P221" s="5"/>
      <c r="Q221" s="5"/>
      <c r="R221" s="5"/>
    </row>
    <row r="222" spans="1:18">
      <c r="A222" s="7" t="str">
        <f t="shared" si="8"/>
        <v/>
      </c>
      <c r="B222" s="5"/>
      <c r="C222" s="5"/>
      <c r="D222" s="5"/>
      <c r="E222" s="5"/>
      <c r="F222" s="5"/>
      <c r="G222" s="29"/>
      <c r="H222" s="5"/>
      <c r="I222" s="5"/>
      <c r="J222" s="5"/>
      <c r="K222" s="5"/>
      <c r="L222" s="5"/>
      <c r="M222" s="5"/>
      <c r="N222" s="29" t="str">
        <f>IF(OR(B222="",M222&lt;&gt;"Yes"),"",IF(O222&lt;&gt;"",O222+IF(L222="Low",3,IF(L222="Medium",7,21)),G222+IF(L222="Low",2,IF(L222="Medium",5,14))))</f>
        <v/>
      </c>
      <c r="O222" s="29"/>
      <c r="P222" s="5"/>
      <c r="Q222" s="5"/>
      <c r="R222" s="5"/>
    </row>
    <row r="223" spans="1:18">
      <c r="A223" s="7" t="str">
        <f t="shared" si="8"/>
        <v/>
      </c>
      <c r="B223" s="5"/>
      <c r="C223" s="5"/>
      <c r="D223" s="5"/>
      <c r="E223" s="5"/>
      <c r="F223" s="5"/>
      <c r="G223" s="29"/>
      <c r="H223" s="5"/>
      <c r="I223" s="5"/>
      <c r="J223" s="5"/>
      <c r="K223" s="5"/>
      <c r="L223" s="5"/>
      <c r="M223" s="5"/>
      <c r="N223" s="29" t="str">
        <f>IF(OR(B223="",M223&lt;&gt;"Yes"),"",IF(O223&lt;&gt;"",O223+IF(L223="Low",3,IF(L223="Medium",7,21)),G223+IF(L223="Low",2,IF(L223="Medium",5,14))))</f>
        <v/>
      </c>
      <c r="O223" s="29"/>
      <c r="P223" s="5"/>
      <c r="Q223" s="5"/>
      <c r="R223" s="5"/>
    </row>
    <row r="224" spans="1:18">
      <c r="A224" s="7" t="str">
        <f t="shared" si="8"/>
        <v/>
      </c>
      <c r="B224" s="5"/>
      <c r="C224" s="5"/>
      <c r="D224" s="5"/>
      <c r="E224" s="5"/>
      <c r="F224" s="5"/>
      <c r="G224" s="29"/>
      <c r="H224" s="5"/>
      <c r="I224" s="5"/>
      <c r="J224" s="5"/>
      <c r="K224" s="5"/>
      <c r="L224" s="5"/>
      <c r="M224" s="5"/>
      <c r="N224" s="29" t="str">
        <f>IF(OR(B224="",M224&lt;&gt;"Yes"),"",IF(O224&lt;&gt;"",O224+IF(L224="Low",3,IF(L224="Medium",7,21)),G224+IF(L224="Low",2,IF(L224="Medium",5,14))))</f>
        <v/>
      </c>
      <c r="O224" s="29"/>
      <c r="P224" s="5"/>
      <c r="Q224" s="5"/>
      <c r="R224" s="5"/>
    </row>
    <row r="225" spans="1:18">
      <c r="A225" s="7" t="str">
        <f t="shared" si="8"/>
        <v/>
      </c>
      <c r="B225" s="5"/>
      <c r="C225" s="5"/>
      <c r="D225" s="5"/>
      <c r="E225" s="5"/>
      <c r="F225" s="5"/>
      <c r="G225" s="29"/>
      <c r="H225" s="5"/>
      <c r="I225" s="5"/>
      <c r="J225" s="5"/>
      <c r="K225" s="5"/>
      <c r="L225" s="5"/>
      <c r="M225" s="5"/>
      <c r="N225" s="29" t="str">
        <f>IF(OR(B225="",M225&lt;&gt;"Yes"),"",IF(O225&lt;&gt;"",O225+IF(L225="Low",3,IF(L225="Medium",7,21)),G225+IF(L225="Low",2,IF(L225="Medium",5,14))))</f>
        <v/>
      </c>
      <c r="O225" s="29"/>
      <c r="P225" s="5"/>
      <c r="Q225" s="5"/>
      <c r="R225" s="5"/>
    </row>
    <row r="226" spans="1:18">
      <c r="A226" s="7" t="str">
        <f t="shared" si="8"/>
        <v/>
      </c>
      <c r="B226" s="5"/>
      <c r="C226" s="5"/>
      <c r="D226" s="5"/>
      <c r="E226" s="5"/>
      <c r="F226" s="5"/>
      <c r="G226" s="29"/>
      <c r="H226" s="5"/>
      <c r="I226" s="5"/>
      <c r="J226" s="5"/>
      <c r="K226" s="5"/>
      <c r="L226" s="5"/>
      <c r="M226" s="5"/>
      <c r="N226" s="29" t="str">
        <f>IF(OR(B226="",M226&lt;&gt;"Yes"),"",IF(O226&lt;&gt;"",O226+IF(L226="Low",3,IF(L226="Medium",7,21)),G226+IF(L226="Low",2,IF(L226="Medium",5,14))))</f>
        <v/>
      </c>
      <c r="O226" s="29"/>
      <c r="P226" s="5"/>
      <c r="Q226" s="5"/>
      <c r="R226" s="5"/>
    </row>
    <row r="227" spans="1:18">
      <c r="A227" s="7" t="str">
        <f t="shared" si="8"/>
        <v/>
      </c>
      <c r="B227" s="5"/>
      <c r="C227" s="5"/>
      <c r="D227" s="5"/>
      <c r="E227" s="5"/>
      <c r="F227" s="5"/>
      <c r="G227" s="29"/>
      <c r="H227" s="5"/>
      <c r="I227" s="5"/>
      <c r="J227" s="5"/>
      <c r="K227" s="5"/>
      <c r="L227" s="5"/>
      <c r="M227" s="5"/>
      <c r="N227" s="29" t="str">
        <f>IF(OR(B227="",M227&lt;&gt;"Yes"),"",IF(O227&lt;&gt;"",O227+IF(L227="Low",3,IF(L227="Medium",7,21)),G227+IF(L227="Low",2,IF(L227="Medium",5,14))))</f>
        <v/>
      </c>
      <c r="O227" s="29"/>
      <c r="P227" s="5"/>
      <c r="Q227" s="5"/>
      <c r="R227" s="5"/>
    </row>
    <row r="228" spans="1:18">
      <c r="A228" s="7" t="str">
        <f t="shared" si="8"/>
        <v/>
      </c>
      <c r="B228" s="5"/>
      <c r="C228" s="5"/>
      <c r="D228" s="5"/>
      <c r="E228" s="5"/>
      <c r="F228" s="5"/>
      <c r="G228" s="29"/>
      <c r="H228" s="5"/>
      <c r="I228" s="5"/>
      <c r="J228" s="5"/>
      <c r="K228" s="5"/>
      <c r="L228" s="5"/>
      <c r="M228" s="5"/>
      <c r="N228" s="29" t="str">
        <f>IF(OR(B228="",M228&lt;&gt;"Yes"),"",IF(O228&lt;&gt;"",O228+IF(L228="Low",3,IF(L228="Medium",7,21)),G228+IF(L228="Low",2,IF(L228="Medium",5,14))))</f>
        <v/>
      </c>
      <c r="O228" s="29"/>
      <c r="P228" s="5"/>
      <c r="Q228" s="5"/>
      <c r="R228" s="5"/>
    </row>
    <row r="229" spans="1:18">
      <c r="A229" s="7" t="str">
        <f t="shared" si="8"/>
        <v/>
      </c>
      <c r="B229" s="5"/>
      <c r="C229" s="5"/>
      <c r="D229" s="5"/>
      <c r="E229" s="5"/>
      <c r="F229" s="5"/>
      <c r="G229" s="29"/>
      <c r="H229" s="5"/>
      <c r="I229" s="5"/>
      <c r="J229" s="5"/>
      <c r="K229" s="5"/>
      <c r="L229" s="5"/>
      <c r="M229" s="5"/>
      <c r="N229" s="29" t="str">
        <f>IF(OR(B229="",M229&lt;&gt;"Yes"),"",IF(O229&lt;&gt;"",O229+IF(L229="Low",3,IF(L229="Medium",7,21)),G229+IF(L229="Low",2,IF(L229="Medium",5,14))))</f>
        <v/>
      </c>
      <c r="O229" s="29"/>
      <c r="P229" s="5"/>
      <c r="Q229" s="5"/>
      <c r="R229" s="5"/>
    </row>
    <row r="230" spans="1:18">
      <c r="A230" s="7" t="str">
        <f t="shared" si="8"/>
        <v/>
      </c>
      <c r="B230" s="5"/>
      <c r="C230" s="5"/>
      <c r="D230" s="5"/>
      <c r="E230" s="5"/>
      <c r="F230" s="5"/>
      <c r="G230" s="29"/>
      <c r="H230" s="5"/>
      <c r="I230" s="5"/>
      <c r="J230" s="5"/>
      <c r="K230" s="5"/>
      <c r="L230" s="5"/>
      <c r="M230" s="5"/>
      <c r="N230" s="29" t="str">
        <f>IF(OR(B230="",M230&lt;&gt;"Yes"),"",IF(O230&lt;&gt;"",O230+IF(L230="Low",3,IF(L230="Medium",7,21)),G230+IF(L230="Low",2,IF(L230="Medium",5,14))))</f>
        <v/>
      </c>
      <c r="O230" s="29"/>
      <c r="P230" s="5"/>
      <c r="Q230" s="5"/>
      <c r="R230" s="5"/>
    </row>
    <row r="231" spans="1:18">
      <c r="A231" s="7" t="str">
        <f t="shared" si="8"/>
        <v/>
      </c>
      <c r="B231" s="5"/>
      <c r="C231" s="5"/>
      <c r="D231" s="5"/>
      <c r="E231" s="5"/>
      <c r="F231" s="5"/>
      <c r="G231" s="29"/>
      <c r="H231" s="5"/>
      <c r="I231" s="5"/>
      <c r="J231" s="5"/>
      <c r="K231" s="5"/>
      <c r="L231" s="5"/>
      <c r="M231" s="5"/>
      <c r="N231" s="29" t="str">
        <f>IF(OR(B231="",M231&lt;&gt;"Yes"),"",IF(O231&lt;&gt;"",O231+IF(L231="Low",3,IF(L231="Medium",7,21)),G231+IF(L231="Low",2,IF(L231="Medium",5,14))))</f>
        <v/>
      </c>
      <c r="O231" s="29"/>
      <c r="P231" s="5"/>
      <c r="Q231" s="5"/>
      <c r="R231" s="5"/>
    </row>
    <row r="232" spans="1:18">
      <c r="A232" s="7" t="str">
        <f t="shared" si="8"/>
        <v/>
      </c>
      <c r="B232" s="5"/>
      <c r="C232" s="5"/>
      <c r="D232" s="5"/>
      <c r="E232" s="5"/>
      <c r="F232" s="5"/>
      <c r="G232" s="29"/>
      <c r="H232" s="5"/>
      <c r="I232" s="5"/>
      <c r="J232" s="5"/>
      <c r="K232" s="5"/>
      <c r="L232" s="5"/>
      <c r="M232" s="5"/>
      <c r="N232" s="29" t="str">
        <f>IF(OR(B232="",M232&lt;&gt;"Yes"),"",IF(O232&lt;&gt;"",O232+IF(L232="Low",3,IF(L232="Medium",7,21)),G232+IF(L232="Low",2,IF(L232="Medium",5,14))))</f>
        <v/>
      </c>
      <c r="O232" s="29"/>
      <c r="P232" s="5"/>
      <c r="Q232" s="5"/>
      <c r="R232" s="5"/>
    </row>
    <row r="233" spans="1:18">
      <c r="A233" s="7" t="str">
        <f t="shared" si="8"/>
        <v/>
      </c>
      <c r="B233" s="5"/>
      <c r="C233" s="5"/>
      <c r="D233" s="5"/>
      <c r="E233" s="5"/>
      <c r="F233" s="5"/>
      <c r="G233" s="29"/>
      <c r="H233" s="5"/>
      <c r="I233" s="5"/>
      <c r="J233" s="5"/>
      <c r="K233" s="5"/>
      <c r="L233" s="5"/>
      <c r="M233" s="5"/>
      <c r="N233" s="29" t="str">
        <f>IF(OR(B233="",M233&lt;&gt;"Yes"),"",IF(O233&lt;&gt;"",O233+IF(L233="Low",3,IF(L233="Medium",7,21)),G233+IF(L233="Low",2,IF(L233="Medium",5,14))))</f>
        <v/>
      </c>
      <c r="O233" s="29"/>
      <c r="P233" s="5"/>
      <c r="Q233" s="5"/>
      <c r="R233" s="5"/>
    </row>
    <row r="234" spans="1:18">
      <c r="A234" s="7" t="str">
        <f t="shared" si="8"/>
        <v/>
      </c>
      <c r="B234" s="5"/>
      <c r="C234" s="5"/>
      <c r="D234" s="5"/>
      <c r="E234" s="5"/>
      <c r="F234" s="5"/>
      <c r="G234" s="29"/>
      <c r="H234" s="5"/>
      <c r="I234" s="5"/>
      <c r="J234" s="5"/>
      <c r="K234" s="5"/>
      <c r="L234" s="5"/>
      <c r="M234" s="5"/>
      <c r="N234" s="29" t="str">
        <f>IF(OR(B234="",M234&lt;&gt;"Yes"),"",IF(O234&lt;&gt;"",O234+IF(L234="Low",3,IF(L234="Medium",7,21)),G234+IF(L234="Low",2,IF(L234="Medium",5,14))))</f>
        <v/>
      </c>
      <c r="O234" s="29"/>
      <c r="P234" s="5"/>
      <c r="Q234" s="5"/>
      <c r="R234" s="5"/>
    </row>
    <row r="235" spans="1:18">
      <c r="A235" s="7" t="str">
        <f t="shared" si="8"/>
        <v/>
      </c>
      <c r="B235" s="5"/>
      <c r="C235" s="5"/>
      <c r="D235" s="5"/>
      <c r="E235" s="5"/>
      <c r="F235" s="5"/>
      <c r="G235" s="29"/>
      <c r="H235" s="5"/>
      <c r="I235" s="5"/>
      <c r="J235" s="5"/>
      <c r="K235" s="5"/>
      <c r="L235" s="5"/>
      <c r="M235" s="5"/>
      <c r="N235" s="29" t="str">
        <f>IF(OR(B235="",M235&lt;&gt;"Yes"),"",IF(O235&lt;&gt;"",O235+IF(L235="Low",3,IF(L235="Medium",7,21)),G235+IF(L235="Low",2,IF(L235="Medium",5,14))))</f>
        <v/>
      </c>
      <c r="O235" s="29"/>
      <c r="P235" s="5"/>
      <c r="Q235" s="5"/>
      <c r="R235" s="5"/>
    </row>
    <row r="236" spans="1:18">
      <c r="A236" s="7" t="str">
        <f t="shared" si="8"/>
        <v/>
      </c>
      <c r="B236" s="5"/>
      <c r="C236" s="5"/>
      <c r="D236" s="5"/>
      <c r="E236" s="5"/>
      <c r="F236" s="5"/>
      <c r="G236" s="29"/>
      <c r="H236" s="5"/>
      <c r="I236" s="5"/>
      <c r="J236" s="5"/>
      <c r="K236" s="5"/>
      <c r="L236" s="5"/>
      <c r="M236" s="5"/>
      <c r="N236" s="29" t="str">
        <f>IF(OR(B236="",M236&lt;&gt;"Yes"),"",IF(O236&lt;&gt;"",O236+IF(L236="Low",3,IF(L236="Medium",7,21)),G236+IF(L236="Low",2,IF(L236="Medium",5,14))))</f>
        <v/>
      </c>
      <c r="O236" s="29"/>
      <c r="P236" s="5"/>
      <c r="Q236" s="5"/>
      <c r="R236" s="5"/>
    </row>
    <row r="237" spans="1:18">
      <c r="A237" s="7" t="str">
        <f t="shared" si="8"/>
        <v/>
      </c>
      <c r="B237" s="5"/>
      <c r="C237" s="5"/>
      <c r="D237" s="5"/>
      <c r="E237" s="5"/>
      <c r="F237" s="5"/>
      <c r="G237" s="29"/>
      <c r="H237" s="5"/>
      <c r="I237" s="5"/>
      <c r="J237" s="5"/>
      <c r="K237" s="5"/>
      <c r="L237" s="5"/>
      <c r="M237" s="5"/>
      <c r="N237" s="29" t="str">
        <f>IF(OR(B237="",M237&lt;&gt;"Yes"),"",IF(O237&lt;&gt;"",O237+IF(L237="Low",3,IF(L237="Medium",7,21)),G237+IF(L237="Low",2,IF(L237="Medium",5,14))))</f>
        <v/>
      </c>
      <c r="O237" s="29"/>
      <c r="P237" s="5"/>
      <c r="Q237" s="5"/>
      <c r="R237" s="5"/>
    </row>
    <row r="238" spans="1:18">
      <c r="A238" s="7" t="str">
        <f t="shared" si="8"/>
        <v/>
      </c>
      <c r="B238" s="5"/>
      <c r="C238" s="5"/>
      <c r="D238" s="5"/>
      <c r="E238" s="5"/>
      <c r="F238" s="5"/>
      <c r="G238" s="29"/>
      <c r="H238" s="5"/>
      <c r="I238" s="5"/>
      <c r="J238" s="5"/>
      <c r="K238" s="5"/>
      <c r="L238" s="5"/>
      <c r="M238" s="5"/>
      <c r="N238" s="29" t="str">
        <f>IF(OR(B238="",M238&lt;&gt;"Yes"),"",IF(O238&lt;&gt;"",O238+IF(L238="Low",3,IF(L238="Medium",7,21)),G238+IF(L238="Low",2,IF(L238="Medium",5,14))))</f>
        <v/>
      </c>
      <c r="O238" s="29"/>
      <c r="P238" s="5"/>
      <c r="Q238" s="5"/>
      <c r="R238" s="5"/>
    </row>
    <row r="239" spans="1:18">
      <c r="A239" s="7" t="str">
        <f t="shared" si="8"/>
        <v/>
      </c>
      <c r="B239" s="5"/>
      <c r="C239" s="5"/>
      <c r="D239" s="5"/>
      <c r="E239" s="5"/>
      <c r="F239" s="5"/>
      <c r="G239" s="29"/>
      <c r="H239" s="5"/>
      <c r="I239" s="5"/>
      <c r="J239" s="5"/>
      <c r="K239" s="5"/>
      <c r="L239" s="5"/>
      <c r="M239" s="5"/>
      <c r="N239" s="29" t="str">
        <f>IF(OR(B239="",M239&lt;&gt;"Yes"),"",IF(O239&lt;&gt;"",O239+IF(L239="Low",3,IF(L239="Medium",7,21)),G239+IF(L239="Low",2,IF(L239="Medium",5,14))))</f>
        <v/>
      </c>
      <c r="O239" s="29"/>
      <c r="P239" s="5"/>
      <c r="Q239" s="5"/>
      <c r="R239" s="5"/>
    </row>
    <row r="240" spans="1:18">
      <c r="A240" s="7" t="str">
        <f t="shared" si="8"/>
        <v/>
      </c>
      <c r="B240" s="5"/>
      <c r="C240" s="5"/>
      <c r="D240" s="5"/>
      <c r="E240" s="5"/>
      <c r="F240" s="5"/>
      <c r="G240" s="29"/>
      <c r="H240" s="5"/>
      <c r="I240" s="5"/>
      <c r="J240" s="5"/>
      <c r="K240" s="5"/>
      <c r="L240" s="5"/>
      <c r="M240" s="5"/>
      <c r="N240" s="29" t="str">
        <f>IF(OR(B240="",M240&lt;&gt;"Yes"),"",IF(O240&lt;&gt;"",O240+IF(L240="Low",3,IF(L240="Medium",7,21)),G240+IF(L240="Low",2,IF(L240="Medium",5,14))))</f>
        <v/>
      </c>
      <c r="O240" s="29"/>
      <c r="P240" s="5"/>
      <c r="Q240" s="5"/>
      <c r="R240" s="5"/>
    </row>
    <row r="241" spans="1:18">
      <c r="A241" s="7" t="str">
        <f t="shared" si="8"/>
        <v/>
      </c>
      <c r="B241" s="5"/>
      <c r="C241" s="5"/>
      <c r="D241" s="5"/>
      <c r="E241" s="5"/>
      <c r="F241" s="5"/>
      <c r="G241" s="29"/>
      <c r="H241" s="5"/>
      <c r="I241" s="5"/>
      <c r="J241" s="5"/>
      <c r="K241" s="5"/>
      <c r="L241" s="5"/>
      <c r="M241" s="5"/>
      <c r="N241" s="29" t="str">
        <f>IF(OR(B241="",M241&lt;&gt;"Yes"),"",IF(O241&lt;&gt;"",O241+IF(L241="Low",3,IF(L241="Medium",7,21)),G241+IF(L241="Low",2,IF(L241="Medium",5,14))))</f>
        <v/>
      </c>
      <c r="O241" s="29"/>
      <c r="P241" s="5"/>
      <c r="Q241" s="5"/>
      <c r="R241" s="5"/>
    </row>
    <row r="242" spans="1:18">
      <c r="A242" s="7" t="str">
        <f t="shared" si="8"/>
        <v/>
      </c>
      <c r="B242" s="5"/>
      <c r="C242" s="5"/>
      <c r="D242" s="5"/>
      <c r="E242" s="5"/>
      <c r="F242" s="5"/>
      <c r="G242" s="29"/>
      <c r="H242" s="5"/>
      <c r="I242" s="5"/>
      <c r="J242" s="5"/>
      <c r="K242" s="5"/>
      <c r="L242" s="5"/>
      <c r="M242" s="5"/>
      <c r="N242" s="29" t="str">
        <f>IF(OR(B242="",M242&lt;&gt;"Yes"),"",IF(O242&lt;&gt;"",O242+IF(L242="Low",3,IF(L242="Medium",7,21)),G242+IF(L242="Low",2,IF(L242="Medium",5,14))))</f>
        <v/>
      </c>
      <c r="O242" s="29"/>
      <c r="P242" s="5"/>
      <c r="Q242" s="5"/>
      <c r="R242" s="5"/>
    </row>
    <row r="243" spans="1:18">
      <c r="A243" s="7" t="str">
        <f t="shared" si="8"/>
        <v/>
      </c>
      <c r="B243" s="5"/>
      <c r="C243" s="5"/>
      <c r="D243" s="5"/>
      <c r="E243" s="5"/>
      <c r="F243" s="5"/>
      <c r="G243" s="29"/>
      <c r="H243" s="5"/>
      <c r="I243" s="5"/>
      <c r="J243" s="5"/>
      <c r="K243" s="5"/>
      <c r="L243" s="5"/>
      <c r="M243" s="5"/>
      <c r="N243" s="29" t="str">
        <f>IF(OR(B243="",M243&lt;&gt;"Yes"),"",IF(O243&lt;&gt;"",O243+IF(L243="Low",3,IF(L243="Medium",7,21)),G243+IF(L243="Low",2,IF(L243="Medium",5,14))))</f>
        <v/>
      </c>
      <c r="O243" s="29"/>
      <c r="P243" s="5"/>
      <c r="Q243" s="5"/>
      <c r="R243" s="5"/>
    </row>
    <row r="244" spans="1:18">
      <c r="A244" s="7" t="str">
        <f t="shared" si="8"/>
        <v/>
      </c>
      <c r="B244" s="5"/>
      <c r="C244" s="5"/>
      <c r="D244" s="5"/>
      <c r="E244" s="5"/>
      <c r="F244" s="5"/>
      <c r="G244" s="29"/>
      <c r="H244" s="5"/>
      <c r="I244" s="5"/>
      <c r="J244" s="5"/>
      <c r="K244" s="5"/>
      <c r="L244" s="5"/>
      <c r="M244" s="5"/>
      <c r="N244" s="29" t="str">
        <f>IF(OR(B244="",M244&lt;&gt;"Yes"),"",IF(O244&lt;&gt;"",O244+IF(L244="Low",3,IF(L244="Medium",7,21)),G244+IF(L244="Low",2,IF(L244="Medium",5,14))))</f>
        <v/>
      </c>
      <c r="O244" s="29"/>
      <c r="P244" s="5"/>
      <c r="Q244" s="5"/>
      <c r="R244" s="5"/>
    </row>
    <row r="245" spans="1:18">
      <c r="A245" s="7" t="str">
        <f t="shared" si="8"/>
        <v/>
      </c>
      <c r="B245" s="5"/>
      <c r="C245" s="5"/>
      <c r="D245" s="5"/>
      <c r="E245" s="5"/>
      <c r="F245" s="5"/>
      <c r="G245" s="29"/>
      <c r="H245" s="5"/>
      <c r="I245" s="5"/>
      <c r="J245" s="5"/>
      <c r="K245" s="5"/>
      <c r="L245" s="5"/>
      <c r="M245" s="5"/>
      <c r="N245" s="29" t="str">
        <f>IF(OR(B245="",M245&lt;&gt;"Yes"),"",IF(O245&lt;&gt;"",O245+IF(L245="Low",3,IF(L245="Medium",7,21)),G245+IF(L245="Low",2,IF(L245="Medium",5,14))))</f>
        <v/>
      </c>
      <c r="O245" s="29"/>
      <c r="P245" s="5"/>
      <c r="Q245" s="5"/>
      <c r="R245" s="5"/>
    </row>
    <row r="246" spans="1:18">
      <c r="A246" s="7" t="str">
        <f t="shared" si="8"/>
        <v/>
      </c>
      <c r="B246" s="5"/>
      <c r="C246" s="5"/>
      <c r="D246" s="5"/>
      <c r="E246" s="5"/>
      <c r="F246" s="5"/>
      <c r="G246" s="29"/>
      <c r="H246" s="5"/>
      <c r="I246" s="5"/>
      <c r="J246" s="5"/>
      <c r="K246" s="5"/>
      <c r="L246" s="5"/>
      <c r="M246" s="5"/>
      <c r="N246" s="29" t="str">
        <f>IF(OR(B246="",M246&lt;&gt;"Yes"),"",IF(O246&lt;&gt;"",O246+IF(L246="Low",3,IF(L246="Medium",7,21)),G246+IF(L246="Low",2,IF(L246="Medium",5,14))))</f>
        <v/>
      </c>
      <c r="O246" s="29"/>
      <c r="P246" s="5"/>
      <c r="Q246" s="5"/>
      <c r="R246" s="5"/>
    </row>
    <row r="247" spans="1:18">
      <c r="A247" s="7" t="str">
        <f t="shared" si="8"/>
        <v/>
      </c>
      <c r="B247" s="5"/>
      <c r="C247" s="5"/>
      <c r="D247" s="5"/>
      <c r="E247" s="5"/>
      <c r="F247" s="5"/>
      <c r="G247" s="29"/>
      <c r="H247" s="5"/>
      <c r="I247" s="5"/>
      <c r="J247" s="5"/>
      <c r="K247" s="5"/>
      <c r="L247" s="5"/>
      <c r="M247" s="5"/>
      <c r="N247" s="29" t="str">
        <f>IF(OR(B247="",M247&lt;&gt;"Yes"),"",IF(O247&lt;&gt;"",O247+IF(L247="Low",3,IF(L247="Medium",7,21)),G247+IF(L247="Low",2,IF(L247="Medium",5,14))))</f>
        <v/>
      </c>
      <c r="O247" s="29"/>
      <c r="P247" s="5"/>
      <c r="Q247" s="5"/>
      <c r="R247" s="5"/>
    </row>
    <row r="248" spans="1:18">
      <c r="A248" s="7" t="str">
        <f t="shared" si="8"/>
        <v/>
      </c>
      <c r="B248" s="5"/>
      <c r="C248" s="5"/>
      <c r="D248" s="5"/>
      <c r="E248" s="5"/>
      <c r="F248" s="5"/>
      <c r="G248" s="29"/>
      <c r="H248" s="5"/>
      <c r="I248" s="5"/>
      <c r="J248" s="5"/>
      <c r="K248" s="5"/>
      <c r="L248" s="5"/>
      <c r="M248" s="5"/>
      <c r="N248" s="29" t="str">
        <f>IF(OR(B248="",M248&lt;&gt;"Yes"),"",IF(O248&lt;&gt;"",O248+IF(L248="Low",3,IF(L248="Medium",7,21)),G248+IF(L248="Low",2,IF(L248="Medium",5,14))))</f>
        <v/>
      </c>
      <c r="O248" s="29"/>
      <c r="P248" s="5"/>
      <c r="Q248" s="5"/>
      <c r="R248" s="5"/>
    </row>
    <row r="249" spans="1:18">
      <c r="A249" s="7" t="str">
        <f t="shared" si="8"/>
        <v/>
      </c>
      <c r="B249" s="5"/>
      <c r="C249" s="5"/>
      <c r="D249" s="5"/>
      <c r="E249" s="5"/>
      <c r="F249" s="5"/>
      <c r="G249" s="29"/>
      <c r="H249" s="5"/>
      <c r="I249" s="5"/>
      <c r="J249" s="5"/>
      <c r="K249" s="5"/>
      <c r="L249" s="5"/>
      <c r="M249" s="5"/>
      <c r="N249" s="29" t="str">
        <f>IF(OR(B249="",M249&lt;&gt;"Yes"),"",IF(O249&lt;&gt;"",O249+IF(L249="Low",3,IF(L249="Medium",7,21)),G249+IF(L249="Low",2,IF(L249="Medium",5,14))))</f>
        <v/>
      </c>
      <c r="O249" s="29"/>
      <c r="P249" s="5"/>
      <c r="Q249" s="5"/>
      <c r="R249" s="5"/>
    </row>
    <row r="250" spans="1:18">
      <c r="A250" s="7" t="str">
        <f t="shared" si="8"/>
        <v/>
      </c>
      <c r="B250" s="5"/>
      <c r="C250" s="5"/>
      <c r="D250" s="5"/>
      <c r="E250" s="5"/>
      <c r="F250" s="5"/>
      <c r="G250" s="29"/>
      <c r="H250" s="5"/>
      <c r="I250" s="5"/>
      <c r="J250" s="5"/>
      <c r="K250" s="5"/>
      <c r="L250" s="5"/>
      <c r="M250" s="5"/>
      <c r="N250" s="29" t="str">
        <f>IF(OR(B250="",M250&lt;&gt;"Yes"),"",IF(O250&lt;&gt;"",O250+IF(L250="Low",3,IF(L250="Medium",7,21)),G250+IF(L250="Low",2,IF(L250="Medium",5,14))))</f>
        <v/>
      </c>
      <c r="O250" s="29"/>
      <c r="P250" s="5"/>
      <c r="Q250" s="5"/>
      <c r="R250" s="5"/>
    </row>
    <row r="251" spans="1:18">
      <c r="A251" s="7" t="str">
        <f t="shared" si="8"/>
        <v/>
      </c>
      <c r="B251" s="5"/>
      <c r="C251" s="5"/>
      <c r="D251" s="5"/>
      <c r="E251" s="5"/>
      <c r="F251" s="5"/>
      <c r="G251" s="29"/>
      <c r="H251" s="5"/>
      <c r="I251" s="5"/>
      <c r="J251" s="5"/>
      <c r="K251" s="5"/>
      <c r="L251" s="5"/>
      <c r="M251" s="5"/>
      <c r="N251" s="29" t="str">
        <f>IF(OR(B251="",M251&lt;&gt;"Yes"),"",IF(O251&lt;&gt;"",O251+IF(L251="Low",3,IF(L251="Medium",7,21)),G251+IF(L251="Low",2,IF(L251="Medium",5,14))))</f>
        <v/>
      </c>
      <c r="O251" s="29"/>
      <c r="P251" s="5"/>
      <c r="Q251" s="5"/>
      <c r="R251" s="5"/>
    </row>
    <row r="252" spans="1:18">
      <c r="A252" s="7" t="str">
        <f t="shared" si="8"/>
        <v/>
      </c>
      <c r="B252" s="5"/>
      <c r="C252" s="5"/>
      <c r="D252" s="5"/>
      <c r="E252" s="5"/>
      <c r="F252" s="5"/>
      <c r="G252" s="29"/>
      <c r="H252" s="5"/>
      <c r="I252" s="5"/>
      <c r="J252" s="5"/>
      <c r="K252" s="5"/>
      <c r="L252" s="5"/>
      <c r="M252" s="5"/>
      <c r="N252" s="29" t="str">
        <f>IF(OR(B252="",M252&lt;&gt;"Yes"),"",IF(O252&lt;&gt;"",O252+IF(L252="Low",3,IF(L252="Medium",7,21)),G252+IF(L252="Low",2,IF(L252="Medium",5,14))))</f>
        <v/>
      </c>
      <c r="O252" s="29"/>
      <c r="P252" s="5"/>
      <c r="Q252" s="5"/>
      <c r="R252" s="5"/>
    </row>
    <row r="253" spans="1:18">
      <c r="A253" s="7" t="str">
        <f t="shared" si="8"/>
        <v/>
      </c>
      <c r="B253" s="5"/>
      <c r="C253" s="5"/>
      <c r="D253" s="5"/>
      <c r="E253" s="5"/>
      <c r="F253" s="5"/>
      <c r="G253" s="29"/>
      <c r="H253" s="5"/>
      <c r="I253" s="5"/>
      <c r="J253" s="5"/>
      <c r="K253" s="5"/>
      <c r="L253" s="5"/>
      <c r="M253" s="5"/>
      <c r="N253" s="29" t="str">
        <f>IF(OR(B253="",M253&lt;&gt;"Yes"),"",IF(O253&lt;&gt;"",O253+IF(L253="Low",3,IF(L253="Medium",7,21)),G253+IF(L253="Low",2,IF(L253="Medium",5,14))))</f>
        <v/>
      </c>
      <c r="O253" s="29"/>
      <c r="P253" s="5"/>
      <c r="Q253" s="5"/>
      <c r="R253" s="5"/>
    </row>
    <row r="254" spans="1:18">
      <c r="A254" s="7" t="str">
        <f t="shared" si="8"/>
        <v/>
      </c>
      <c r="B254" s="5"/>
      <c r="C254" s="5"/>
      <c r="D254" s="5"/>
      <c r="E254" s="5"/>
      <c r="F254" s="5"/>
      <c r="G254" s="29"/>
      <c r="H254" s="5"/>
      <c r="I254" s="5"/>
      <c r="J254" s="5"/>
      <c r="K254" s="5"/>
      <c r="L254" s="5"/>
      <c r="M254" s="5"/>
      <c r="N254" s="29" t="str">
        <f>IF(OR(B254="",M254&lt;&gt;"Yes"),"",IF(O254&lt;&gt;"",O254+IF(L254="Low",3,IF(L254="Medium",7,21)),G254+IF(L254="Low",2,IF(L254="Medium",5,14))))</f>
        <v/>
      </c>
      <c r="O254" s="29"/>
      <c r="P254" s="5"/>
      <c r="Q254" s="5"/>
      <c r="R254" s="5"/>
    </row>
    <row r="255" spans="1:18">
      <c r="A255" s="7" t="str">
        <f t="shared" si="8"/>
        <v/>
      </c>
      <c r="B255" s="5"/>
      <c r="C255" s="5"/>
      <c r="D255" s="5"/>
      <c r="E255" s="5"/>
      <c r="F255" s="5"/>
      <c r="G255" s="29"/>
      <c r="H255" s="5"/>
      <c r="I255" s="5"/>
      <c r="J255" s="5"/>
      <c r="K255" s="5"/>
      <c r="L255" s="5"/>
      <c r="M255" s="5"/>
      <c r="N255" s="29" t="str">
        <f>IF(OR(B255="",M255&lt;&gt;"Yes"),"",IF(O255&lt;&gt;"",O255+IF(L255="Low",3,IF(L255="Medium",7,21)),G255+IF(L255="Low",2,IF(L255="Medium",5,14))))</f>
        <v/>
      </c>
      <c r="O255" s="29"/>
      <c r="P255" s="5"/>
      <c r="Q255" s="5"/>
      <c r="R255" s="5"/>
    </row>
    <row r="256" spans="1:18">
      <c r="A256" s="7" t="str">
        <f t="shared" si="8"/>
        <v/>
      </c>
      <c r="B256" s="5"/>
      <c r="C256" s="5"/>
      <c r="D256" s="5"/>
      <c r="E256" s="5"/>
      <c r="F256" s="5"/>
      <c r="G256" s="29"/>
      <c r="H256" s="5"/>
      <c r="I256" s="5"/>
      <c r="J256" s="5"/>
      <c r="K256" s="5"/>
      <c r="L256" s="5"/>
      <c r="M256" s="5"/>
      <c r="N256" s="29" t="str">
        <f>IF(OR(B256="",M256&lt;&gt;"Yes"),"",IF(O256&lt;&gt;"",O256+IF(L256="Low",3,IF(L256="Medium",7,21)),G256+IF(L256="Low",2,IF(L256="Medium",5,14))))</f>
        <v/>
      </c>
      <c r="O256" s="29"/>
      <c r="P256" s="5"/>
      <c r="Q256" s="5"/>
      <c r="R256" s="5"/>
    </row>
    <row r="257" spans="1:18">
      <c r="A257" s="7" t="str">
        <f t="shared" ref="A257:A320" si="9">IF(B257="","",ROW()-3)</f>
        <v/>
      </c>
      <c r="B257" s="5"/>
      <c r="C257" s="5"/>
      <c r="D257" s="5"/>
      <c r="E257" s="5"/>
      <c r="F257" s="5"/>
      <c r="G257" s="29"/>
      <c r="H257" s="5"/>
      <c r="I257" s="5"/>
      <c r="J257" s="5"/>
      <c r="K257" s="5"/>
      <c r="L257" s="5"/>
      <c r="M257" s="5"/>
      <c r="N257" s="29" t="str">
        <f>IF(OR(B257="",M257&lt;&gt;"Yes"),"",IF(O257&lt;&gt;"",O257+IF(L257="Low",3,IF(L257="Medium",7,21)),G257+IF(L257="Low",2,IF(L257="Medium",5,14))))</f>
        <v/>
      </c>
      <c r="O257" s="29"/>
      <c r="P257" s="5"/>
      <c r="Q257" s="5"/>
      <c r="R257" s="5"/>
    </row>
    <row r="258" spans="1:18">
      <c r="A258" s="7" t="str">
        <f t="shared" si="9"/>
        <v/>
      </c>
      <c r="B258" s="5"/>
      <c r="C258" s="5"/>
      <c r="D258" s="5"/>
      <c r="E258" s="5"/>
      <c r="F258" s="5"/>
      <c r="G258" s="29"/>
      <c r="H258" s="5"/>
      <c r="I258" s="5"/>
      <c r="J258" s="5"/>
      <c r="K258" s="5"/>
      <c r="L258" s="5"/>
      <c r="M258" s="5"/>
      <c r="N258" s="29" t="str">
        <f>IF(OR(B258="",M258&lt;&gt;"Yes"),"",IF(O258&lt;&gt;"",O258+IF(L258="Low",3,IF(L258="Medium",7,21)),G258+IF(L258="Low",2,IF(L258="Medium",5,14))))</f>
        <v/>
      </c>
      <c r="O258" s="29"/>
      <c r="P258" s="5"/>
      <c r="Q258" s="5"/>
      <c r="R258" s="5"/>
    </row>
    <row r="259" spans="1:18">
      <c r="A259" s="7" t="str">
        <f t="shared" si="9"/>
        <v/>
      </c>
      <c r="B259" s="5"/>
      <c r="C259" s="5"/>
      <c r="D259" s="5"/>
      <c r="E259" s="5"/>
      <c r="F259" s="5"/>
      <c r="G259" s="29"/>
      <c r="H259" s="5"/>
      <c r="I259" s="5"/>
      <c r="J259" s="5"/>
      <c r="K259" s="5"/>
      <c r="L259" s="5"/>
      <c r="M259" s="5"/>
      <c r="N259" s="29" t="str">
        <f>IF(OR(B259="",M259&lt;&gt;"Yes"),"",IF(O259&lt;&gt;"",O259+IF(L259="Low",3,IF(L259="Medium",7,21)),G259+IF(L259="Low",2,IF(L259="Medium",5,14))))</f>
        <v/>
      </c>
      <c r="O259" s="29"/>
      <c r="P259" s="5"/>
      <c r="Q259" s="5"/>
      <c r="R259" s="5"/>
    </row>
    <row r="260" spans="1:18">
      <c r="A260" s="7" t="str">
        <f t="shared" si="9"/>
        <v/>
      </c>
      <c r="B260" s="5"/>
      <c r="C260" s="5"/>
      <c r="D260" s="5"/>
      <c r="E260" s="5"/>
      <c r="F260" s="5"/>
      <c r="G260" s="29"/>
      <c r="H260" s="5"/>
      <c r="I260" s="5"/>
      <c r="J260" s="5"/>
      <c r="K260" s="5"/>
      <c r="L260" s="5"/>
      <c r="M260" s="5"/>
      <c r="N260" s="29" t="str">
        <f>IF(OR(B260="",M260&lt;&gt;"Yes"),"",IF(O260&lt;&gt;"",O260+IF(L260="Low",3,IF(L260="Medium",7,21)),G260+IF(L260="Low",2,IF(L260="Medium",5,14))))</f>
        <v/>
      </c>
      <c r="O260" s="29"/>
      <c r="P260" s="5"/>
      <c r="Q260" s="5"/>
      <c r="R260" s="5"/>
    </row>
    <row r="261" spans="1:18">
      <c r="A261" s="7" t="str">
        <f t="shared" si="9"/>
        <v/>
      </c>
      <c r="B261" s="5"/>
      <c r="C261" s="5"/>
      <c r="D261" s="5"/>
      <c r="E261" s="5"/>
      <c r="F261" s="5"/>
      <c r="G261" s="29"/>
      <c r="H261" s="5"/>
      <c r="I261" s="5"/>
      <c r="J261" s="5"/>
      <c r="K261" s="5"/>
      <c r="L261" s="5"/>
      <c r="M261" s="5"/>
      <c r="N261" s="29" t="str">
        <f>IF(OR(B261="",M261&lt;&gt;"Yes"),"",IF(O261&lt;&gt;"",O261+IF(L261="Low",3,IF(L261="Medium",7,21)),G261+IF(L261="Low",2,IF(L261="Medium",5,14))))</f>
        <v/>
      </c>
      <c r="O261" s="29"/>
      <c r="P261" s="5"/>
      <c r="Q261" s="5"/>
      <c r="R261" s="5"/>
    </row>
    <row r="262" spans="1:18">
      <c r="A262" s="7" t="str">
        <f t="shared" si="9"/>
        <v/>
      </c>
      <c r="B262" s="5"/>
      <c r="C262" s="5"/>
      <c r="D262" s="5"/>
      <c r="E262" s="5"/>
      <c r="F262" s="5"/>
      <c r="G262" s="29"/>
      <c r="H262" s="5"/>
      <c r="I262" s="5"/>
      <c r="J262" s="5"/>
      <c r="K262" s="5"/>
      <c r="L262" s="5"/>
      <c r="M262" s="5"/>
      <c r="N262" s="29" t="str">
        <f>IF(OR(B262="",M262&lt;&gt;"Yes"),"",IF(O262&lt;&gt;"",O262+IF(L262="Low",3,IF(L262="Medium",7,21)),G262+IF(L262="Low",2,IF(L262="Medium",5,14))))</f>
        <v/>
      </c>
      <c r="O262" s="29"/>
      <c r="P262" s="5"/>
      <c r="Q262" s="5"/>
      <c r="R262" s="5"/>
    </row>
    <row r="263" spans="1:18">
      <c r="A263" s="7" t="str">
        <f t="shared" si="9"/>
        <v/>
      </c>
      <c r="B263" s="5"/>
      <c r="C263" s="5"/>
      <c r="D263" s="5"/>
      <c r="E263" s="5"/>
      <c r="F263" s="5"/>
      <c r="G263" s="29"/>
      <c r="H263" s="5"/>
      <c r="I263" s="5"/>
      <c r="J263" s="5"/>
      <c r="K263" s="5"/>
      <c r="L263" s="5"/>
      <c r="M263" s="5"/>
      <c r="N263" s="29" t="str">
        <f>IF(OR(B263="",M263&lt;&gt;"Yes"),"",IF(O263&lt;&gt;"",O263+IF(L263="Low",3,IF(L263="Medium",7,21)),G263+IF(L263="Low",2,IF(L263="Medium",5,14))))</f>
        <v/>
      </c>
      <c r="O263" s="29"/>
      <c r="P263" s="5"/>
      <c r="Q263" s="5"/>
      <c r="R263" s="5"/>
    </row>
    <row r="264" spans="1:18">
      <c r="A264" s="7" t="str">
        <f t="shared" si="9"/>
        <v/>
      </c>
      <c r="B264" s="5"/>
      <c r="C264" s="5"/>
      <c r="D264" s="5"/>
      <c r="E264" s="5"/>
      <c r="F264" s="5"/>
      <c r="G264" s="29"/>
      <c r="H264" s="5"/>
      <c r="I264" s="5"/>
      <c r="J264" s="5"/>
      <c r="K264" s="5"/>
      <c r="L264" s="5"/>
      <c r="M264" s="5"/>
      <c r="N264" s="29" t="str">
        <f>IF(OR(B264="",M264&lt;&gt;"Yes"),"",IF(O264&lt;&gt;"",O264+IF(L264="Low",3,IF(L264="Medium",7,21)),G264+IF(L264="Low",2,IF(L264="Medium",5,14))))</f>
        <v/>
      </c>
      <c r="O264" s="29"/>
      <c r="P264" s="5"/>
      <c r="Q264" s="5"/>
      <c r="R264" s="5"/>
    </row>
    <row r="265" spans="1:18">
      <c r="A265" s="7" t="str">
        <f t="shared" si="9"/>
        <v/>
      </c>
      <c r="B265" s="5"/>
      <c r="C265" s="5"/>
      <c r="D265" s="5"/>
      <c r="E265" s="5"/>
      <c r="F265" s="5"/>
      <c r="G265" s="29"/>
      <c r="H265" s="5"/>
      <c r="I265" s="5"/>
      <c r="J265" s="5"/>
      <c r="K265" s="5"/>
      <c r="L265" s="5"/>
      <c r="M265" s="5"/>
      <c r="N265" s="29" t="str">
        <f>IF(OR(B265="",M265&lt;&gt;"Yes"),"",IF(O265&lt;&gt;"",O265+IF(L265="Low",3,IF(L265="Medium",7,21)),G265+IF(L265="Low",2,IF(L265="Medium",5,14))))</f>
        <v/>
      </c>
      <c r="O265" s="29"/>
      <c r="P265" s="5"/>
      <c r="Q265" s="5"/>
      <c r="R265" s="5"/>
    </row>
    <row r="266" spans="1:18">
      <c r="A266" s="7" t="str">
        <f t="shared" si="9"/>
        <v/>
      </c>
      <c r="B266" s="5"/>
      <c r="C266" s="5"/>
      <c r="D266" s="5"/>
      <c r="E266" s="5"/>
      <c r="F266" s="5"/>
      <c r="G266" s="29"/>
      <c r="H266" s="5"/>
      <c r="I266" s="5"/>
      <c r="J266" s="5"/>
      <c r="K266" s="5"/>
      <c r="L266" s="5"/>
      <c r="M266" s="5"/>
      <c r="N266" s="29" t="str">
        <f>IF(OR(B266="",M266&lt;&gt;"Yes"),"",IF(O266&lt;&gt;"",O266+IF(L266="Low",3,IF(L266="Medium",7,21)),G266+IF(L266="Low",2,IF(L266="Medium",5,14))))</f>
        <v/>
      </c>
      <c r="O266" s="29"/>
      <c r="P266" s="5"/>
      <c r="Q266" s="5"/>
      <c r="R266" s="5"/>
    </row>
    <row r="267" spans="1:18">
      <c r="A267" s="7" t="str">
        <f t="shared" si="9"/>
        <v/>
      </c>
      <c r="B267" s="5"/>
      <c r="C267" s="5"/>
      <c r="D267" s="5"/>
      <c r="E267" s="5"/>
      <c r="F267" s="5"/>
      <c r="G267" s="29"/>
      <c r="H267" s="5"/>
      <c r="I267" s="5"/>
      <c r="J267" s="5"/>
      <c r="K267" s="5"/>
      <c r="L267" s="5"/>
      <c r="M267" s="5"/>
      <c r="N267" s="29" t="str">
        <f>IF(OR(B267="",M267&lt;&gt;"Yes"),"",IF(O267&lt;&gt;"",O267+IF(L267="Low",3,IF(L267="Medium",7,21)),G267+IF(L267="Low",2,IF(L267="Medium",5,14))))</f>
        <v/>
      </c>
      <c r="O267" s="29"/>
      <c r="P267" s="5"/>
      <c r="Q267" s="5"/>
      <c r="R267" s="5"/>
    </row>
    <row r="268" spans="1:18">
      <c r="A268" s="7" t="str">
        <f t="shared" si="9"/>
        <v/>
      </c>
      <c r="B268" s="5"/>
      <c r="C268" s="5"/>
      <c r="D268" s="5"/>
      <c r="E268" s="5"/>
      <c r="F268" s="5"/>
      <c r="G268" s="29"/>
      <c r="H268" s="5"/>
      <c r="I268" s="5"/>
      <c r="J268" s="5"/>
      <c r="K268" s="5"/>
      <c r="L268" s="5"/>
      <c r="M268" s="5"/>
      <c r="N268" s="29" t="str">
        <f>IF(OR(B268="",M268&lt;&gt;"Yes"),"",IF(O268&lt;&gt;"",O268+IF(L268="Low",3,IF(L268="Medium",7,21)),G268+IF(L268="Low",2,IF(L268="Medium",5,14))))</f>
        <v/>
      </c>
      <c r="O268" s="29"/>
      <c r="P268" s="5"/>
      <c r="Q268" s="5"/>
      <c r="R268" s="5"/>
    </row>
    <row r="269" spans="1:18">
      <c r="A269" s="7" t="str">
        <f t="shared" si="9"/>
        <v/>
      </c>
      <c r="B269" s="5"/>
      <c r="C269" s="5"/>
      <c r="D269" s="5"/>
      <c r="E269" s="5"/>
      <c r="F269" s="5"/>
      <c r="G269" s="29"/>
      <c r="H269" s="5"/>
      <c r="I269" s="5"/>
      <c r="J269" s="5"/>
      <c r="K269" s="5"/>
      <c r="L269" s="5"/>
      <c r="M269" s="5"/>
      <c r="N269" s="29" t="str">
        <f>IF(OR(B269="",M269&lt;&gt;"Yes"),"",IF(O269&lt;&gt;"",O269+IF(L269="Low",3,IF(L269="Medium",7,21)),G269+IF(L269="Low",2,IF(L269="Medium",5,14))))</f>
        <v/>
      </c>
      <c r="O269" s="29"/>
      <c r="P269" s="5"/>
      <c r="Q269" s="5"/>
      <c r="R269" s="5"/>
    </row>
    <row r="270" spans="1:18">
      <c r="A270" s="7" t="str">
        <f t="shared" si="9"/>
        <v/>
      </c>
      <c r="B270" s="5"/>
      <c r="C270" s="5"/>
      <c r="D270" s="5"/>
      <c r="E270" s="5"/>
      <c r="F270" s="5"/>
      <c r="G270" s="29"/>
      <c r="H270" s="5"/>
      <c r="I270" s="5"/>
      <c r="J270" s="5"/>
      <c r="K270" s="5"/>
      <c r="L270" s="5"/>
      <c r="M270" s="5"/>
      <c r="N270" s="29" t="str">
        <f>IF(OR(B270="",M270&lt;&gt;"Yes"),"",IF(O270&lt;&gt;"",O270+IF(L270="Low",3,IF(L270="Medium",7,21)),G270+IF(L270="Low",2,IF(L270="Medium",5,14))))</f>
        <v/>
      </c>
      <c r="O270" s="29"/>
      <c r="P270" s="5"/>
      <c r="Q270" s="5"/>
      <c r="R270" s="5"/>
    </row>
    <row r="271" spans="1:18">
      <c r="A271" s="7" t="str">
        <f t="shared" si="9"/>
        <v/>
      </c>
      <c r="B271" s="5"/>
      <c r="C271" s="5"/>
      <c r="D271" s="5"/>
      <c r="E271" s="5"/>
      <c r="F271" s="5"/>
      <c r="G271" s="29"/>
      <c r="H271" s="5"/>
      <c r="I271" s="5"/>
      <c r="J271" s="5"/>
      <c r="K271" s="5"/>
      <c r="L271" s="5"/>
      <c r="M271" s="5"/>
      <c r="N271" s="29" t="str">
        <f>IF(OR(B271="",M271&lt;&gt;"Yes"),"",IF(O271&lt;&gt;"",O271+IF(L271="Low",3,IF(L271="Medium",7,21)),G271+IF(L271="Low",2,IF(L271="Medium",5,14))))</f>
        <v/>
      </c>
      <c r="O271" s="29"/>
      <c r="P271" s="5"/>
      <c r="Q271" s="5"/>
      <c r="R271" s="5"/>
    </row>
    <row r="272" spans="1:18">
      <c r="A272" s="7" t="str">
        <f t="shared" si="9"/>
        <v/>
      </c>
      <c r="B272" s="5"/>
      <c r="C272" s="5"/>
      <c r="D272" s="5"/>
      <c r="E272" s="5"/>
      <c r="F272" s="5"/>
      <c r="G272" s="29"/>
      <c r="H272" s="5"/>
      <c r="I272" s="5"/>
      <c r="J272" s="5"/>
      <c r="K272" s="5"/>
      <c r="L272" s="5"/>
      <c r="M272" s="5"/>
      <c r="N272" s="29" t="str">
        <f>IF(OR(B272="",M272&lt;&gt;"Yes"),"",IF(O272&lt;&gt;"",O272+IF(L272="Low",3,IF(L272="Medium",7,21)),G272+IF(L272="Low",2,IF(L272="Medium",5,14))))</f>
        <v/>
      </c>
      <c r="O272" s="29"/>
      <c r="P272" s="5"/>
      <c r="Q272" s="5"/>
      <c r="R272" s="5"/>
    </row>
    <row r="273" spans="1:18">
      <c r="A273" s="7" t="str">
        <f t="shared" si="9"/>
        <v/>
      </c>
      <c r="B273" s="5"/>
      <c r="C273" s="5"/>
      <c r="D273" s="5"/>
      <c r="E273" s="5"/>
      <c r="F273" s="5"/>
      <c r="G273" s="29"/>
      <c r="H273" s="5"/>
      <c r="I273" s="5"/>
      <c r="J273" s="5"/>
      <c r="K273" s="5"/>
      <c r="L273" s="5"/>
      <c r="M273" s="5"/>
      <c r="N273" s="29" t="str">
        <f>IF(OR(B273="",M273&lt;&gt;"Yes"),"",IF(O273&lt;&gt;"",O273+IF(L273="Low",3,IF(L273="Medium",7,21)),G273+IF(L273="Low",2,IF(L273="Medium",5,14))))</f>
        <v/>
      </c>
      <c r="O273" s="29"/>
      <c r="P273" s="5"/>
      <c r="Q273" s="5"/>
      <c r="R273" s="5"/>
    </row>
    <row r="274" spans="1:18">
      <c r="A274" s="7" t="str">
        <f t="shared" si="9"/>
        <v/>
      </c>
      <c r="B274" s="5"/>
      <c r="C274" s="5"/>
      <c r="D274" s="5"/>
      <c r="E274" s="5"/>
      <c r="F274" s="5"/>
      <c r="G274" s="29"/>
      <c r="H274" s="5"/>
      <c r="I274" s="5"/>
      <c r="J274" s="5"/>
      <c r="K274" s="5"/>
      <c r="L274" s="5"/>
      <c r="M274" s="5"/>
      <c r="N274" s="29" t="str">
        <f>IF(OR(B274="",M274&lt;&gt;"Yes"),"",IF(O274&lt;&gt;"",O274+IF(L274="Low",3,IF(L274="Medium",7,21)),G274+IF(L274="Low",2,IF(L274="Medium",5,14))))</f>
        <v/>
      </c>
      <c r="O274" s="29"/>
      <c r="P274" s="5"/>
      <c r="Q274" s="5"/>
      <c r="R274" s="5"/>
    </row>
    <row r="275" spans="1:18">
      <c r="A275" s="7" t="str">
        <f t="shared" si="9"/>
        <v/>
      </c>
      <c r="B275" s="5"/>
      <c r="C275" s="5"/>
      <c r="D275" s="5"/>
      <c r="E275" s="5"/>
      <c r="F275" s="5"/>
      <c r="G275" s="29"/>
      <c r="H275" s="5"/>
      <c r="I275" s="5"/>
      <c r="J275" s="5"/>
      <c r="K275" s="5"/>
      <c r="L275" s="5"/>
      <c r="M275" s="5"/>
      <c r="N275" s="29" t="str">
        <f>IF(OR(B275="",M275&lt;&gt;"Yes"),"",IF(O275&lt;&gt;"",O275+IF(L275="Low",3,IF(L275="Medium",7,21)),G275+IF(L275="Low",2,IF(L275="Medium",5,14))))</f>
        <v/>
      </c>
      <c r="O275" s="29"/>
      <c r="P275" s="5"/>
      <c r="Q275" s="5"/>
      <c r="R275" s="5"/>
    </row>
    <row r="276" spans="1:18">
      <c r="A276" s="7" t="str">
        <f t="shared" si="9"/>
        <v/>
      </c>
      <c r="B276" s="5"/>
      <c r="C276" s="5"/>
      <c r="D276" s="5"/>
      <c r="E276" s="5"/>
      <c r="F276" s="5"/>
      <c r="G276" s="29"/>
      <c r="H276" s="5"/>
      <c r="I276" s="5"/>
      <c r="J276" s="5"/>
      <c r="K276" s="5"/>
      <c r="L276" s="5"/>
      <c r="M276" s="5"/>
      <c r="N276" s="29" t="str">
        <f>IF(OR(B276="",M276&lt;&gt;"Yes"),"",IF(O276&lt;&gt;"",O276+IF(L276="Low",3,IF(L276="Medium",7,21)),G276+IF(L276="Low",2,IF(L276="Medium",5,14))))</f>
        <v/>
      </c>
      <c r="O276" s="29"/>
      <c r="P276" s="5"/>
      <c r="Q276" s="5"/>
      <c r="R276" s="5"/>
    </row>
    <row r="277" spans="1:18">
      <c r="A277" s="7" t="str">
        <f t="shared" si="9"/>
        <v/>
      </c>
      <c r="B277" s="5"/>
      <c r="C277" s="5"/>
      <c r="D277" s="5"/>
      <c r="E277" s="5"/>
      <c r="F277" s="5"/>
      <c r="G277" s="29"/>
      <c r="H277" s="5"/>
      <c r="I277" s="5"/>
      <c r="J277" s="5"/>
      <c r="K277" s="5"/>
      <c r="L277" s="5"/>
      <c r="M277" s="5"/>
      <c r="N277" s="29" t="str">
        <f>IF(OR(B277="",M277&lt;&gt;"Yes"),"",IF(O277&lt;&gt;"",O277+IF(L277="Low",3,IF(L277="Medium",7,21)),G277+IF(L277="Low",2,IF(L277="Medium",5,14))))</f>
        <v/>
      </c>
      <c r="O277" s="29"/>
      <c r="P277" s="5"/>
      <c r="Q277" s="5"/>
      <c r="R277" s="5"/>
    </row>
    <row r="278" spans="1:18">
      <c r="A278" s="7" t="str">
        <f t="shared" si="9"/>
        <v/>
      </c>
      <c r="B278" s="5"/>
      <c r="C278" s="5"/>
      <c r="D278" s="5"/>
      <c r="E278" s="5"/>
      <c r="F278" s="5"/>
      <c r="G278" s="29"/>
      <c r="H278" s="5"/>
      <c r="I278" s="5"/>
      <c r="J278" s="5"/>
      <c r="K278" s="5"/>
      <c r="L278" s="5"/>
      <c r="M278" s="5"/>
      <c r="N278" s="29" t="str">
        <f>IF(OR(B278="",M278&lt;&gt;"Yes"),"",IF(O278&lt;&gt;"",O278+IF(L278="Low",3,IF(L278="Medium",7,21)),G278+IF(L278="Low",2,IF(L278="Medium",5,14))))</f>
        <v/>
      </c>
      <c r="O278" s="29"/>
      <c r="P278" s="5"/>
      <c r="Q278" s="5"/>
      <c r="R278" s="5"/>
    </row>
    <row r="279" spans="1:18">
      <c r="A279" s="7" t="str">
        <f t="shared" si="9"/>
        <v/>
      </c>
      <c r="B279" s="5"/>
      <c r="C279" s="5"/>
      <c r="D279" s="5"/>
      <c r="E279" s="5"/>
      <c r="F279" s="5"/>
      <c r="G279" s="29"/>
      <c r="H279" s="5"/>
      <c r="I279" s="5"/>
      <c r="J279" s="5"/>
      <c r="K279" s="5"/>
      <c r="L279" s="5"/>
      <c r="M279" s="5"/>
      <c r="N279" s="29" t="str">
        <f>IF(OR(B279="",M279&lt;&gt;"Yes"),"",IF(O279&lt;&gt;"",O279+IF(L279="Low",3,IF(L279="Medium",7,21)),G279+IF(L279="Low",2,IF(L279="Medium",5,14))))</f>
        <v/>
      </c>
      <c r="O279" s="29"/>
      <c r="P279" s="5"/>
      <c r="Q279" s="5"/>
      <c r="R279" s="5"/>
    </row>
    <row r="280" spans="1:18">
      <c r="A280" s="7" t="str">
        <f t="shared" si="9"/>
        <v/>
      </c>
      <c r="B280" s="5"/>
      <c r="C280" s="5"/>
      <c r="D280" s="5"/>
      <c r="E280" s="5"/>
      <c r="F280" s="5"/>
      <c r="G280" s="29"/>
      <c r="H280" s="5"/>
      <c r="I280" s="5"/>
      <c r="J280" s="5"/>
      <c r="K280" s="5"/>
      <c r="L280" s="5"/>
      <c r="M280" s="5"/>
      <c r="N280" s="29" t="str">
        <f>IF(OR(B280="",M280&lt;&gt;"Yes"),"",IF(O280&lt;&gt;"",O280+IF(L280="Low",3,IF(L280="Medium",7,21)),G280+IF(L280="Low",2,IF(L280="Medium",5,14))))</f>
        <v/>
      </c>
      <c r="O280" s="29"/>
      <c r="P280" s="5"/>
      <c r="Q280" s="5"/>
      <c r="R280" s="5"/>
    </row>
    <row r="281" spans="1:18">
      <c r="A281" s="7" t="str">
        <f t="shared" si="9"/>
        <v/>
      </c>
      <c r="B281" s="5"/>
      <c r="C281" s="5"/>
      <c r="D281" s="5"/>
      <c r="E281" s="5"/>
      <c r="F281" s="5"/>
      <c r="G281" s="29"/>
      <c r="H281" s="5"/>
      <c r="I281" s="5"/>
      <c r="J281" s="5"/>
      <c r="K281" s="5"/>
      <c r="L281" s="5"/>
      <c r="M281" s="5"/>
      <c r="N281" s="29" t="str">
        <f>IF(OR(B281="",M281&lt;&gt;"Yes"),"",IF(O281&lt;&gt;"",O281+IF(L281="Low",3,IF(L281="Medium",7,21)),G281+IF(L281="Low",2,IF(L281="Medium",5,14))))</f>
        <v/>
      </c>
      <c r="O281" s="29"/>
      <c r="P281" s="5"/>
      <c r="Q281" s="5"/>
      <c r="R281" s="5"/>
    </row>
    <row r="282" spans="1:18">
      <c r="A282" s="7" t="str">
        <f t="shared" si="9"/>
        <v/>
      </c>
      <c r="B282" s="5"/>
      <c r="C282" s="5"/>
      <c r="D282" s="5"/>
      <c r="E282" s="5"/>
      <c r="F282" s="5"/>
      <c r="G282" s="29"/>
      <c r="H282" s="5"/>
      <c r="I282" s="5"/>
      <c r="J282" s="5"/>
      <c r="K282" s="5"/>
      <c r="L282" s="5"/>
      <c r="M282" s="5"/>
      <c r="N282" s="29" t="str">
        <f>IF(OR(B282="",M282&lt;&gt;"Yes"),"",IF(O282&lt;&gt;"",O282+IF(L282="Low",3,IF(L282="Medium",7,21)),G282+IF(L282="Low",2,IF(L282="Medium",5,14))))</f>
        <v/>
      </c>
      <c r="O282" s="29"/>
      <c r="P282" s="5"/>
      <c r="Q282" s="5"/>
      <c r="R282" s="5"/>
    </row>
    <row r="283" spans="1:18">
      <c r="A283" s="7" t="str">
        <f t="shared" si="9"/>
        <v/>
      </c>
      <c r="B283" s="5"/>
      <c r="C283" s="5"/>
      <c r="D283" s="5"/>
      <c r="E283" s="5"/>
      <c r="F283" s="5"/>
      <c r="G283" s="29"/>
      <c r="H283" s="5"/>
      <c r="I283" s="5"/>
      <c r="J283" s="5"/>
      <c r="K283" s="5"/>
      <c r="L283" s="5"/>
      <c r="M283" s="5"/>
      <c r="N283" s="29" t="str">
        <f>IF(OR(B283="",M283&lt;&gt;"Yes"),"",IF(O283&lt;&gt;"",O283+IF(L283="Low",3,IF(L283="Medium",7,21)),G283+IF(L283="Low",2,IF(L283="Medium",5,14))))</f>
        <v/>
      </c>
      <c r="O283" s="29"/>
      <c r="P283" s="5"/>
      <c r="Q283" s="5"/>
      <c r="R283" s="5"/>
    </row>
    <row r="284" spans="1:18">
      <c r="A284" s="7" t="str">
        <f t="shared" si="9"/>
        <v/>
      </c>
      <c r="B284" s="5"/>
      <c r="C284" s="5"/>
      <c r="D284" s="5"/>
      <c r="E284" s="5"/>
      <c r="F284" s="5"/>
      <c r="G284" s="29"/>
      <c r="H284" s="5"/>
      <c r="I284" s="5"/>
      <c r="J284" s="5"/>
      <c r="K284" s="5"/>
      <c r="L284" s="5"/>
      <c r="M284" s="5"/>
      <c r="N284" s="29" t="str">
        <f>IF(OR(B284="",M284&lt;&gt;"Yes"),"",IF(O284&lt;&gt;"",O284+IF(L284="Low",3,IF(L284="Medium",7,21)),G284+IF(L284="Low",2,IF(L284="Medium",5,14))))</f>
        <v/>
      </c>
      <c r="O284" s="29"/>
      <c r="P284" s="5"/>
      <c r="Q284" s="5"/>
      <c r="R284" s="5"/>
    </row>
    <row r="285" spans="1:18">
      <c r="A285" s="7" t="str">
        <f t="shared" si="9"/>
        <v/>
      </c>
      <c r="B285" s="5"/>
      <c r="C285" s="5"/>
      <c r="D285" s="5"/>
      <c r="E285" s="5"/>
      <c r="F285" s="5"/>
      <c r="G285" s="29"/>
      <c r="H285" s="5"/>
      <c r="I285" s="5"/>
      <c r="J285" s="5"/>
      <c r="K285" s="5"/>
      <c r="L285" s="5"/>
      <c r="M285" s="5"/>
      <c r="N285" s="29" t="str">
        <f>IF(OR(B285="",M285&lt;&gt;"Yes"),"",IF(O285&lt;&gt;"",O285+IF(L285="Low",3,IF(L285="Medium",7,21)),G285+IF(L285="Low",2,IF(L285="Medium",5,14))))</f>
        <v/>
      </c>
      <c r="O285" s="29"/>
      <c r="P285" s="5"/>
      <c r="Q285" s="5"/>
      <c r="R285" s="5"/>
    </row>
    <row r="286" spans="1:18">
      <c r="A286" s="7" t="str">
        <f t="shared" si="9"/>
        <v/>
      </c>
      <c r="B286" s="5"/>
      <c r="C286" s="5"/>
      <c r="D286" s="5"/>
      <c r="E286" s="5"/>
      <c r="F286" s="5"/>
      <c r="G286" s="29"/>
      <c r="H286" s="5"/>
      <c r="I286" s="5"/>
      <c r="J286" s="5"/>
      <c r="K286" s="5"/>
      <c r="L286" s="5"/>
      <c r="M286" s="5"/>
      <c r="N286" s="29" t="str">
        <f>IF(OR(B286="",M286&lt;&gt;"Yes"),"",IF(O286&lt;&gt;"",O286+IF(L286="Low",3,IF(L286="Medium",7,21)),G286+IF(L286="Low",2,IF(L286="Medium",5,14))))</f>
        <v/>
      </c>
      <c r="O286" s="29"/>
      <c r="P286" s="5"/>
      <c r="Q286" s="5"/>
      <c r="R286" s="5"/>
    </row>
    <row r="287" spans="1:18">
      <c r="A287" s="7" t="str">
        <f t="shared" si="9"/>
        <v/>
      </c>
      <c r="B287" s="5"/>
      <c r="C287" s="5"/>
      <c r="D287" s="5"/>
      <c r="E287" s="5"/>
      <c r="F287" s="5"/>
      <c r="G287" s="29"/>
      <c r="H287" s="5"/>
      <c r="I287" s="5"/>
      <c r="J287" s="5"/>
      <c r="K287" s="5"/>
      <c r="L287" s="5"/>
      <c r="M287" s="5"/>
      <c r="N287" s="29" t="str">
        <f>IF(OR(B287="",M287&lt;&gt;"Yes"),"",IF(O287&lt;&gt;"",O287+IF(L287="Low",3,IF(L287="Medium",7,21)),G287+IF(L287="Low",2,IF(L287="Medium",5,14))))</f>
        <v/>
      </c>
      <c r="O287" s="29"/>
      <c r="P287" s="5"/>
      <c r="Q287" s="5"/>
      <c r="R287" s="5"/>
    </row>
    <row r="288" spans="1:18">
      <c r="A288" s="7" t="str">
        <f t="shared" si="9"/>
        <v/>
      </c>
      <c r="B288" s="5"/>
      <c r="C288" s="5"/>
      <c r="D288" s="5"/>
      <c r="E288" s="5"/>
      <c r="F288" s="5"/>
      <c r="G288" s="29"/>
      <c r="H288" s="5"/>
      <c r="I288" s="5"/>
      <c r="J288" s="5"/>
      <c r="K288" s="5"/>
      <c r="L288" s="5"/>
      <c r="M288" s="5"/>
      <c r="N288" s="29" t="str">
        <f>IF(OR(B288="",M288&lt;&gt;"Yes"),"",IF(O288&lt;&gt;"",O288+IF(L288="Low",3,IF(L288="Medium",7,21)),G288+IF(L288="Low",2,IF(L288="Medium",5,14))))</f>
        <v/>
      </c>
      <c r="O288" s="29"/>
      <c r="P288" s="5"/>
      <c r="Q288" s="5"/>
      <c r="R288" s="5"/>
    </row>
    <row r="289" spans="1:18">
      <c r="A289" s="7" t="str">
        <f t="shared" si="9"/>
        <v/>
      </c>
      <c r="B289" s="5"/>
      <c r="C289" s="5"/>
      <c r="D289" s="5"/>
      <c r="E289" s="5"/>
      <c r="F289" s="5"/>
      <c r="G289" s="29"/>
      <c r="H289" s="5"/>
      <c r="I289" s="5"/>
      <c r="J289" s="5"/>
      <c r="K289" s="5"/>
      <c r="L289" s="5"/>
      <c r="M289" s="5"/>
      <c r="N289" s="29" t="str">
        <f>IF(OR(B289="",M289&lt;&gt;"Yes"),"",IF(O289&lt;&gt;"",O289+IF(L289="Low",3,IF(L289="Medium",7,21)),G289+IF(L289="Low",2,IF(L289="Medium",5,14))))</f>
        <v/>
      </c>
      <c r="O289" s="29"/>
      <c r="P289" s="5"/>
      <c r="Q289" s="5"/>
      <c r="R289" s="5"/>
    </row>
    <row r="290" spans="1:18">
      <c r="A290" s="7" t="str">
        <f t="shared" si="9"/>
        <v/>
      </c>
      <c r="B290" s="5"/>
      <c r="C290" s="5"/>
      <c r="D290" s="5"/>
      <c r="E290" s="5"/>
      <c r="F290" s="5"/>
      <c r="G290" s="29"/>
      <c r="H290" s="5"/>
      <c r="I290" s="5"/>
      <c r="J290" s="5"/>
      <c r="K290" s="5"/>
      <c r="L290" s="5"/>
      <c r="M290" s="5"/>
      <c r="N290" s="29" t="str">
        <f>IF(OR(B290="",M290&lt;&gt;"Yes"),"",IF(O290&lt;&gt;"",O290+IF(L290="Low",3,IF(L290="Medium",7,21)),G290+IF(L290="Low",2,IF(L290="Medium",5,14))))</f>
        <v/>
      </c>
      <c r="O290" s="29"/>
      <c r="P290" s="5"/>
      <c r="Q290" s="5"/>
      <c r="R290" s="5"/>
    </row>
    <row r="291" spans="1:18">
      <c r="A291" s="7" t="str">
        <f t="shared" si="9"/>
        <v/>
      </c>
      <c r="B291" s="5"/>
      <c r="C291" s="5"/>
      <c r="D291" s="5"/>
      <c r="E291" s="5"/>
      <c r="F291" s="5"/>
      <c r="G291" s="29"/>
      <c r="H291" s="5"/>
      <c r="I291" s="5"/>
      <c r="J291" s="5"/>
      <c r="K291" s="5"/>
      <c r="L291" s="5"/>
      <c r="M291" s="5"/>
      <c r="N291" s="29" t="str">
        <f>IF(OR(B291="",M291&lt;&gt;"Yes"),"",IF(O291&lt;&gt;"",O291+IF(L291="Low",3,IF(L291="Medium",7,21)),G291+IF(L291="Low",2,IF(L291="Medium",5,14))))</f>
        <v/>
      </c>
      <c r="O291" s="29"/>
      <c r="P291" s="5"/>
      <c r="Q291" s="5"/>
      <c r="R291" s="5"/>
    </row>
    <row r="292" spans="1:18">
      <c r="A292" s="7" t="str">
        <f t="shared" si="9"/>
        <v/>
      </c>
      <c r="B292" s="5"/>
      <c r="C292" s="5"/>
      <c r="D292" s="5"/>
      <c r="E292" s="5"/>
      <c r="F292" s="5"/>
      <c r="G292" s="29"/>
      <c r="H292" s="5"/>
      <c r="I292" s="5"/>
      <c r="J292" s="5"/>
      <c r="K292" s="5"/>
      <c r="L292" s="5"/>
      <c r="M292" s="5"/>
      <c r="N292" s="29" t="str">
        <f>IF(OR(B292="",M292&lt;&gt;"Yes"),"",IF(O292&lt;&gt;"",O292+IF(L292="Low",3,IF(L292="Medium",7,21)),G292+IF(L292="Low",2,IF(L292="Medium",5,14))))</f>
        <v/>
      </c>
      <c r="O292" s="29"/>
      <c r="P292" s="5"/>
      <c r="Q292" s="5"/>
      <c r="R292" s="5"/>
    </row>
    <row r="293" spans="1:18">
      <c r="A293" s="7" t="str">
        <f t="shared" si="9"/>
        <v/>
      </c>
      <c r="B293" s="5"/>
      <c r="C293" s="5"/>
      <c r="D293" s="5"/>
      <c r="E293" s="5"/>
      <c r="F293" s="5"/>
      <c r="G293" s="29"/>
      <c r="H293" s="5"/>
      <c r="I293" s="5"/>
      <c r="J293" s="5"/>
      <c r="K293" s="5"/>
      <c r="L293" s="5"/>
      <c r="M293" s="5"/>
      <c r="N293" s="29" t="str">
        <f>IF(OR(B293="",M293&lt;&gt;"Yes"),"",IF(O293&lt;&gt;"",O293+IF(L293="Low",3,IF(L293="Medium",7,21)),G293+IF(L293="Low",2,IF(L293="Medium",5,14))))</f>
        <v/>
      </c>
      <c r="O293" s="29"/>
      <c r="P293" s="5"/>
      <c r="Q293" s="5"/>
      <c r="R293" s="5"/>
    </row>
    <row r="294" spans="1:18">
      <c r="A294" s="7" t="str">
        <f t="shared" si="9"/>
        <v/>
      </c>
      <c r="B294" s="5"/>
      <c r="C294" s="5"/>
      <c r="D294" s="5"/>
      <c r="E294" s="5"/>
      <c r="F294" s="5"/>
      <c r="G294" s="29"/>
      <c r="H294" s="5"/>
      <c r="I294" s="5"/>
      <c r="J294" s="5"/>
      <c r="K294" s="5"/>
      <c r="L294" s="5"/>
      <c r="M294" s="5"/>
      <c r="N294" s="29" t="str">
        <f>IF(OR(B294="",M294&lt;&gt;"Yes"),"",IF(O294&lt;&gt;"",O294+IF(L294="Low",3,IF(L294="Medium",7,21)),G294+IF(L294="Low",2,IF(L294="Medium",5,14))))</f>
        <v/>
      </c>
      <c r="O294" s="29"/>
      <c r="P294" s="5"/>
      <c r="Q294" s="5"/>
      <c r="R294" s="5"/>
    </row>
    <row r="295" spans="1:18">
      <c r="A295" s="7" t="str">
        <f t="shared" si="9"/>
        <v/>
      </c>
      <c r="B295" s="5"/>
      <c r="C295" s="5"/>
      <c r="D295" s="5"/>
      <c r="E295" s="5"/>
      <c r="F295" s="5"/>
      <c r="G295" s="29"/>
      <c r="H295" s="5"/>
      <c r="I295" s="5"/>
      <c r="J295" s="5"/>
      <c r="K295" s="5"/>
      <c r="L295" s="5"/>
      <c r="M295" s="5"/>
      <c r="N295" s="29" t="str">
        <f>IF(OR(B295="",M295&lt;&gt;"Yes"),"",IF(O295&lt;&gt;"",O295+IF(L295="Low",3,IF(L295="Medium",7,21)),G295+IF(L295="Low",2,IF(L295="Medium",5,14))))</f>
        <v/>
      </c>
      <c r="O295" s="29"/>
      <c r="P295" s="5"/>
      <c r="Q295" s="5"/>
      <c r="R295" s="5"/>
    </row>
    <row r="296" spans="1:18">
      <c r="A296" s="7" t="str">
        <f t="shared" si="9"/>
        <v/>
      </c>
      <c r="B296" s="5"/>
      <c r="C296" s="5"/>
      <c r="D296" s="5"/>
      <c r="E296" s="5"/>
      <c r="F296" s="5"/>
      <c r="G296" s="29"/>
      <c r="H296" s="5"/>
      <c r="I296" s="5"/>
      <c r="J296" s="5"/>
      <c r="K296" s="5"/>
      <c r="L296" s="5"/>
      <c r="M296" s="5"/>
      <c r="N296" s="29" t="str">
        <f>IF(OR(B296="",M296&lt;&gt;"Yes"),"",IF(O296&lt;&gt;"",O296+IF(L296="Low",3,IF(L296="Medium",7,21)),G296+IF(L296="Low",2,IF(L296="Medium",5,14))))</f>
        <v/>
      </c>
      <c r="O296" s="29"/>
      <c r="P296" s="5"/>
      <c r="Q296" s="5"/>
      <c r="R296" s="5"/>
    </row>
    <row r="297" spans="1:18">
      <c r="A297" s="7" t="str">
        <f t="shared" si="9"/>
        <v/>
      </c>
      <c r="B297" s="5"/>
      <c r="C297" s="5"/>
      <c r="D297" s="5"/>
      <c r="E297" s="5"/>
      <c r="F297" s="5"/>
      <c r="G297" s="29"/>
      <c r="H297" s="5"/>
      <c r="I297" s="5"/>
      <c r="J297" s="5"/>
      <c r="K297" s="5"/>
      <c r="L297" s="5"/>
      <c r="M297" s="5"/>
      <c r="N297" s="29" t="str">
        <f>IF(OR(B297="",M297&lt;&gt;"Yes"),"",IF(O297&lt;&gt;"",O297+IF(L297="Low",3,IF(L297="Medium",7,21)),G297+IF(L297="Low",2,IF(L297="Medium",5,14))))</f>
        <v/>
      </c>
      <c r="O297" s="29"/>
      <c r="P297" s="5"/>
      <c r="Q297" s="5"/>
      <c r="R297" s="5"/>
    </row>
    <row r="298" spans="1:18">
      <c r="A298" s="7" t="str">
        <f t="shared" si="9"/>
        <v/>
      </c>
      <c r="B298" s="5"/>
      <c r="C298" s="5"/>
      <c r="D298" s="5"/>
      <c r="E298" s="5"/>
      <c r="F298" s="5"/>
      <c r="G298" s="29"/>
      <c r="H298" s="5"/>
      <c r="I298" s="5"/>
      <c r="J298" s="5"/>
      <c r="K298" s="5"/>
      <c r="L298" s="5"/>
      <c r="M298" s="5"/>
      <c r="N298" s="29" t="str">
        <f>IF(OR(B298="",M298&lt;&gt;"Yes"),"",IF(O298&lt;&gt;"",O298+IF(L298="Low",3,IF(L298="Medium",7,21)),G298+IF(L298="Low",2,IF(L298="Medium",5,14))))</f>
        <v/>
      </c>
      <c r="O298" s="29"/>
      <c r="P298" s="5"/>
      <c r="Q298" s="5"/>
      <c r="R298" s="5"/>
    </row>
    <row r="299" spans="1:18">
      <c r="A299" s="7" t="str">
        <f t="shared" si="9"/>
        <v/>
      </c>
      <c r="B299" s="5"/>
      <c r="C299" s="5"/>
      <c r="D299" s="5"/>
      <c r="E299" s="5"/>
      <c r="F299" s="5"/>
      <c r="G299" s="29"/>
      <c r="H299" s="5"/>
      <c r="I299" s="5"/>
      <c r="J299" s="5"/>
      <c r="K299" s="5"/>
      <c r="L299" s="5"/>
      <c r="M299" s="5"/>
      <c r="N299" s="29" t="str">
        <f>IF(OR(B299="",M299&lt;&gt;"Yes"),"",IF(O299&lt;&gt;"",O299+IF(L299="Low",3,IF(L299="Medium",7,21)),G299+IF(L299="Low",2,IF(L299="Medium",5,14))))</f>
        <v/>
      </c>
      <c r="O299" s="29"/>
      <c r="P299" s="5"/>
      <c r="Q299" s="5"/>
      <c r="R299" s="5"/>
    </row>
    <row r="300" spans="1:18">
      <c r="A300" s="7" t="str">
        <f t="shared" si="9"/>
        <v/>
      </c>
      <c r="B300" s="5"/>
      <c r="C300" s="5"/>
      <c r="D300" s="5"/>
      <c r="E300" s="5"/>
      <c r="F300" s="5"/>
      <c r="G300" s="29"/>
      <c r="H300" s="5"/>
      <c r="I300" s="5"/>
      <c r="J300" s="5"/>
      <c r="K300" s="5"/>
      <c r="L300" s="5"/>
      <c r="M300" s="5"/>
      <c r="N300" s="29" t="str">
        <f>IF(OR(B300="",M300&lt;&gt;"Yes"),"",IF(O300&lt;&gt;"",O300+IF(L300="Low",3,IF(L300="Medium",7,21)),G300+IF(L300="Low",2,IF(L300="Medium",5,14))))</f>
        <v/>
      </c>
      <c r="O300" s="29"/>
      <c r="P300" s="5"/>
      <c r="Q300" s="5"/>
      <c r="R300" s="5"/>
    </row>
    <row r="301" spans="1:18">
      <c r="A301" s="7" t="str">
        <f t="shared" si="9"/>
        <v/>
      </c>
      <c r="B301" s="5"/>
      <c r="C301" s="5"/>
      <c r="D301" s="5"/>
      <c r="E301" s="5"/>
      <c r="F301" s="5"/>
      <c r="G301" s="29"/>
      <c r="H301" s="5"/>
      <c r="I301" s="5"/>
      <c r="J301" s="5"/>
      <c r="K301" s="5"/>
      <c r="L301" s="5"/>
      <c r="M301" s="5"/>
      <c r="N301" s="29" t="str">
        <f>IF(OR(B301="",M301&lt;&gt;"Yes"),"",IF(O301&lt;&gt;"",O301+IF(L301="Low",3,IF(L301="Medium",7,21)),G301+IF(L301="Low",2,IF(L301="Medium",5,14))))</f>
        <v/>
      </c>
      <c r="O301" s="29"/>
      <c r="P301" s="5"/>
      <c r="Q301" s="5"/>
      <c r="R301" s="5"/>
    </row>
    <row r="302" spans="1:18">
      <c r="A302" s="7" t="str">
        <f t="shared" si="9"/>
        <v/>
      </c>
      <c r="B302" s="5"/>
      <c r="C302" s="5"/>
      <c r="D302" s="5"/>
      <c r="E302" s="5"/>
      <c r="F302" s="5"/>
      <c r="G302" s="29"/>
      <c r="H302" s="5"/>
      <c r="I302" s="5"/>
      <c r="J302" s="5"/>
      <c r="K302" s="5"/>
      <c r="L302" s="5"/>
      <c r="M302" s="5"/>
      <c r="N302" s="29" t="str">
        <f>IF(OR(B302="",M302&lt;&gt;"Yes"),"",IF(O302&lt;&gt;"",O302+IF(L302="Low",3,IF(L302="Medium",7,21)),G302+IF(L302="Low",2,IF(L302="Medium",5,14))))</f>
        <v/>
      </c>
      <c r="O302" s="29"/>
      <c r="P302" s="5"/>
      <c r="Q302" s="5"/>
      <c r="R302" s="5"/>
    </row>
    <row r="303" spans="1:18">
      <c r="A303" s="7" t="str">
        <f t="shared" si="9"/>
        <v/>
      </c>
      <c r="B303" s="5"/>
      <c r="C303" s="5"/>
      <c r="D303" s="5"/>
      <c r="E303" s="5"/>
      <c r="F303" s="5"/>
      <c r="G303" s="29"/>
      <c r="H303" s="5"/>
      <c r="I303" s="5"/>
      <c r="J303" s="5"/>
      <c r="K303" s="5"/>
      <c r="L303" s="5"/>
      <c r="M303" s="5"/>
      <c r="N303" s="29" t="str">
        <f>IF(OR(B303="",M303&lt;&gt;"Yes"),"",IF(O303&lt;&gt;"",O303+IF(L303="Low",3,IF(L303="Medium",7,21)),G303+IF(L303="Low",2,IF(L303="Medium",5,14))))</f>
        <v/>
      </c>
      <c r="O303" s="29"/>
      <c r="P303" s="5"/>
      <c r="Q303" s="5"/>
      <c r="R303" s="5"/>
    </row>
    <row r="304" spans="1:18">
      <c r="A304" s="7" t="str">
        <f t="shared" si="9"/>
        <v/>
      </c>
      <c r="B304" s="5"/>
      <c r="C304" s="5"/>
      <c r="D304" s="5"/>
      <c r="E304" s="5"/>
      <c r="F304" s="5"/>
      <c r="G304" s="29"/>
      <c r="H304" s="5"/>
      <c r="I304" s="5"/>
      <c r="J304" s="5"/>
      <c r="K304" s="5"/>
      <c r="L304" s="5"/>
      <c r="M304" s="5"/>
      <c r="N304" s="29" t="str">
        <f>IF(OR(B304="",M304&lt;&gt;"Yes"),"",IF(O304&lt;&gt;"",O304+IF(L304="Low",3,IF(L304="Medium",7,21)),G304+IF(L304="Low",2,IF(L304="Medium",5,14))))</f>
        <v/>
      </c>
      <c r="O304" s="29"/>
      <c r="P304" s="5"/>
      <c r="Q304" s="5"/>
      <c r="R304" s="5"/>
    </row>
    <row r="305" spans="1:18">
      <c r="A305" s="7" t="str">
        <f t="shared" si="9"/>
        <v/>
      </c>
      <c r="B305" s="5"/>
      <c r="C305" s="5"/>
      <c r="D305" s="5"/>
      <c r="E305" s="5"/>
      <c r="F305" s="5"/>
      <c r="G305" s="29"/>
      <c r="H305" s="5"/>
      <c r="I305" s="5"/>
      <c r="J305" s="5"/>
      <c r="K305" s="5"/>
      <c r="L305" s="5"/>
      <c r="M305" s="5"/>
      <c r="N305" s="29" t="str">
        <f>IF(OR(B305="",M305&lt;&gt;"Yes"),"",IF(O305&lt;&gt;"",O305+IF(L305="Low",3,IF(L305="Medium",7,21)),G305+IF(L305="Low",2,IF(L305="Medium",5,14))))</f>
        <v/>
      </c>
      <c r="O305" s="29"/>
      <c r="P305" s="5"/>
      <c r="Q305" s="5"/>
      <c r="R305" s="5"/>
    </row>
    <row r="306" spans="1:18">
      <c r="A306" s="7" t="str">
        <f t="shared" si="9"/>
        <v/>
      </c>
      <c r="B306" s="5"/>
      <c r="C306" s="5"/>
      <c r="D306" s="5"/>
      <c r="E306" s="5"/>
      <c r="F306" s="5"/>
      <c r="G306" s="29"/>
      <c r="H306" s="5"/>
      <c r="I306" s="5"/>
      <c r="J306" s="5"/>
      <c r="K306" s="5"/>
      <c r="L306" s="5"/>
      <c r="M306" s="5"/>
      <c r="N306" s="29" t="str">
        <f>IF(OR(B306="",M306&lt;&gt;"Yes"),"",IF(O306&lt;&gt;"",O306+IF(L306="Low",3,IF(L306="Medium",7,21)),G306+IF(L306="Low",2,IF(L306="Medium",5,14))))</f>
        <v/>
      </c>
      <c r="O306" s="29"/>
      <c r="P306" s="5"/>
      <c r="Q306" s="5"/>
      <c r="R306" s="5"/>
    </row>
    <row r="307" spans="1:18">
      <c r="A307" s="7" t="str">
        <f t="shared" si="9"/>
        <v/>
      </c>
      <c r="B307" s="5"/>
      <c r="C307" s="5"/>
      <c r="D307" s="5"/>
      <c r="E307" s="5"/>
      <c r="F307" s="5"/>
      <c r="G307" s="29"/>
      <c r="H307" s="5"/>
      <c r="I307" s="5"/>
      <c r="J307" s="5"/>
      <c r="K307" s="5"/>
      <c r="L307" s="5"/>
      <c r="M307" s="5"/>
      <c r="N307" s="29" t="str">
        <f>IF(OR(B307="",M307&lt;&gt;"Yes"),"",IF(O307&lt;&gt;"",O307+IF(L307="Low",3,IF(L307="Medium",7,21)),G307+IF(L307="Low",2,IF(L307="Medium",5,14))))</f>
        <v/>
      </c>
      <c r="O307" s="29"/>
      <c r="P307" s="5"/>
      <c r="Q307" s="5"/>
      <c r="R307" s="5"/>
    </row>
    <row r="308" spans="1:18">
      <c r="A308" s="7" t="str">
        <f t="shared" si="9"/>
        <v/>
      </c>
      <c r="B308" s="5"/>
      <c r="C308" s="5"/>
      <c r="D308" s="5"/>
      <c r="E308" s="5"/>
      <c r="F308" s="5"/>
      <c r="G308" s="29"/>
      <c r="H308" s="5"/>
      <c r="I308" s="5"/>
      <c r="J308" s="5"/>
      <c r="K308" s="5"/>
      <c r="L308" s="5"/>
      <c r="M308" s="5"/>
      <c r="N308" s="29" t="str">
        <f>IF(OR(B308="",M308&lt;&gt;"Yes"),"",IF(O308&lt;&gt;"",O308+IF(L308="Low",3,IF(L308="Medium",7,21)),G308+IF(L308="Low",2,IF(L308="Medium",5,14))))</f>
        <v/>
      </c>
      <c r="O308" s="29"/>
      <c r="P308" s="5"/>
      <c r="Q308" s="5"/>
      <c r="R308" s="5"/>
    </row>
    <row r="309" spans="1:18">
      <c r="A309" s="7" t="str">
        <f t="shared" si="9"/>
        <v/>
      </c>
      <c r="B309" s="5"/>
      <c r="C309" s="5"/>
      <c r="D309" s="5"/>
      <c r="E309" s="5"/>
      <c r="F309" s="5"/>
      <c r="G309" s="29"/>
      <c r="H309" s="5"/>
      <c r="I309" s="5"/>
      <c r="J309" s="5"/>
      <c r="K309" s="5"/>
      <c r="L309" s="5"/>
      <c r="M309" s="5"/>
      <c r="N309" s="29" t="str">
        <f>IF(OR(B309="",M309&lt;&gt;"Yes"),"",IF(O309&lt;&gt;"",O309+IF(L309="Low",3,IF(L309="Medium",7,21)),G309+IF(L309="Low",2,IF(L309="Medium",5,14))))</f>
        <v/>
      </c>
      <c r="O309" s="29"/>
      <c r="P309" s="5"/>
      <c r="Q309" s="5"/>
      <c r="R309" s="5"/>
    </row>
    <row r="310" spans="1:18">
      <c r="A310" s="7" t="str">
        <f t="shared" si="9"/>
        <v/>
      </c>
      <c r="B310" s="5"/>
      <c r="C310" s="5"/>
      <c r="D310" s="5"/>
      <c r="E310" s="5"/>
      <c r="F310" s="5"/>
      <c r="G310" s="29"/>
      <c r="H310" s="5"/>
      <c r="I310" s="5"/>
      <c r="J310" s="5"/>
      <c r="K310" s="5"/>
      <c r="L310" s="5"/>
      <c r="M310" s="5"/>
      <c r="N310" s="29" t="str">
        <f>IF(OR(B310="",M310&lt;&gt;"Yes"),"",IF(O310&lt;&gt;"",O310+IF(L310="Low",3,IF(L310="Medium",7,21)),G310+IF(L310="Low",2,IF(L310="Medium",5,14))))</f>
        <v/>
      </c>
      <c r="O310" s="29"/>
      <c r="P310" s="5"/>
      <c r="Q310" s="5"/>
      <c r="R310" s="5"/>
    </row>
    <row r="311" spans="1:18">
      <c r="A311" s="7" t="str">
        <f t="shared" si="9"/>
        <v/>
      </c>
      <c r="B311" s="5"/>
      <c r="C311" s="5"/>
      <c r="D311" s="5"/>
      <c r="E311" s="5"/>
      <c r="F311" s="5"/>
      <c r="G311" s="29"/>
      <c r="H311" s="5"/>
      <c r="I311" s="5"/>
      <c r="J311" s="5"/>
      <c r="K311" s="5"/>
      <c r="L311" s="5"/>
      <c r="M311" s="5"/>
      <c r="N311" s="29" t="str">
        <f>IF(OR(B311="",M311&lt;&gt;"Yes"),"",IF(O311&lt;&gt;"",O311+IF(L311="Low",3,IF(L311="Medium",7,21)),G311+IF(L311="Low",2,IF(L311="Medium",5,14))))</f>
        <v/>
      </c>
      <c r="O311" s="29"/>
      <c r="P311" s="5"/>
      <c r="Q311" s="5"/>
      <c r="R311" s="5"/>
    </row>
    <row r="312" spans="1:18">
      <c r="A312" s="7" t="str">
        <f t="shared" si="9"/>
        <v/>
      </c>
      <c r="B312" s="5"/>
      <c r="C312" s="5"/>
      <c r="D312" s="5"/>
      <c r="E312" s="5"/>
      <c r="F312" s="5"/>
      <c r="G312" s="29"/>
      <c r="H312" s="5"/>
      <c r="I312" s="5"/>
      <c r="J312" s="5"/>
      <c r="K312" s="5"/>
      <c r="L312" s="5"/>
      <c r="M312" s="5"/>
      <c r="N312" s="29" t="str">
        <f>IF(OR(B312="",M312&lt;&gt;"Yes"),"",IF(O312&lt;&gt;"",O312+IF(L312="Low",3,IF(L312="Medium",7,21)),G312+IF(L312="Low",2,IF(L312="Medium",5,14))))</f>
        <v/>
      </c>
      <c r="O312" s="29"/>
      <c r="P312" s="5"/>
      <c r="Q312" s="5"/>
      <c r="R312" s="5"/>
    </row>
    <row r="313" spans="1:18">
      <c r="A313" s="7" t="str">
        <f t="shared" si="9"/>
        <v/>
      </c>
      <c r="B313" s="5"/>
      <c r="C313" s="5"/>
      <c r="D313" s="5"/>
      <c r="E313" s="5"/>
      <c r="F313" s="5"/>
      <c r="G313" s="29"/>
      <c r="H313" s="5"/>
      <c r="I313" s="5"/>
      <c r="J313" s="5"/>
      <c r="K313" s="5"/>
      <c r="L313" s="5"/>
      <c r="M313" s="5"/>
      <c r="N313" s="29" t="str">
        <f>IF(OR(B313="",M313&lt;&gt;"Yes"),"",IF(O313&lt;&gt;"",O313+IF(L313="Low",3,IF(L313="Medium",7,21)),G313+IF(L313="Low",2,IF(L313="Medium",5,14))))</f>
        <v/>
      </c>
      <c r="O313" s="29"/>
      <c r="P313" s="5"/>
      <c r="Q313" s="5"/>
      <c r="R313" s="5"/>
    </row>
    <row r="314" spans="1:18">
      <c r="A314" s="7" t="str">
        <f t="shared" si="9"/>
        <v/>
      </c>
      <c r="B314" s="5"/>
      <c r="C314" s="5"/>
      <c r="D314" s="5"/>
      <c r="E314" s="5"/>
      <c r="F314" s="5"/>
      <c r="G314" s="29"/>
      <c r="H314" s="5"/>
      <c r="I314" s="5"/>
      <c r="J314" s="5"/>
      <c r="K314" s="5"/>
      <c r="L314" s="5"/>
      <c r="M314" s="5"/>
      <c r="N314" s="29" t="str">
        <f>IF(OR(B314="",M314&lt;&gt;"Yes"),"",IF(O314&lt;&gt;"",O314+IF(L314="Low",3,IF(L314="Medium",7,21)),G314+IF(L314="Low",2,IF(L314="Medium",5,14))))</f>
        <v/>
      </c>
      <c r="O314" s="29"/>
      <c r="P314" s="5"/>
      <c r="Q314" s="5"/>
      <c r="R314" s="5"/>
    </row>
    <row r="315" spans="1:18">
      <c r="A315" s="7" t="str">
        <f t="shared" si="9"/>
        <v/>
      </c>
      <c r="B315" s="5"/>
      <c r="C315" s="5"/>
      <c r="D315" s="5"/>
      <c r="E315" s="5"/>
      <c r="F315" s="5"/>
      <c r="G315" s="29"/>
      <c r="H315" s="5"/>
      <c r="I315" s="5"/>
      <c r="J315" s="5"/>
      <c r="K315" s="5"/>
      <c r="L315" s="5"/>
      <c r="M315" s="5"/>
      <c r="N315" s="29" t="str">
        <f>IF(OR(B315="",M315&lt;&gt;"Yes"),"",IF(O315&lt;&gt;"",O315+IF(L315="Low",3,IF(L315="Medium",7,21)),G315+IF(L315="Low",2,IF(L315="Medium",5,14))))</f>
        <v/>
      </c>
      <c r="O315" s="29"/>
      <c r="P315" s="5"/>
      <c r="Q315" s="5"/>
      <c r="R315" s="5"/>
    </row>
    <row r="316" spans="1:18">
      <c r="A316" s="7" t="str">
        <f t="shared" si="9"/>
        <v/>
      </c>
      <c r="B316" s="5"/>
      <c r="C316" s="5"/>
      <c r="D316" s="5"/>
      <c r="E316" s="5"/>
      <c r="F316" s="5"/>
      <c r="G316" s="29"/>
      <c r="H316" s="5"/>
      <c r="I316" s="5"/>
      <c r="J316" s="5"/>
      <c r="K316" s="5"/>
      <c r="L316" s="5"/>
      <c r="M316" s="5"/>
      <c r="N316" s="29" t="str">
        <f>IF(OR(B316="",M316&lt;&gt;"Yes"),"",IF(O316&lt;&gt;"",O316+IF(L316="Low",3,IF(L316="Medium",7,21)),G316+IF(L316="Low",2,IF(L316="Medium",5,14))))</f>
        <v/>
      </c>
      <c r="O316" s="29"/>
      <c r="P316" s="5"/>
      <c r="Q316" s="5"/>
      <c r="R316" s="5"/>
    </row>
    <row r="317" spans="1:18">
      <c r="A317" s="7" t="str">
        <f t="shared" si="9"/>
        <v/>
      </c>
      <c r="B317" s="5"/>
      <c r="C317" s="5"/>
      <c r="D317" s="5"/>
      <c r="E317" s="5"/>
      <c r="F317" s="5"/>
      <c r="G317" s="29"/>
      <c r="H317" s="5"/>
      <c r="I317" s="5"/>
      <c r="J317" s="5"/>
      <c r="K317" s="5"/>
      <c r="L317" s="5"/>
      <c r="M317" s="5"/>
      <c r="N317" s="29" t="str">
        <f>IF(OR(B317="",M317&lt;&gt;"Yes"),"",IF(O317&lt;&gt;"",O317+IF(L317="Low",3,IF(L317="Medium",7,21)),G317+IF(L317="Low",2,IF(L317="Medium",5,14))))</f>
        <v/>
      </c>
      <c r="O317" s="29"/>
      <c r="P317" s="5"/>
      <c r="Q317" s="5"/>
      <c r="R317" s="5"/>
    </row>
    <row r="318" spans="1:18">
      <c r="A318" s="7" t="str">
        <f t="shared" si="9"/>
        <v/>
      </c>
      <c r="B318" s="5"/>
      <c r="C318" s="5"/>
      <c r="D318" s="5"/>
      <c r="E318" s="5"/>
      <c r="F318" s="5"/>
      <c r="G318" s="29"/>
      <c r="H318" s="5"/>
      <c r="I318" s="5"/>
      <c r="J318" s="5"/>
      <c r="K318" s="5"/>
      <c r="L318" s="5"/>
      <c r="M318" s="5"/>
      <c r="N318" s="29" t="str">
        <f>IF(OR(B318="",M318&lt;&gt;"Yes"),"",IF(O318&lt;&gt;"",O318+IF(L318="Low",3,IF(L318="Medium",7,21)),G318+IF(L318="Low",2,IF(L318="Medium",5,14))))</f>
        <v/>
      </c>
      <c r="O318" s="29"/>
      <c r="P318" s="5"/>
      <c r="Q318" s="5"/>
      <c r="R318" s="5"/>
    </row>
    <row r="319" spans="1:18">
      <c r="A319" s="7" t="str">
        <f t="shared" si="9"/>
        <v/>
      </c>
      <c r="B319" s="5"/>
      <c r="C319" s="5"/>
      <c r="D319" s="5"/>
      <c r="E319" s="5"/>
      <c r="F319" s="5"/>
      <c r="G319" s="29"/>
      <c r="H319" s="5"/>
      <c r="I319" s="5"/>
      <c r="J319" s="5"/>
      <c r="K319" s="5"/>
      <c r="L319" s="5"/>
      <c r="M319" s="5"/>
      <c r="N319" s="29" t="str">
        <f>IF(OR(B319="",M319&lt;&gt;"Yes"),"",IF(O319&lt;&gt;"",O319+IF(L319="Low",3,IF(L319="Medium",7,21)),G319+IF(L319="Low",2,IF(L319="Medium",5,14))))</f>
        <v/>
      </c>
      <c r="O319" s="29"/>
      <c r="P319" s="5"/>
      <c r="Q319" s="5"/>
      <c r="R319" s="5"/>
    </row>
    <row r="320" spans="1:18">
      <c r="A320" s="7" t="str">
        <f t="shared" si="9"/>
        <v/>
      </c>
      <c r="B320" s="5"/>
      <c r="C320" s="5"/>
      <c r="D320" s="5"/>
      <c r="E320" s="5"/>
      <c r="F320" s="5"/>
      <c r="G320" s="29"/>
      <c r="H320" s="5"/>
      <c r="I320" s="5"/>
      <c r="J320" s="5"/>
      <c r="K320" s="5"/>
      <c r="L320" s="5"/>
      <c r="M320" s="5"/>
      <c r="N320" s="29" t="str">
        <f>IF(OR(B320="",M320&lt;&gt;"Yes"),"",IF(O320&lt;&gt;"",O320+IF(L320="Low",3,IF(L320="Medium",7,21)),G320+IF(L320="Low",2,IF(L320="Medium",5,14))))</f>
        <v/>
      </c>
      <c r="O320" s="29"/>
      <c r="P320" s="5"/>
      <c r="Q320" s="5"/>
      <c r="R320" s="5"/>
    </row>
    <row r="321" spans="1:18">
      <c r="A321" s="7" t="str">
        <f t="shared" ref="A321:A384" si="10">IF(B321="","",ROW()-3)</f>
        <v/>
      </c>
      <c r="B321" s="5"/>
      <c r="C321" s="5"/>
      <c r="D321" s="5"/>
      <c r="E321" s="5"/>
      <c r="F321" s="5"/>
      <c r="G321" s="29"/>
      <c r="H321" s="5"/>
      <c r="I321" s="5"/>
      <c r="J321" s="5"/>
      <c r="K321" s="5"/>
      <c r="L321" s="5"/>
      <c r="M321" s="5"/>
      <c r="N321" s="29" t="str">
        <f>IF(OR(B321="",M321&lt;&gt;"Yes"),"",IF(O321&lt;&gt;"",O321+IF(L321="Low",3,IF(L321="Medium",7,21)),G321+IF(L321="Low",2,IF(L321="Medium",5,14))))</f>
        <v/>
      </c>
      <c r="O321" s="29"/>
      <c r="P321" s="5"/>
      <c r="Q321" s="5"/>
      <c r="R321" s="5"/>
    </row>
    <row r="322" spans="1:18">
      <c r="A322" s="7" t="str">
        <f t="shared" si="10"/>
        <v/>
      </c>
      <c r="B322" s="5"/>
      <c r="C322" s="5"/>
      <c r="D322" s="5"/>
      <c r="E322" s="5"/>
      <c r="F322" s="5"/>
      <c r="G322" s="29"/>
      <c r="H322" s="5"/>
      <c r="I322" s="5"/>
      <c r="J322" s="5"/>
      <c r="K322" s="5"/>
      <c r="L322" s="5"/>
      <c r="M322" s="5"/>
      <c r="N322" s="29" t="str">
        <f>IF(OR(B322="",M322&lt;&gt;"Yes"),"",IF(O322&lt;&gt;"",O322+IF(L322="Low",3,IF(L322="Medium",7,21)),G322+IF(L322="Low",2,IF(L322="Medium",5,14))))</f>
        <v/>
      </c>
      <c r="O322" s="29"/>
      <c r="P322" s="5"/>
      <c r="Q322" s="5"/>
      <c r="R322" s="5"/>
    </row>
    <row r="323" spans="1:18">
      <c r="A323" s="7" t="str">
        <f t="shared" si="10"/>
        <v/>
      </c>
      <c r="B323" s="5"/>
      <c r="C323" s="5"/>
      <c r="D323" s="5"/>
      <c r="E323" s="5"/>
      <c r="F323" s="5"/>
      <c r="G323" s="29"/>
      <c r="H323" s="5"/>
      <c r="I323" s="5"/>
      <c r="J323" s="5"/>
      <c r="K323" s="5"/>
      <c r="L323" s="5"/>
      <c r="M323" s="5"/>
      <c r="N323" s="29" t="str">
        <f>IF(OR(B323="",M323&lt;&gt;"Yes"),"",IF(O323&lt;&gt;"",O323+IF(L323="Low",3,IF(L323="Medium",7,21)),G323+IF(L323="Low",2,IF(L323="Medium",5,14))))</f>
        <v/>
      </c>
      <c r="O323" s="29"/>
      <c r="P323" s="5"/>
      <c r="Q323" s="5"/>
      <c r="R323" s="5"/>
    </row>
    <row r="324" spans="1:18">
      <c r="A324" s="7" t="str">
        <f t="shared" si="10"/>
        <v/>
      </c>
      <c r="B324" s="5"/>
      <c r="C324" s="5"/>
      <c r="D324" s="5"/>
      <c r="E324" s="5"/>
      <c r="F324" s="5"/>
      <c r="G324" s="29"/>
      <c r="H324" s="5"/>
      <c r="I324" s="5"/>
      <c r="J324" s="5"/>
      <c r="K324" s="5"/>
      <c r="L324" s="5"/>
      <c r="M324" s="5"/>
      <c r="N324" s="29" t="str">
        <f>IF(OR(B324="",M324&lt;&gt;"Yes"),"",IF(O324&lt;&gt;"",O324+IF(L324="Low",3,IF(L324="Medium",7,21)),G324+IF(L324="Low",2,IF(L324="Medium",5,14))))</f>
        <v/>
      </c>
      <c r="O324" s="29"/>
      <c r="P324" s="5"/>
      <c r="Q324" s="5"/>
      <c r="R324" s="5"/>
    </row>
    <row r="325" spans="1:18">
      <c r="A325" s="7" t="str">
        <f t="shared" si="10"/>
        <v/>
      </c>
      <c r="B325" s="5"/>
      <c r="C325" s="5"/>
      <c r="D325" s="5"/>
      <c r="E325" s="5"/>
      <c r="F325" s="5"/>
      <c r="G325" s="29"/>
      <c r="H325" s="5"/>
      <c r="I325" s="5"/>
      <c r="J325" s="5"/>
      <c r="K325" s="5"/>
      <c r="L325" s="5"/>
      <c r="M325" s="5"/>
      <c r="N325" s="29" t="str">
        <f>IF(OR(B325="",M325&lt;&gt;"Yes"),"",IF(O325&lt;&gt;"",O325+IF(L325="Low",3,IF(L325="Medium",7,21)),G325+IF(L325="Low",2,IF(L325="Medium",5,14))))</f>
        <v/>
      </c>
      <c r="O325" s="29"/>
      <c r="P325" s="5"/>
      <c r="Q325" s="5"/>
      <c r="R325" s="5"/>
    </row>
    <row r="326" spans="1:18">
      <c r="A326" s="7" t="str">
        <f t="shared" si="10"/>
        <v/>
      </c>
      <c r="B326" s="5"/>
      <c r="C326" s="5"/>
      <c r="D326" s="5"/>
      <c r="E326" s="5"/>
      <c r="F326" s="5"/>
      <c r="G326" s="29"/>
      <c r="H326" s="5"/>
      <c r="I326" s="5"/>
      <c r="J326" s="5"/>
      <c r="K326" s="5"/>
      <c r="L326" s="5"/>
      <c r="M326" s="5"/>
      <c r="N326" s="29" t="str">
        <f>IF(OR(B326="",M326&lt;&gt;"Yes"),"",IF(O326&lt;&gt;"",O326+IF(L326="Low",3,IF(L326="Medium",7,21)),G326+IF(L326="Low",2,IF(L326="Medium",5,14))))</f>
        <v/>
      </c>
      <c r="O326" s="29"/>
      <c r="P326" s="5"/>
      <c r="Q326" s="5"/>
      <c r="R326" s="5"/>
    </row>
    <row r="327" spans="1:18">
      <c r="A327" s="7" t="str">
        <f t="shared" si="10"/>
        <v/>
      </c>
      <c r="B327" s="5"/>
      <c r="C327" s="5"/>
      <c r="D327" s="5"/>
      <c r="E327" s="5"/>
      <c r="F327" s="5"/>
      <c r="G327" s="29"/>
      <c r="H327" s="5"/>
      <c r="I327" s="5"/>
      <c r="J327" s="5"/>
      <c r="K327" s="5"/>
      <c r="L327" s="5"/>
      <c r="M327" s="5"/>
      <c r="N327" s="29" t="str">
        <f>IF(OR(B327="",M327&lt;&gt;"Yes"),"",IF(O327&lt;&gt;"",O327+IF(L327="Low",3,IF(L327="Medium",7,21)),G327+IF(L327="Low",2,IF(L327="Medium",5,14))))</f>
        <v/>
      </c>
      <c r="O327" s="29"/>
      <c r="P327" s="5"/>
      <c r="Q327" s="5"/>
      <c r="R327" s="5"/>
    </row>
    <row r="328" spans="1:18">
      <c r="A328" s="7" t="str">
        <f t="shared" si="10"/>
        <v/>
      </c>
      <c r="B328" s="5"/>
      <c r="C328" s="5"/>
      <c r="D328" s="5"/>
      <c r="E328" s="5"/>
      <c r="F328" s="5"/>
      <c r="G328" s="29"/>
      <c r="H328" s="5"/>
      <c r="I328" s="5"/>
      <c r="J328" s="5"/>
      <c r="K328" s="5"/>
      <c r="L328" s="5"/>
      <c r="M328" s="5"/>
      <c r="N328" s="29" t="str">
        <f>IF(OR(B328="",M328&lt;&gt;"Yes"),"",IF(O328&lt;&gt;"",O328+IF(L328="Low",3,IF(L328="Medium",7,21)),G328+IF(L328="Low",2,IF(L328="Medium",5,14))))</f>
        <v/>
      </c>
      <c r="O328" s="29"/>
      <c r="P328" s="5"/>
      <c r="Q328" s="5"/>
      <c r="R328" s="5"/>
    </row>
    <row r="329" spans="1:18">
      <c r="A329" s="7" t="str">
        <f t="shared" si="10"/>
        <v/>
      </c>
      <c r="B329" s="5"/>
      <c r="C329" s="5"/>
      <c r="D329" s="5"/>
      <c r="E329" s="5"/>
      <c r="F329" s="5"/>
      <c r="G329" s="29"/>
      <c r="H329" s="5"/>
      <c r="I329" s="5"/>
      <c r="J329" s="5"/>
      <c r="K329" s="5"/>
      <c r="L329" s="5"/>
      <c r="M329" s="5"/>
      <c r="N329" s="29" t="str">
        <f>IF(OR(B329="",M329&lt;&gt;"Yes"),"",IF(O329&lt;&gt;"",O329+IF(L329="Low",3,IF(L329="Medium",7,21)),G329+IF(L329="Low",2,IF(L329="Medium",5,14))))</f>
        <v/>
      </c>
      <c r="O329" s="29"/>
      <c r="P329" s="5"/>
      <c r="Q329" s="5"/>
      <c r="R329" s="5"/>
    </row>
    <row r="330" spans="1:18">
      <c r="A330" s="7" t="str">
        <f t="shared" si="10"/>
        <v/>
      </c>
      <c r="B330" s="5"/>
      <c r="C330" s="5"/>
      <c r="D330" s="5"/>
      <c r="E330" s="5"/>
      <c r="F330" s="5"/>
      <c r="G330" s="29"/>
      <c r="H330" s="5"/>
      <c r="I330" s="5"/>
      <c r="J330" s="5"/>
      <c r="K330" s="5"/>
      <c r="L330" s="5"/>
      <c r="M330" s="5"/>
      <c r="N330" s="29" t="str">
        <f>IF(OR(B330="",M330&lt;&gt;"Yes"),"",IF(O330&lt;&gt;"",O330+IF(L330="Low",3,IF(L330="Medium",7,21)),G330+IF(L330="Low",2,IF(L330="Medium",5,14))))</f>
        <v/>
      </c>
      <c r="O330" s="29"/>
      <c r="P330" s="5"/>
      <c r="Q330" s="5"/>
      <c r="R330" s="5"/>
    </row>
    <row r="331" spans="1:18">
      <c r="A331" s="7" t="str">
        <f t="shared" si="10"/>
        <v/>
      </c>
      <c r="B331" s="5"/>
      <c r="C331" s="5"/>
      <c r="D331" s="5"/>
      <c r="E331" s="5"/>
      <c r="F331" s="5"/>
      <c r="G331" s="29"/>
      <c r="H331" s="5"/>
      <c r="I331" s="5"/>
      <c r="J331" s="5"/>
      <c r="K331" s="5"/>
      <c r="L331" s="5"/>
      <c r="M331" s="5"/>
      <c r="N331" s="29" t="str">
        <f>IF(OR(B331="",M331&lt;&gt;"Yes"),"",IF(O331&lt;&gt;"",O331+IF(L331="Low",3,IF(L331="Medium",7,21)),G331+IF(L331="Low",2,IF(L331="Medium",5,14))))</f>
        <v/>
      </c>
      <c r="O331" s="29"/>
      <c r="P331" s="5"/>
      <c r="Q331" s="5"/>
      <c r="R331" s="5"/>
    </row>
    <row r="332" spans="1:18">
      <c r="A332" s="7" t="str">
        <f t="shared" si="10"/>
        <v/>
      </c>
      <c r="B332" s="5"/>
      <c r="C332" s="5"/>
      <c r="D332" s="5"/>
      <c r="E332" s="5"/>
      <c r="F332" s="5"/>
      <c r="G332" s="29"/>
      <c r="H332" s="5"/>
      <c r="I332" s="5"/>
      <c r="J332" s="5"/>
      <c r="K332" s="5"/>
      <c r="L332" s="5"/>
      <c r="M332" s="5"/>
      <c r="N332" s="29" t="str">
        <f>IF(OR(B332="",M332&lt;&gt;"Yes"),"",IF(O332&lt;&gt;"",O332+IF(L332="Low",3,IF(L332="Medium",7,21)),G332+IF(L332="Low",2,IF(L332="Medium",5,14))))</f>
        <v/>
      </c>
      <c r="O332" s="29"/>
      <c r="P332" s="5"/>
      <c r="Q332" s="5"/>
      <c r="R332" s="5"/>
    </row>
    <row r="333" spans="1:18">
      <c r="A333" s="7" t="str">
        <f t="shared" si="10"/>
        <v/>
      </c>
      <c r="B333" s="5"/>
      <c r="C333" s="5"/>
      <c r="D333" s="5"/>
      <c r="E333" s="5"/>
      <c r="F333" s="5"/>
      <c r="G333" s="29"/>
      <c r="H333" s="5"/>
      <c r="I333" s="5"/>
      <c r="J333" s="5"/>
      <c r="K333" s="5"/>
      <c r="L333" s="5"/>
      <c r="M333" s="5"/>
      <c r="N333" s="29" t="str">
        <f>IF(OR(B333="",M333&lt;&gt;"Yes"),"",IF(O333&lt;&gt;"",O333+IF(L333="Low",3,IF(L333="Medium",7,21)),G333+IF(L333="Low",2,IF(L333="Medium",5,14))))</f>
        <v/>
      </c>
      <c r="O333" s="29"/>
      <c r="P333" s="5"/>
      <c r="Q333" s="5"/>
      <c r="R333" s="5"/>
    </row>
    <row r="334" spans="1:18">
      <c r="A334" s="7" t="str">
        <f t="shared" si="10"/>
        <v/>
      </c>
      <c r="B334" s="5"/>
      <c r="C334" s="5"/>
      <c r="D334" s="5"/>
      <c r="E334" s="5"/>
      <c r="F334" s="5"/>
      <c r="G334" s="29"/>
      <c r="H334" s="5"/>
      <c r="I334" s="5"/>
      <c r="J334" s="5"/>
      <c r="K334" s="5"/>
      <c r="L334" s="5"/>
      <c r="M334" s="5"/>
      <c r="N334" s="29" t="str">
        <f>IF(OR(B334="",M334&lt;&gt;"Yes"),"",IF(O334&lt;&gt;"",O334+IF(L334="Low",3,IF(L334="Medium",7,21)),G334+IF(L334="Low",2,IF(L334="Medium",5,14))))</f>
        <v/>
      </c>
      <c r="O334" s="29"/>
      <c r="P334" s="5"/>
      <c r="Q334" s="5"/>
      <c r="R334" s="5"/>
    </row>
    <row r="335" spans="1:18">
      <c r="A335" s="7" t="str">
        <f t="shared" si="10"/>
        <v/>
      </c>
      <c r="B335" s="5"/>
      <c r="C335" s="5"/>
      <c r="D335" s="5"/>
      <c r="E335" s="5"/>
      <c r="F335" s="5"/>
      <c r="G335" s="29"/>
      <c r="H335" s="5"/>
      <c r="I335" s="5"/>
      <c r="J335" s="5"/>
      <c r="K335" s="5"/>
      <c r="L335" s="5"/>
      <c r="M335" s="5"/>
      <c r="N335" s="29" t="str">
        <f>IF(OR(B335="",M335&lt;&gt;"Yes"),"",IF(O335&lt;&gt;"",O335+IF(L335="Low",3,IF(L335="Medium",7,21)),G335+IF(L335="Low",2,IF(L335="Medium",5,14))))</f>
        <v/>
      </c>
      <c r="O335" s="29"/>
      <c r="P335" s="5"/>
      <c r="Q335" s="5"/>
      <c r="R335" s="5"/>
    </row>
    <row r="336" spans="1:18">
      <c r="A336" s="7" t="str">
        <f t="shared" si="10"/>
        <v/>
      </c>
      <c r="B336" s="5"/>
      <c r="C336" s="5"/>
      <c r="D336" s="5"/>
      <c r="E336" s="5"/>
      <c r="F336" s="5"/>
      <c r="G336" s="29"/>
      <c r="H336" s="5"/>
      <c r="I336" s="5"/>
      <c r="J336" s="5"/>
      <c r="K336" s="5"/>
      <c r="L336" s="5"/>
      <c r="M336" s="5"/>
      <c r="N336" s="29" t="str">
        <f>IF(OR(B336="",M336&lt;&gt;"Yes"),"",IF(O336&lt;&gt;"",O336+IF(L336="Low",3,IF(L336="Medium",7,21)),G336+IF(L336="Low",2,IF(L336="Medium",5,14))))</f>
        <v/>
      </c>
      <c r="O336" s="29"/>
      <c r="P336" s="5"/>
      <c r="Q336" s="5"/>
      <c r="R336" s="5"/>
    </row>
    <row r="337" spans="1:18">
      <c r="A337" s="7" t="str">
        <f t="shared" si="10"/>
        <v/>
      </c>
      <c r="B337" s="5"/>
      <c r="C337" s="5"/>
      <c r="D337" s="5"/>
      <c r="E337" s="5"/>
      <c r="F337" s="5"/>
      <c r="G337" s="29"/>
      <c r="H337" s="5"/>
      <c r="I337" s="5"/>
      <c r="J337" s="5"/>
      <c r="K337" s="5"/>
      <c r="L337" s="5"/>
      <c r="M337" s="5"/>
      <c r="N337" s="29" t="str">
        <f>IF(OR(B337="",M337&lt;&gt;"Yes"),"",IF(O337&lt;&gt;"",O337+IF(L337="Low",3,IF(L337="Medium",7,21)),G337+IF(L337="Low",2,IF(L337="Medium",5,14))))</f>
        <v/>
      </c>
      <c r="O337" s="29"/>
      <c r="P337" s="5"/>
      <c r="Q337" s="5"/>
      <c r="R337" s="5"/>
    </row>
    <row r="338" spans="1:18">
      <c r="A338" s="7" t="str">
        <f t="shared" si="10"/>
        <v/>
      </c>
      <c r="B338" s="5"/>
      <c r="C338" s="5"/>
      <c r="D338" s="5"/>
      <c r="E338" s="5"/>
      <c r="F338" s="5"/>
      <c r="G338" s="29"/>
      <c r="H338" s="5"/>
      <c r="I338" s="5"/>
      <c r="J338" s="5"/>
      <c r="K338" s="5"/>
      <c r="L338" s="5"/>
      <c r="M338" s="5"/>
      <c r="N338" s="29" t="str">
        <f>IF(OR(B338="",M338&lt;&gt;"Yes"),"",IF(O338&lt;&gt;"",O338+IF(L338="Low",3,IF(L338="Medium",7,21)),G338+IF(L338="Low",2,IF(L338="Medium",5,14))))</f>
        <v/>
      </c>
      <c r="O338" s="29"/>
      <c r="P338" s="5"/>
      <c r="Q338" s="5"/>
      <c r="R338" s="5"/>
    </row>
    <row r="339" spans="1:18">
      <c r="A339" s="7" t="str">
        <f t="shared" si="10"/>
        <v/>
      </c>
      <c r="B339" s="5"/>
      <c r="C339" s="5"/>
      <c r="D339" s="5"/>
      <c r="E339" s="5"/>
      <c r="F339" s="5"/>
      <c r="G339" s="29"/>
      <c r="H339" s="5"/>
      <c r="I339" s="5"/>
      <c r="J339" s="5"/>
      <c r="K339" s="5"/>
      <c r="L339" s="5"/>
      <c r="M339" s="5"/>
      <c r="N339" s="29" t="str">
        <f>IF(OR(B339="",M339&lt;&gt;"Yes"),"",IF(O339&lt;&gt;"",O339+IF(L339="Low",3,IF(L339="Medium",7,21)),G339+IF(L339="Low",2,IF(L339="Medium",5,14))))</f>
        <v/>
      </c>
      <c r="O339" s="29"/>
      <c r="P339" s="5"/>
      <c r="Q339" s="5"/>
      <c r="R339" s="5"/>
    </row>
    <row r="340" spans="1:18">
      <c r="A340" s="7" t="str">
        <f t="shared" si="10"/>
        <v/>
      </c>
      <c r="B340" s="5"/>
      <c r="C340" s="5"/>
      <c r="D340" s="5"/>
      <c r="E340" s="5"/>
      <c r="F340" s="5"/>
      <c r="G340" s="29"/>
      <c r="H340" s="5"/>
      <c r="I340" s="5"/>
      <c r="J340" s="5"/>
      <c r="K340" s="5"/>
      <c r="L340" s="5"/>
      <c r="M340" s="5"/>
      <c r="N340" s="29" t="str">
        <f>IF(OR(B340="",M340&lt;&gt;"Yes"),"",IF(O340&lt;&gt;"",O340+IF(L340="Low",3,IF(L340="Medium",7,21)),G340+IF(L340="Low",2,IF(L340="Medium",5,14))))</f>
        <v/>
      </c>
      <c r="O340" s="29"/>
      <c r="P340" s="5"/>
      <c r="Q340" s="5"/>
      <c r="R340" s="5"/>
    </row>
    <row r="341" spans="1:18">
      <c r="A341" s="7" t="str">
        <f t="shared" si="10"/>
        <v/>
      </c>
      <c r="B341" s="5"/>
      <c r="C341" s="5"/>
      <c r="D341" s="5"/>
      <c r="E341" s="5"/>
      <c r="F341" s="5"/>
      <c r="G341" s="29"/>
      <c r="H341" s="5"/>
      <c r="I341" s="5"/>
      <c r="J341" s="5"/>
      <c r="K341" s="5"/>
      <c r="L341" s="5"/>
      <c r="M341" s="5"/>
      <c r="N341" s="29" t="str">
        <f>IF(OR(B341="",M341&lt;&gt;"Yes"),"",IF(O341&lt;&gt;"",O341+IF(L341="Low",3,IF(L341="Medium",7,21)),G341+IF(L341="Low",2,IF(L341="Medium",5,14))))</f>
        <v/>
      </c>
      <c r="O341" s="29"/>
      <c r="P341" s="5"/>
      <c r="Q341" s="5"/>
      <c r="R341" s="5"/>
    </row>
    <row r="342" spans="1:18">
      <c r="A342" s="7" t="str">
        <f t="shared" si="10"/>
        <v/>
      </c>
      <c r="B342" s="5"/>
      <c r="C342" s="5"/>
      <c r="D342" s="5"/>
      <c r="E342" s="5"/>
      <c r="F342" s="5"/>
      <c r="G342" s="29"/>
      <c r="H342" s="5"/>
      <c r="I342" s="5"/>
      <c r="J342" s="5"/>
      <c r="K342" s="5"/>
      <c r="L342" s="5"/>
      <c r="M342" s="5"/>
      <c r="N342" s="29" t="str">
        <f>IF(OR(B342="",M342&lt;&gt;"Yes"),"",IF(O342&lt;&gt;"",O342+IF(L342="Low",3,IF(L342="Medium",7,21)),G342+IF(L342="Low",2,IF(L342="Medium",5,14))))</f>
        <v/>
      </c>
      <c r="O342" s="29"/>
      <c r="P342" s="5"/>
      <c r="Q342" s="5"/>
      <c r="R342" s="5"/>
    </row>
    <row r="343" spans="1:18">
      <c r="A343" s="7" t="str">
        <f t="shared" si="10"/>
        <v/>
      </c>
      <c r="B343" s="5"/>
      <c r="C343" s="5"/>
      <c r="D343" s="5"/>
      <c r="E343" s="5"/>
      <c r="F343" s="5"/>
      <c r="G343" s="29"/>
      <c r="H343" s="5"/>
      <c r="I343" s="5"/>
      <c r="J343" s="5"/>
      <c r="K343" s="5"/>
      <c r="L343" s="5"/>
      <c r="M343" s="5"/>
      <c r="N343" s="29" t="str">
        <f>IF(OR(B343="",M343&lt;&gt;"Yes"),"",IF(O343&lt;&gt;"",O343+IF(L343="Low",3,IF(L343="Medium",7,21)),G343+IF(L343="Low",2,IF(L343="Medium",5,14))))</f>
        <v/>
      </c>
      <c r="O343" s="29"/>
      <c r="P343" s="5"/>
      <c r="Q343" s="5"/>
      <c r="R343" s="5"/>
    </row>
    <row r="344" spans="1:18">
      <c r="A344" s="7" t="str">
        <f t="shared" si="10"/>
        <v/>
      </c>
      <c r="B344" s="5"/>
      <c r="C344" s="5"/>
      <c r="D344" s="5"/>
      <c r="E344" s="5"/>
      <c r="F344" s="5"/>
      <c r="G344" s="29"/>
      <c r="H344" s="5"/>
      <c r="I344" s="5"/>
      <c r="J344" s="5"/>
      <c r="K344" s="5"/>
      <c r="L344" s="5"/>
      <c r="M344" s="5"/>
      <c r="N344" s="29" t="str">
        <f>IF(OR(B344="",M344&lt;&gt;"Yes"),"",IF(O344&lt;&gt;"",O344+IF(L344="Low",3,IF(L344="Medium",7,21)),G344+IF(L344="Low",2,IF(L344="Medium",5,14))))</f>
        <v/>
      </c>
      <c r="O344" s="29"/>
      <c r="P344" s="5"/>
      <c r="Q344" s="5"/>
      <c r="R344" s="5"/>
    </row>
    <row r="345" spans="1:18">
      <c r="A345" s="7" t="str">
        <f t="shared" si="10"/>
        <v/>
      </c>
      <c r="B345" s="5"/>
      <c r="C345" s="5"/>
      <c r="D345" s="5"/>
      <c r="E345" s="5"/>
      <c r="F345" s="5"/>
      <c r="G345" s="29"/>
      <c r="H345" s="5"/>
      <c r="I345" s="5"/>
      <c r="J345" s="5"/>
      <c r="K345" s="5"/>
      <c r="L345" s="5"/>
      <c r="M345" s="5"/>
      <c r="N345" s="29" t="str">
        <f>IF(OR(B345="",M345&lt;&gt;"Yes"),"",IF(O345&lt;&gt;"",O345+IF(L345="Low",3,IF(L345="Medium",7,21)),G345+IF(L345="Low",2,IF(L345="Medium",5,14))))</f>
        <v/>
      </c>
      <c r="O345" s="29"/>
      <c r="P345" s="5"/>
      <c r="Q345" s="5"/>
      <c r="R345" s="5"/>
    </row>
    <row r="346" spans="1:18">
      <c r="A346" s="7" t="str">
        <f t="shared" si="10"/>
        <v/>
      </c>
      <c r="B346" s="5"/>
      <c r="C346" s="5"/>
      <c r="D346" s="5"/>
      <c r="E346" s="5"/>
      <c r="F346" s="5"/>
      <c r="G346" s="29"/>
      <c r="H346" s="5"/>
      <c r="I346" s="5"/>
      <c r="J346" s="5"/>
      <c r="K346" s="5"/>
      <c r="L346" s="5"/>
      <c r="M346" s="5"/>
      <c r="N346" s="29" t="str">
        <f>IF(OR(B346="",M346&lt;&gt;"Yes"),"",IF(O346&lt;&gt;"",O346+IF(L346="Low",3,IF(L346="Medium",7,21)),G346+IF(L346="Low",2,IF(L346="Medium",5,14))))</f>
        <v/>
      </c>
      <c r="O346" s="29"/>
      <c r="P346" s="5"/>
      <c r="Q346" s="5"/>
      <c r="R346" s="5"/>
    </row>
    <row r="347" spans="1:18">
      <c r="A347" s="7" t="str">
        <f t="shared" si="10"/>
        <v/>
      </c>
      <c r="B347" s="5"/>
      <c r="C347" s="5"/>
      <c r="D347" s="5"/>
      <c r="E347" s="5"/>
      <c r="F347" s="5"/>
      <c r="G347" s="29"/>
      <c r="H347" s="5"/>
      <c r="I347" s="5"/>
      <c r="J347" s="5"/>
      <c r="K347" s="5"/>
      <c r="L347" s="5"/>
      <c r="M347" s="5"/>
      <c r="N347" s="29" t="str">
        <f>IF(OR(B347="",M347&lt;&gt;"Yes"),"",IF(O347&lt;&gt;"",O347+IF(L347="Low",3,IF(L347="Medium",7,21)),G347+IF(L347="Low",2,IF(L347="Medium",5,14))))</f>
        <v/>
      </c>
      <c r="O347" s="29"/>
      <c r="P347" s="5"/>
      <c r="Q347" s="5"/>
      <c r="R347" s="5"/>
    </row>
    <row r="348" spans="1:18">
      <c r="A348" s="7" t="str">
        <f t="shared" si="10"/>
        <v/>
      </c>
      <c r="B348" s="5"/>
      <c r="C348" s="5"/>
      <c r="D348" s="5"/>
      <c r="E348" s="5"/>
      <c r="F348" s="5"/>
      <c r="G348" s="29"/>
      <c r="H348" s="5"/>
      <c r="I348" s="5"/>
      <c r="J348" s="5"/>
      <c r="K348" s="5"/>
      <c r="L348" s="5"/>
      <c r="M348" s="5"/>
      <c r="N348" s="29" t="str">
        <f>IF(OR(B348="",M348&lt;&gt;"Yes"),"",IF(O348&lt;&gt;"",O348+IF(L348="Low",3,IF(L348="Medium",7,21)),G348+IF(L348="Low",2,IF(L348="Medium",5,14))))</f>
        <v/>
      </c>
      <c r="O348" s="29"/>
      <c r="P348" s="5"/>
      <c r="Q348" s="5"/>
      <c r="R348" s="5"/>
    </row>
    <row r="349" spans="1:18">
      <c r="A349" s="7" t="str">
        <f t="shared" si="10"/>
        <v/>
      </c>
      <c r="B349" s="5"/>
      <c r="C349" s="5"/>
      <c r="D349" s="5"/>
      <c r="E349" s="5"/>
      <c r="F349" s="5"/>
      <c r="G349" s="29"/>
      <c r="H349" s="5"/>
      <c r="I349" s="5"/>
      <c r="J349" s="5"/>
      <c r="K349" s="5"/>
      <c r="L349" s="5"/>
      <c r="M349" s="5"/>
      <c r="N349" s="29" t="str">
        <f>IF(OR(B349="",M349&lt;&gt;"Yes"),"",IF(O349&lt;&gt;"",O349+IF(L349="Low",3,IF(L349="Medium",7,21)),G349+IF(L349="Low",2,IF(L349="Medium",5,14))))</f>
        <v/>
      </c>
      <c r="O349" s="29"/>
      <c r="P349" s="5"/>
      <c r="Q349" s="5"/>
      <c r="R349" s="5"/>
    </row>
    <row r="350" spans="1:18">
      <c r="A350" s="7" t="str">
        <f t="shared" si="10"/>
        <v/>
      </c>
      <c r="B350" s="5"/>
      <c r="C350" s="5"/>
      <c r="D350" s="5"/>
      <c r="E350" s="5"/>
      <c r="F350" s="5"/>
      <c r="G350" s="29"/>
      <c r="H350" s="5"/>
      <c r="I350" s="5"/>
      <c r="J350" s="5"/>
      <c r="K350" s="5"/>
      <c r="L350" s="5"/>
      <c r="M350" s="5"/>
      <c r="N350" s="29" t="str">
        <f>IF(OR(B350="",M350&lt;&gt;"Yes"),"",IF(O350&lt;&gt;"",O350+IF(L350="Low",3,IF(L350="Medium",7,21)),G350+IF(L350="Low",2,IF(L350="Medium",5,14))))</f>
        <v/>
      </c>
      <c r="O350" s="29"/>
      <c r="P350" s="5"/>
      <c r="Q350" s="5"/>
      <c r="R350" s="5"/>
    </row>
    <row r="351" spans="1:18">
      <c r="A351" s="7" t="str">
        <f t="shared" si="10"/>
        <v/>
      </c>
      <c r="B351" s="5"/>
      <c r="C351" s="5"/>
      <c r="D351" s="5"/>
      <c r="E351" s="5"/>
      <c r="F351" s="5"/>
      <c r="G351" s="29"/>
      <c r="H351" s="5"/>
      <c r="I351" s="5"/>
      <c r="J351" s="5"/>
      <c r="K351" s="5"/>
      <c r="L351" s="5"/>
      <c r="M351" s="5"/>
      <c r="N351" s="29" t="str">
        <f>IF(OR(B351="",M351&lt;&gt;"Yes"),"",IF(O351&lt;&gt;"",O351+IF(L351="Low",3,IF(L351="Medium",7,21)),G351+IF(L351="Low",2,IF(L351="Medium",5,14))))</f>
        <v/>
      </c>
      <c r="O351" s="29"/>
      <c r="P351" s="5"/>
      <c r="Q351" s="5"/>
      <c r="R351" s="5"/>
    </row>
    <row r="352" spans="1:18">
      <c r="A352" s="7" t="str">
        <f t="shared" si="10"/>
        <v/>
      </c>
      <c r="B352" s="5"/>
      <c r="C352" s="5"/>
      <c r="D352" s="5"/>
      <c r="E352" s="5"/>
      <c r="F352" s="5"/>
      <c r="G352" s="29"/>
      <c r="H352" s="5"/>
      <c r="I352" s="5"/>
      <c r="J352" s="5"/>
      <c r="K352" s="5"/>
      <c r="L352" s="5"/>
      <c r="M352" s="5"/>
      <c r="N352" s="29" t="str">
        <f>IF(OR(B352="",M352&lt;&gt;"Yes"),"",IF(O352&lt;&gt;"",O352+IF(L352="Low",3,IF(L352="Medium",7,21)),G352+IF(L352="Low",2,IF(L352="Medium",5,14))))</f>
        <v/>
      </c>
      <c r="O352" s="29"/>
      <c r="P352" s="5"/>
      <c r="Q352" s="5"/>
      <c r="R352" s="5"/>
    </row>
    <row r="353" spans="1:18">
      <c r="A353" s="7" t="str">
        <f t="shared" si="10"/>
        <v/>
      </c>
      <c r="B353" s="5"/>
      <c r="C353" s="5"/>
      <c r="D353" s="5"/>
      <c r="E353" s="5"/>
      <c r="F353" s="5"/>
      <c r="G353" s="29"/>
      <c r="H353" s="5"/>
      <c r="I353" s="5"/>
      <c r="J353" s="5"/>
      <c r="K353" s="5"/>
      <c r="L353" s="5"/>
      <c r="M353" s="5"/>
      <c r="N353" s="29" t="str">
        <f>IF(OR(B353="",M353&lt;&gt;"Yes"),"",IF(O353&lt;&gt;"",O353+IF(L353="Low",3,IF(L353="Medium",7,21)),G353+IF(L353="Low",2,IF(L353="Medium",5,14))))</f>
        <v/>
      </c>
      <c r="O353" s="29"/>
      <c r="P353" s="5"/>
      <c r="Q353" s="5"/>
      <c r="R353" s="5"/>
    </row>
    <row r="354" spans="1:18">
      <c r="A354" s="7" t="str">
        <f t="shared" si="10"/>
        <v/>
      </c>
      <c r="B354" s="5"/>
      <c r="C354" s="5"/>
      <c r="D354" s="5"/>
      <c r="E354" s="5"/>
      <c r="F354" s="5"/>
      <c r="G354" s="29"/>
      <c r="H354" s="5"/>
      <c r="I354" s="5"/>
      <c r="J354" s="5"/>
      <c r="K354" s="5"/>
      <c r="L354" s="5"/>
      <c r="M354" s="5"/>
      <c r="N354" s="29" t="str">
        <f>IF(OR(B354="",M354&lt;&gt;"Yes"),"",IF(O354&lt;&gt;"",O354+IF(L354="Low",3,IF(L354="Medium",7,21)),G354+IF(L354="Low",2,IF(L354="Medium",5,14))))</f>
        <v/>
      </c>
      <c r="O354" s="29"/>
      <c r="P354" s="5"/>
      <c r="Q354" s="5"/>
      <c r="R354" s="5"/>
    </row>
    <row r="355" spans="1:18">
      <c r="A355" s="7" t="str">
        <f t="shared" si="10"/>
        <v/>
      </c>
      <c r="B355" s="5"/>
      <c r="C355" s="5"/>
      <c r="D355" s="5"/>
      <c r="E355" s="5"/>
      <c r="F355" s="5"/>
      <c r="G355" s="29"/>
      <c r="H355" s="5"/>
      <c r="I355" s="5"/>
      <c r="J355" s="5"/>
      <c r="K355" s="5"/>
      <c r="L355" s="5"/>
      <c r="M355" s="5"/>
      <c r="N355" s="29" t="str">
        <f>IF(OR(B355="",M355&lt;&gt;"Yes"),"",IF(O355&lt;&gt;"",O355+IF(L355="Low",3,IF(L355="Medium",7,21)),G355+IF(L355="Low",2,IF(L355="Medium",5,14))))</f>
        <v/>
      </c>
      <c r="O355" s="29"/>
      <c r="P355" s="5"/>
      <c r="Q355" s="5"/>
      <c r="R355" s="5"/>
    </row>
    <row r="356" spans="1:18">
      <c r="A356" s="7" t="str">
        <f t="shared" si="10"/>
        <v/>
      </c>
      <c r="B356" s="5"/>
      <c r="C356" s="5"/>
      <c r="D356" s="5"/>
      <c r="E356" s="5"/>
      <c r="F356" s="5"/>
      <c r="G356" s="29"/>
      <c r="H356" s="5"/>
      <c r="I356" s="5"/>
      <c r="J356" s="5"/>
      <c r="K356" s="5"/>
      <c r="L356" s="5"/>
      <c r="M356" s="5"/>
      <c r="N356" s="29" t="str">
        <f>IF(OR(B356="",M356&lt;&gt;"Yes"),"",IF(O356&lt;&gt;"",O356+IF(L356="Low",3,IF(L356="Medium",7,21)),G356+IF(L356="Low",2,IF(L356="Medium",5,14))))</f>
        <v/>
      </c>
      <c r="O356" s="29"/>
      <c r="P356" s="5"/>
      <c r="Q356" s="5"/>
      <c r="R356" s="5"/>
    </row>
    <row r="357" spans="1:18">
      <c r="A357" s="7" t="str">
        <f t="shared" si="10"/>
        <v/>
      </c>
      <c r="B357" s="5"/>
      <c r="C357" s="5"/>
      <c r="D357" s="5"/>
      <c r="E357" s="5"/>
      <c r="F357" s="5"/>
      <c r="G357" s="29"/>
      <c r="H357" s="5"/>
      <c r="I357" s="5"/>
      <c r="J357" s="5"/>
      <c r="K357" s="5"/>
      <c r="L357" s="5"/>
      <c r="M357" s="5"/>
      <c r="N357" s="29" t="str">
        <f>IF(OR(B357="",M357&lt;&gt;"Yes"),"",IF(O357&lt;&gt;"",O357+IF(L357="Low",3,IF(L357="Medium",7,21)),G357+IF(L357="Low",2,IF(L357="Medium",5,14))))</f>
        <v/>
      </c>
      <c r="O357" s="29"/>
      <c r="P357" s="5"/>
      <c r="Q357" s="5"/>
      <c r="R357" s="5"/>
    </row>
    <row r="358" spans="1:18">
      <c r="A358" s="7" t="str">
        <f t="shared" si="10"/>
        <v/>
      </c>
      <c r="B358" s="5"/>
      <c r="C358" s="5"/>
      <c r="D358" s="5"/>
      <c r="E358" s="5"/>
      <c r="F358" s="5"/>
      <c r="G358" s="29"/>
      <c r="H358" s="5"/>
      <c r="I358" s="5"/>
      <c r="J358" s="5"/>
      <c r="K358" s="5"/>
      <c r="L358" s="5"/>
      <c r="M358" s="5"/>
      <c r="N358" s="29" t="str">
        <f>IF(OR(B358="",M358&lt;&gt;"Yes"),"",IF(O358&lt;&gt;"",O358+IF(L358="Low",3,IF(L358="Medium",7,21)),G358+IF(L358="Low",2,IF(L358="Medium",5,14))))</f>
        <v/>
      </c>
      <c r="O358" s="29"/>
      <c r="P358" s="5"/>
      <c r="Q358" s="5"/>
      <c r="R358" s="5"/>
    </row>
    <row r="359" spans="1:18">
      <c r="A359" s="7" t="str">
        <f t="shared" si="10"/>
        <v/>
      </c>
      <c r="B359" s="5"/>
      <c r="C359" s="5"/>
      <c r="D359" s="5"/>
      <c r="E359" s="5"/>
      <c r="F359" s="5"/>
      <c r="G359" s="29"/>
      <c r="H359" s="5"/>
      <c r="I359" s="5"/>
      <c r="J359" s="5"/>
      <c r="K359" s="5"/>
      <c r="L359" s="5"/>
      <c r="M359" s="5"/>
      <c r="N359" s="29" t="str">
        <f>IF(OR(B359="",M359&lt;&gt;"Yes"),"",IF(O359&lt;&gt;"",O359+IF(L359="Low",3,IF(L359="Medium",7,21)),G359+IF(L359="Low",2,IF(L359="Medium",5,14))))</f>
        <v/>
      </c>
      <c r="O359" s="29"/>
      <c r="P359" s="5"/>
      <c r="Q359" s="5"/>
      <c r="R359" s="5"/>
    </row>
    <row r="360" spans="1:18">
      <c r="A360" s="7" t="str">
        <f t="shared" si="10"/>
        <v/>
      </c>
      <c r="B360" s="5"/>
      <c r="C360" s="5"/>
      <c r="D360" s="5"/>
      <c r="E360" s="5"/>
      <c r="F360" s="5"/>
      <c r="G360" s="29"/>
      <c r="H360" s="5"/>
      <c r="I360" s="5"/>
      <c r="J360" s="5"/>
      <c r="K360" s="5"/>
      <c r="L360" s="5"/>
      <c r="M360" s="5"/>
      <c r="N360" s="29" t="str">
        <f>IF(OR(B360="",M360&lt;&gt;"Yes"),"",IF(O360&lt;&gt;"",O360+IF(L360="Low",3,IF(L360="Medium",7,21)),G360+IF(L360="Low",2,IF(L360="Medium",5,14))))</f>
        <v/>
      </c>
      <c r="O360" s="29"/>
      <c r="P360" s="5"/>
      <c r="Q360" s="5"/>
      <c r="R360" s="5"/>
    </row>
    <row r="361" spans="1:18">
      <c r="A361" s="7" t="str">
        <f t="shared" si="10"/>
        <v/>
      </c>
      <c r="B361" s="5"/>
      <c r="C361" s="5"/>
      <c r="D361" s="5"/>
      <c r="E361" s="5"/>
      <c r="F361" s="5"/>
      <c r="G361" s="29"/>
      <c r="H361" s="5"/>
      <c r="I361" s="5"/>
      <c r="J361" s="5"/>
      <c r="K361" s="5"/>
      <c r="L361" s="5"/>
      <c r="M361" s="5"/>
      <c r="N361" s="29" t="str">
        <f>IF(OR(B361="",M361&lt;&gt;"Yes"),"",IF(O361&lt;&gt;"",O361+IF(L361="Low",3,IF(L361="Medium",7,21)),G361+IF(L361="Low",2,IF(L361="Medium",5,14))))</f>
        <v/>
      </c>
      <c r="O361" s="29"/>
      <c r="P361" s="5"/>
      <c r="Q361" s="5"/>
      <c r="R361" s="5"/>
    </row>
    <row r="362" spans="1:18">
      <c r="A362" s="7" t="str">
        <f t="shared" si="10"/>
        <v/>
      </c>
      <c r="B362" s="5"/>
      <c r="C362" s="5"/>
      <c r="D362" s="5"/>
      <c r="E362" s="5"/>
      <c r="F362" s="5"/>
      <c r="G362" s="29"/>
      <c r="H362" s="5"/>
      <c r="I362" s="5"/>
      <c r="J362" s="5"/>
      <c r="K362" s="5"/>
      <c r="L362" s="5"/>
      <c r="M362" s="5"/>
      <c r="N362" s="29" t="str">
        <f>IF(OR(B362="",M362&lt;&gt;"Yes"),"",IF(O362&lt;&gt;"",O362+IF(L362="Low",3,IF(L362="Medium",7,21)),G362+IF(L362="Low",2,IF(L362="Medium",5,14))))</f>
        <v/>
      </c>
      <c r="O362" s="29"/>
      <c r="P362" s="5"/>
      <c r="Q362" s="5"/>
      <c r="R362" s="5"/>
    </row>
    <row r="363" spans="1:18">
      <c r="A363" s="7" t="str">
        <f t="shared" si="10"/>
        <v/>
      </c>
      <c r="B363" s="5"/>
      <c r="C363" s="5"/>
      <c r="D363" s="5"/>
      <c r="E363" s="5"/>
      <c r="F363" s="5"/>
      <c r="G363" s="29"/>
      <c r="H363" s="5"/>
      <c r="I363" s="5"/>
      <c r="J363" s="5"/>
      <c r="K363" s="5"/>
      <c r="L363" s="5"/>
      <c r="M363" s="5"/>
      <c r="N363" s="29" t="str">
        <f>IF(OR(B363="",M363&lt;&gt;"Yes"),"",IF(O363&lt;&gt;"",O363+IF(L363="Low",3,IF(L363="Medium",7,21)),G363+IF(L363="Low",2,IF(L363="Medium",5,14))))</f>
        <v/>
      </c>
      <c r="O363" s="29"/>
      <c r="P363" s="5"/>
      <c r="Q363" s="5"/>
      <c r="R363" s="5"/>
    </row>
    <row r="364" spans="1:18">
      <c r="A364" s="7" t="str">
        <f t="shared" si="10"/>
        <v/>
      </c>
      <c r="B364" s="5"/>
      <c r="C364" s="5"/>
      <c r="D364" s="5"/>
      <c r="E364" s="5"/>
      <c r="F364" s="5"/>
      <c r="G364" s="29"/>
      <c r="H364" s="5"/>
      <c r="I364" s="5"/>
      <c r="J364" s="5"/>
      <c r="K364" s="5"/>
      <c r="L364" s="5"/>
      <c r="M364" s="5"/>
      <c r="N364" s="29" t="str">
        <f>IF(OR(B364="",M364&lt;&gt;"Yes"),"",IF(O364&lt;&gt;"",O364+IF(L364="Low",3,IF(L364="Medium",7,21)),G364+IF(L364="Low",2,IF(L364="Medium",5,14))))</f>
        <v/>
      </c>
      <c r="O364" s="29"/>
      <c r="P364" s="5"/>
      <c r="Q364" s="5"/>
      <c r="R364" s="5"/>
    </row>
    <row r="365" spans="1:18">
      <c r="A365" s="7" t="str">
        <f t="shared" si="10"/>
        <v/>
      </c>
      <c r="B365" s="5"/>
      <c r="C365" s="5"/>
      <c r="D365" s="5"/>
      <c r="E365" s="5"/>
      <c r="F365" s="5"/>
      <c r="G365" s="29"/>
      <c r="H365" s="5"/>
      <c r="I365" s="5"/>
      <c r="J365" s="5"/>
      <c r="K365" s="5"/>
      <c r="L365" s="5"/>
      <c r="M365" s="5"/>
      <c r="N365" s="29" t="str">
        <f>IF(OR(B365="",M365&lt;&gt;"Yes"),"",IF(O365&lt;&gt;"",O365+IF(L365="Low",3,IF(L365="Medium",7,21)),G365+IF(L365="Low",2,IF(L365="Medium",5,14))))</f>
        <v/>
      </c>
      <c r="O365" s="29"/>
      <c r="P365" s="5"/>
      <c r="Q365" s="5"/>
      <c r="R365" s="5"/>
    </row>
    <row r="366" spans="1:18">
      <c r="A366" s="7" t="str">
        <f t="shared" si="10"/>
        <v/>
      </c>
      <c r="B366" s="5"/>
      <c r="C366" s="5"/>
      <c r="D366" s="5"/>
      <c r="E366" s="5"/>
      <c r="F366" s="5"/>
      <c r="G366" s="29"/>
      <c r="H366" s="5"/>
      <c r="I366" s="5"/>
      <c r="J366" s="5"/>
      <c r="K366" s="5"/>
      <c r="L366" s="5"/>
      <c r="M366" s="5"/>
      <c r="N366" s="29" t="str">
        <f>IF(OR(B366="",M366&lt;&gt;"Yes"),"",IF(O366&lt;&gt;"",O366+IF(L366="Low",3,IF(L366="Medium",7,21)),G366+IF(L366="Low",2,IF(L366="Medium",5,14))))</f>
        <v/>
      </c>
      <c r="O366" s="29"/>
      <c r="P366" s="5"/>
      <c r="Q366" s="5"/>
      <c r="R366" s="5"/>
    </row>
    <row r="367" spans="1:18">
      <c r="A367" s="7" t="str">
        <f t="shared" si="10"/>
        <v/>
      </c>
      <c r="B367" s="5"/>
      <c r="C367" s="5"/>
      <c r="D367" s="5"/>
      <c r="E367" s="5"/>
      <c r="F367" s="5"/>
      <c r="G367" s="29"/>
      <c r="H367" s="5"/>
      <c r="I367" s="5"/>
      <c r="J367" s="5"/>
      <c r="K367" s="5"/>
      <c r="L367" s="5"/>
      <c r="M367" s="5"/>
      <c r="N367" s="29" t="str">
        <f>IF(OR(B367="",M367&lt;&gt;"Yes"),"",IF(O367&lt;&gt;"",O367+IF(L367="Low",3,IF(L367="Medium",7,21)),G367+IF(L367="Low",2,IF(L367="Medium",5,14))))</f>
        <v/>
      </c>
      <c r="O367" s="29"/>
      <c r="P367" s="5"/>
      <c r="Q367" s="5"/>
      <c r="R367" s="5"/>
    </row>
    <row r="368" spans="1:18">
      <c r="A368" s="7" t="str">
        <f t="shared" si="10"/>
        <v/>
      </c>
      <c r="B368" s="5"/>
      <c r="C368" s="5"/>
      <c r="D368" s="5"/>
      <c r="E368" s="5"/>
      <c r="F368" s="5"/>
      <c r="G368" s="29"/>
      <c r="H368" s="5"/>
      <c r="I368" s="5"/>
      <c r="J368" s="5"/>
      <c r="K368" s="5"/>
      <c r="L368" s="5"/>
      <c r="M368" s="5"/>
      <c r="N368" s="29" t="str">
        <f>IF(OR(B368="",M368&lt;&gt;"Yes"),"",IF(O368&lt;&gt;"",O368+IF(L368="Low",3,IF(L368="Medium",7,21)),G368+IF(L368="Low",2,IF(L368="Medium",5,14))))</f>
        <v/>
      </c>
      <c r="O368" s="29"/>
      <c r="P368" s="5"/>
      <c r="Q368" s="5"/>
      <c r="R368" s="5"/>
    </row>
    <row r="369" spans="1:18">
      <c r="A369" s="7" t="str">
        <f t="shared" si="10"/>
        <v/>
      </c>
      <c r="B369" s="5"/>
      <c r="C369" s="5"/>
      <c r="D369" s="5"/>
      <c r="E369" s="5"/>
      <c r="F369" s="5"/>
      <c r="G369" s="29"/>
      <c r="H369" s="5"/>
      <c r="I369" s="5"/>
      <c r="J369" s="5"/>
      <c r="K369" s="5"/>
      <c r="L369" s="5"/>
      <c r="M369" s="5"/>
      <c r="N369" s="29" t="str">
        <f>IF(OR(B369="",M369&lt;&gt;"Yes"),"",IF(O369&lt;&gt;"",O369+IF(L369="Low",3,IF(L369="Medium",7,21)),G369+IF(L369="Low",2,IF(L369="Medium",5,14))))</f>
        <v/>
      </c>
      <c r="O369" s="29"/>
      <c r="P369" s="5"/>
      <c r="Q369" s="5"/>
      <c r="R369" s="5"/>
    </row>
    <row r="370" spans="1:18">
      <c r="A370" s="7" t="str">
        <f t="shared" si="10"/>
        <v/>
      </c>
      <c r="B370" s="5"/>
      <c r="C370" s="5"/>
      <c r="D370" s="5"/>
      <c r="E370" s="5"/>
      <c r="F370" s="5"/>
      <c r="G370" s="29"/>
      <c r="H370" s="5"/>
      <c r="I370" s="5"/>
      <c r="J370" s="5"/>
      <c r="K370" s="5"/>
      <c r="L370" s="5"/>
      <c r="M370" s="5"/>
      <c r="N370" s="29" t="str">
        <f>IF(OR(B370="",M370&lt;&gt;"Yes"),"",IF(O370&lt;&gt;"",O370+IF(L370="Low",3,IF(L370="Medium",7,21)),G370+IF(L370="Low",2,IF(L370="Medium",5,14))))</f>
        <v/>
      </c>
      <c r="O370" s="29"/>
      <c r="P370" s="5"/>
      <c r="Q370" s="5"/>
      <c r="R370" s="5"/>
    </row>
    <row r="371" spans="1:18">
      <c r="A371" s="7" t="str">
        <f t="shared" si="10"/>
        <v/>
      </c>
      <c r="B371" s="5"/>
      <c r="C371" s="5"/>
      <c r="D371" s="5"/>
      <c r="E371" s="5"/>
      <c r="F371" s="5"/>
      <c r="G371" s="29"/>
      <c r="H371" s="5"/>
      <c r="I371" s="5"/>
      <c r="J371" s="5"/>
      <c r="K371" s="5"/>
      <c r="L371" s="5"/>
      <c r="M371" s="5"/>
      <c r="N371" s="29" t="str">
        <f>IF(OR(B371="",M371&lt;&gt;"Yes"),"",IF(O371&lt;&gt;"",O371+IF(L371="Low",3,IF(L371="Medium",7,21)),G371+IF(L371="Low",2,IF(L371="Medium",5,14))))</f>
        <v/>
      </c>
      <c r="O371" s="29"/>
      <c r="P371" s="5"/>
      <c r="Q371" s="5"/>
      <c r="R371" s="5"/>
    </row>
    <row r="372" spans="1:18">
      <c r="A372" s="7" t="str">
        <f t="shared" si="10"/>
        <v/>
      </c>
      <c r="B372" s="5"/>
      <c r="C372" s="5"/>
      <c r="D372" s="5"/>
      <c r="E372" s="5"/>
      <c r="F372" s="5"/>
      <c r="G372" s="29"/>
      <c r="H372" s="5"/>
      <c r="I372" s="5"/>
      <c r="J372" s="5"/>
      <c r="K372" s="5"/>
      <c r="L372" s="5"/>
      <c r="M372" s="5"/>
      <c r="N372" s="29" t="str">
        <f>IF(OR(B372="",M372&lt;&gt;"Yes"),"",IF(O372&lt;&gt;"",O372+IF(L372="Low",3,IF(L372="Medium",7,21)),G372+IF(L372="Low",2,IF(L372="Medium",5,14))))</f>
        <v/>
      </c>
      <c r="O372" s="29"/>
      <c r="P372" s="5"/>
      <c r="Q372" s="5"/>
      <c r="R372" s="5"/>
    </row>
    <row r="373" spans="1:18">
      <c r="A373" s="7" t="str">
        <f t="shared" si="10"/>
        <v/>
      </c>
      <c r="B373" s="5"/>
      <c r="C373" s="5"/>
      <c r="D373" s="5"/>
      <c r="E373" s="5"/>
      <c r="F373" s="5"/>
      <c r="G373" s="29"/>
      <c r="H373" s="5"/>
      <c r="I373" s="5"/>
      <c r="J373" s="5"/>
      <c r="K373" s="5"/>
      <c r="L373" s="5"/>
      <c r="M373" s="5"/>
      <c r="N373" s="29" t="str">
        <f>IF(OR(B373="",M373&lt;&gt;"Yes"),"",IF(O373&lt;&gt;"",O373+IF(L373="Low",3,IF(L373="Medium",7,21)),G373+IF(L373="Low",2,IF(L373="Medium",5,14))))</f>
        <v/>
      </c>
      <c r="O373" s="29"/>
      <c r="P373" s="5"/>
      <c r="Q373" s="5"/>
      <c r="R373" s="5"/>
    </row>
    <row r="374" spans="1:18">
      <c r="A374" s="7" t="str">
        <f t="shared" si="10"/>
        <v/>
      </c>
      <c r="B374" s="5"/>
      <c r="C374" s="5"/>
      <c r="D374" s="5"/>
      <c r="E374" s="5"/>
      <c r="F374" s="5"/>
      <c r="G374" s="29"/>
      <c r="H374" s="5"/>
      <c r="I374" s="5"/>
      <c r="J374" s="5"/>
      <c r="K374" s="5"/>
      <c r="L374" s="5"/>
      <c r="M374" s="5"/>
      <c r="N374" s="29" t="str">
        <f>IF(OR(B374="",M374&lt;&gt;"Yes"),"",IF(O374&lt;&gt;"",O374+IF(L374="Low",3,IF(L374="Medium",7,21)),G374+IF(L374="Low",2,IF(L374="Medium",5,14))))</f>
        <v/>
      </c>
      <c r="O374" s="29"/>
      <c r="P374" s="5"/>
      <c r="Q374" s="5"/>
      <c r="R374" s="5"/>
    </row>
    <row r="375" spans="1:18">
      <c r="A375" s="7" t="str">
        <f t="shared" si="10"/>
        <v/>
      </c>
      <c r="B375" s="5"/>
      <c r="C375" s="5"/>
      <c r="D375" s="5"/>
      <c r="E375" s="5"/>
      <c r="F375" s="5"/>
      <c r="G375" s="29"/>
      <c r="H375" s="5"/>
      <c r="I375" s="5"/>
      <c r="J375" s="5"/>
      <c r="K375" s="5"/>
      <c r="L375" s="5"/>
      <c r="M375" s="5"/>
      <c r="N375" s="29" t="str">
        <f>IF(OR(B375="",M375&lt;&gt;"Yes"),"",IF(O375&lt;&gt;"",O375+IF(L375="Low",3,IF(L375="Medium",7,21)),G375+IF(L375="Low",2,IF(L375="Medium",5,14))))</f>
        <v/>
      </c>
      <c r="O375" s="29"/>
      <c r="P375" s="5"/>
      <c r="Q375" s="5"/>
      <c r="R375" s="5"/>
    </row>
    <row r="376" spans="1:18">
      <c r="A376" s="7" t="str">
        <f t="shared" si="10"/>
        <v/>
      </c>
      <c r="B376" s="5"/>
      <c r="C376" s="5"/>
      <c r="D376" s="5"/>
      <c r="E376" s="5"/>
      <c r="F376" s="5"/>
      <c r="G376" s="29"/>
      <c r="H376" s="5"/>
      <c r="I376" s="5"/>
      <c r="J376" s="5"/>
      <c r="K376" s="5"/>
      <c r="L376" s="5"/>
      <c r="M376" s="5"/>
      <c r="N376" s="29" t="str">
        <f>IF(OR(B376="",M376&lt;&gt;"Yes"),"",IF(O376&lt;&gt;"",O376+IF(L376="Low",3,IF(L376="Medium",7,21)),G376+IF(L376="Low",2,IF(L376="Medium",5,14))))</f>
        <v/>
      </c>
      <c r="O376" s="29"/>
      <c r="P376" s="5"/>
      <c r="Q376" s="5"/>
      <c r="R376" s="5"/>
    </row>
    <row r="377" spans="1:18">
      <c r="A377" s="7" t="str">
        <f t="shared" si="10"/>
        <v/>
      </c>
      <c r="B377" s="5"/>
      <c r="C377" s="5"/>
      <c r="D377" s="5"/>
      <c r="E377" s="5"/>
      <c r="F377" s="5"/>
      <c r="G377" s="29"/>
      <c r="H377" s="5"/>
      <c r="I377" s="5"/>
      <c r="J377" s="5"/>
      <c r="K377" s="5"/>
      <c r="L377" s="5"/>
      <c r="M377" s="5"/>
      <c r="N377" s="29" t="str">
        <f>IF(OR(B377="",M377&lt;&gt;"Yes"),"",IF(O377&lt;&gt;"",O377+IF(L377="Low",3,IF(L377="Medium",7,21)),G377+IF(L377="Low",2,IF(L377="Medium",5,14))))</f>
        <v/>
      </c>
      <c r="O377" s="29"/>
      <c r="P377" s="5"/>
      <c r="Q377" s="5"/>
      <c r="R377" s="5"/>
    </row>
    <row r="378" spans="1:18">
      <c r="A378" s="7" t="str">
        <f t="shared" si="10"/>
        <v/>
      </c>
      <c r="B378" s="5"/>
      <c r="C378" s="5"/>
      <c r="D378" s="5"/>
      <c r="E378" s="5"/>
      <c r="F378" s="5"/>
      <c r="G378" s="29"/>
      <c r="H378" s="5"/>
      <c r="I378" s="5"/>
      <c r="J378" s="5"/>
      <c r="K378" s="5"/>
      <c r="L378" s="5"/>
      <c r="M378" s="5"/>
      <c r="N378" s="29" t="str">
        <f>IF(OR(B378="",M378&lt;&gt;"Yes"),"",IF(O378&lt;&gt;"",O378+IF(L378="Low",3,IF(L378="Medium",7,21)),G378+IF(L378="Low",2,IF(L378="Medium",5,14))))</f>
        <v/>
      </c>
      <c r="O378" s="29"/>
      <c r="P378" s="5"/>
      <c r="Q378" s="5"/>
      <c r="R378" s="5"/>
    </row>
    <row r="379" spans="1:18">
      <c r="A379" s="7" t="str">
        <f t="shared" si="10"/>
        <v/>
      </c>
      <c r="B379" s="5"/>
      <c r="C379" s="5"/>
      <c r="D379" s="5"/>
      <c r="E379" s="5"/>
      <c r="F379" s="5"/>
      <c r="G379" s="29"/>
      <c r="H379" s="5"/>
      <c r="I379" s="5"/>
      <c r="J379" s="5"/>
      <c r="K379" s="5"/>
      <c r="L379" s="5"/>
      <c r="M379" s="5"/>
      <c r="N379" s="29" t="str">
        <f>IF(OR(B379="",M379&lt;&gt;"Yes"),"",IF(O379&lt;&gt;"",O379+IF(L379="Low",3,IF(L379="Medium",7,21)),G379+IF(L379="Low",2,IF(L379="Medium",5,14))))</f>
        <v/>
      </c>
      <c r="O379" s="29"/>
      <c r="P379" s="5"/>
      <c r="Q379" s="5"/>
      <c r="R379" s="5"/>
    </row>
    <row r="380" spans="1:18">
      <c r="A380" s="7" t="str">
        <f t="shared" si="10"/>
        <v/>
      </c>
      <c r="B380" s="5"/>
      <c r="C380" s="5"/>
      <c r="D380" s="5"/>
      <c r="E380" s="5"/>
      <c r="F380" s="5"/>
      <c r="G380" s="29"/>
      <c r="H380" s="5"/>
      <c r="I380" s="5"/>
      <c r="J380" s="5"/>
      <c r="K380" s="5"/>
      <c r="L380" s="5"/>
      <c r="M380" s="5"/>
      <c r="N380" s="29" t="str">
        <f>IF(OR(B380="",M380&lt;&gt;"Yes"),"",IF(O380&lt;&gt;"",O380+IF(L380="Low",3,IF(L380="Medium",7,21)),G380+IF(L380="Low",2,IF(L380="Medium",5,14))))</f>
        <v/>
      </c>
      <c r="O380" s="29"/>
      <c r="P380" s="5"/>
      <c r="Q380" s="5"/>
      <c r="R380" s="5"/>
    </row>
    <row r="381" spans="1:18">
      <c r="A381" s="7" t="str">
        <f t="shared" si="10"/>
        <v/>
      </c>
      <c r="B381" s="5"/>
      <c r="C381" s="5"/>
      <c r="D381" s="5"/>
      <c r="E381" s="5"/>
      <c r="F381" s="5"/>
      <c r="G381" s="29"/>
      <c r="H381" s="5"/>
      <c r="I381" s="5"/>
      <c r="J381" s="5"/>
      <c r="K381" s="5"/>
      <c r="L381" s="5"/>
      <c r="M381" s="5"/>
      <c r="N381" s="29" t="str">
        <f>IF(OR(B381="",M381&lt;&gt;"Yes"),"",IF(O381&lt;&gt;"",O381+IF(L381="Low",3,IF(L381="Medium",7,21)),G381+IF(L381="Low",2,IF(L381="Medium",5,14))))</f>
        <v/>
      </c>
      <c r="O381" s="29"/>
      <c r="P381" s="5"/>
      <c r="Q381" s="5"/>
      <c r="R381" s="5"/>
    </row>
    <row r="382" spans="1:18">
      <c r="A382" s="7" t="str">
        <f t="shared" si="10"/>
        <v/>
      </c>
      <c r="B382" s="5"/>
      <c r="C382" s="5"/>
      <c r="D382" s="5"/>
      <c r="E382" s="5"/>
      <c r="F382" s="5"/>
      <c r="G382" s="29"/>
      <c r="H382" s="5"/>
      <c r="I382" s="5"/>
      <c r="J382" s="5"/>
      <c r="K382" s="5"/>
      <c r="L382" s="5"/>
      <c r="M382" s="5"/>
      <c r="N382" s="29" t="str">
        <f>IF(OR(B382="",M382&lt;&gt;"Yes"),"",IF(O382&lt;&gt;"",O382+IF(L382="Low",3,IF(L382="Medium",7,21)),G382+IF(L382="Low",2,IF(L382="Medium",5,14))))</f>
        <v/>
      </c>
      <c r="O382" s="29"/>
      <c r="P382" s="5"/>
      <c r="Q382" s="5"/>
      <c r="R382" s="5"/>
    </row>
    <row r="383" spans="1:18">
      <c r="A383" s="7" t="str">
        <f t="shared" si="10"/>
        <v/>
      </c>
      <c r="B383" s="5"/>
      <c r="C383" s="5"/>
      <c r="D383" s="5"/>
      <c r="E383" s="5"/>
      <c r="F383" s="5"/>
      <c r="G383" s="29"/>
      <c r="H383" s="5"/>
      <c r="I383" s="5"/>
      <c r="J383" s="5"/>
      <c r="K383" s="5"/>
      <c r="L383" s="5"/>
      <c r="M383" s="5"/>
      <c r="N383" s="29" t="str">
        <f>IF(OR(B383="",M383&lt;&gt;"Yes"),"",IF(O383&lt;&gt;"",O383+IF(L383="Low",3,IF(L383="Medium",7,21)),G383+IF(L383="Low",2,IF(L383="Medium",5,14))))</f>
        <v/>
      </c>
      <c r="O383" s="29"/>
      <c r="P383" s="5"/>
      <c r="Q383" s="5"/>
      <c r="R383" s="5"/>
    </row>
    <row r="384" spans="1:18">
      <c r="A384" s="7" t="str">
        <f t="shared" si="10"/>
        <v/>
      </c>
      <c r="B384" s="5"/>
      <c r="C384" s="5"/>
      <c r="D384" s="5"/>
      <c r="E384" s="5"/>
      <c r="F384" s="5"/>
      <c r="G384" s="29"/>
      <c r="H384" s="5"/>
      <c r="I384" s="5"/>
      <c r="J384" s="5"/>
      <c r="K384" s="5"/>
      <c r="L384" s="5"/>
      <c r="M384" s="5"/>
      <c r="N384" s="29" t="str">
        <f>IF(OR(B384="",M384&lt;&gt;"Yes"),"",IF(O384&lt;&gt;"",O384+IF(L384="Low",3,IF(L384="Medium",7,21)),G384+IF(L384="Low",2,IF(L384="Medium",5,14))))</f>
        <v/>
      </c>
      <c r="O384" s="29"/>
      <c r="P384" s="5"/>
      <c r="Q384" s="5"/>
      <c r="R384" s="5"/>
    </row>
    <row r="385" spans="1:18">
      <c r="A385" s="7" t="str">
        <f t="shared" ref="A385:A448" si="11">IF(B385="","",ROW()-3)</f>
        <v/>
      </c>
      <c r="B385" s="5"/>
      <c r="C385" s="5"/>
      <c r="D385" s="5"/>
      <c r="E385" s="5"/>
      <c r="F385" s="5"/>
      <c r="G385" s="29"/>
      <c r="H385" s="5"/>
      <c r="I385" s="5"/>
      <c r="J385" s="5"/>
      <c r="K385" s="5"/>
      <c r="L385" s="5"/>
      <c r="M385" s="5"/>
      <c r="N385" s="29" t="str">
        <f>IF(OR(B385="",M385&lt;&gt;"Yes"),"",IF(O385&lt;&gt;"",O385+IF(L385="Low",3,IF(L385="Medium",7,21)),G385+IF(L385="Low",2,IF(L385="Medium",5,14))))</f>
        <v/>
      </c>
      <c r="O385" s="29"/>
      <c r="P385" s="5"/>
      <c r="Q385" s="5"/>
      <c r="R385" s="5"/>
    </row>
    <row r="386" spans="1:18">
      <c r="A386" s="7" t="str">
        <f t="shared" si="11"/>
        <v/>
      </c>
      <c r="B386" s="5"/>
      <c r="C386" s="5"/>
      <c r="D386" s="5"/>
      <c r="E386" s="5"/>
      <c r="F386" s="5"/>
      <c r="G386" s="29"/>
      <c r="H386" s="5"/>
      <c r="I386" s="5"/>
      <c r="J386" s="5"/>
      <c r="K386" s="5"/>
      <c r="L386" s="5"/>
      <c r="M386" s="5"/>
      <c r="N386" s="29" t="str">
        <f>IF(OR(B386="",M386&lt;&gt;"Yes"),"",IF(O386&lt;&gt;"",O386+IF(L386="Low",3,IF(L386="Medium",7,21)),G386+IF(L386="Low",2,IF(L386="Medium",5,14))))</f>
        <v/>
      </c>
      <c r="O386" s="29"/>
      <c r="P386" s="5"/>
      <c r="Q386" s="5"/>
      <c r="R386" s="5"/>
    </row>
    <row r="387" spans="1:18">
      <c r="A387" s="7" t="str">
        <f t="shared" si="11"/>
        <v/>
      </c>
      <c r="B387" s="5"/>
      <c r="C387" s="5"/>
      <c r="D387" s="5"/>
      <c r="E387" s="5"/>
      <c r="F387" s="5"/>
      <c r="G387" s="29"/>
      <c r="H387" s="5"/>
      <c r="I387" s="5"/>
      <c r="J387" s="5"/>
      <c r="K387" s="5"/>
      <c r="L387" s="5"/>
      <c r="M387" s="5"/>
      <c r="N387" s="29" t="str">
        <f>IF(OR(B387="",M387&lt;&gt;"Yes"),"",IF(O387&lt;&gt;"",O387+IF(L387="Low",3,IF(L387="Medium",7,21)),G387+IF(L387="Low",2,IF(L387="Medium",5,14))))</f>
        <v/>
      </c>
      <c r="O387" s="29"/>
      <c r="P387" s="5"/>
      <c r="Q387" s="5"/>
      <c r="R387" s="5"/>
    </row>
    <row r="388" spans="1:18">
      <c r="A388" s="7" t="str">
        <f t="shared" si="11"/>
        <v/>
      </c>
      <c r="B388" s="5"/>
      <c r="C388" s="5"/>
      <c r="D388" s="5"/>
      <c r="E388" s="5"/>
      <c r="F388" s="5"/>
      <c r="G388" s="29"/>
      <c r="H388" s="5"/>
      <c r="I388" s="5"/>
      <c r="J388" s="5"/>
      <c r="K388" s="5"/>
      <c r="L388" s="5"/>
      <c r="M388" s="5"/>
      <c r="N388" s="29" t="str">
        <f>IF(OR(B388="",M388&lt;&gt;"Yes"),"",IF(O388&lt;&gt;"",O388+IF(L388="Low",3,IF(L388="Medium",7,21)),G388+IF(L388="Low",2,IF(L388="Medium",5,14))))</f>
        <v/>
      </c>
      <c r="O388" s="29"/>
      <c r="P388" s="5"/>
      <c r="Q388" s="5"/>
      <c r="R388" s="5"/>
    </row>
    <row r="389" spans="1:18">
      <c r="A389" s="7" t="str">
        <f t="shared" si="11"/>
        <v/>
      </c>
      <c r="B389" s="5"/>
      <c r="C389" s="5"/>
      <c r="D389" s="5"/>
      <c r="E389" s="5"/>
      <c r="F389" s="5"/>
      <c r="G389" s="29"/>
      <c r="H389" s="5"/>
      <c r="I389" s="5"/>
      <c r="J389" s="5"/>
      <c r="K389" s="5"/>
      <c r="L389" s="5"/>
      <c r="M389" s="5"/>
      <c r="N389" s="29" t="str">
        <f>IF(OR(B389="",M389&lt;&gt;"Yes"),"",IF(O389&lt;&gt;"",O389+IF(L389="Low",3,IF(L389="Medium",7,21)),G389+IF(L389="Low",2,IF(L389="Medium",5,14))))</f>
        <v/>
      </c>
      <c r="O389" s="29"/>
      <c r="P389" s="5"/>
      <c r="Q389" s="5"/>
      <c r="R389" s="5"/>
    </row>
    <row r="390" spans="1:18">
      <c r="A390" s="7" t="str">
        <f t="shared" si="11"/>
        <v/>
      </c>
      <c r="B390" s="5"/>
      <c r="C390" s="5"/>
      <c r="D390" s="5"/>
      <c r="E390" s="5"/>
      <c r="F390" s="5"/>
      <c r="G390" s="29"/>
      <c r="H390" s="5"/>
      <c r="I390" s="5"/>
      <c r="J390" s="5"/>
      <c r="K390" s="5"/>
      <c r="L390" s="5"/>
      <c r="M390" s="5"/>
      <c r="N390" s="29" t="str">
        <f>IF(OR(B390="",M390&lt;&gt;"Yes"),"",IF(O390&lt;&gt;"",O390+IF(L390="Low",3,IF(L390="Medium",7,21)),G390+IF(L390="Low",2,IF(L390="Medium",5,14))))</f>
        <v/>
      </c>
      <c r="O390" s="29"/>
      <c r="P390" s="5"/>
      <c r="Q390" s="5"/>
      <c r="R390" s="5"/>
    </row>
    <row r="391" spans="1:18">
      <c r="A391" s="7" t="str">
        <f t="shared" si="11"/>
        <v/>
      </c>
      <c r="B391" s="5"/>
      <c r="C391" s="5"/>
      <c r="D391" s="5"/>
      <c r="E391" s="5"/>
      <c r="F391" s="5"/>
      <c r="G391" s="29"/>
      <c r="H391" s="5"/>
      <c r="I391" s="5"/>
      <c r="J391" s="5"/>
      <c r="K391" s="5"/>
      <c r="L391" s="5"/>
      <c r="M391" s="5"/>
      <c r="N391" s="29" t="str">
        <f>IF(OR(B391="",M391&lt;&gt;"Yes"),"",IF(O391&lt;&gt;"",O391+IF(L391="Low",3,IF(L391="Medium",7,21)),G391+IF(L391="Low",2,IF(L391="Medium",5,14))))</f>
        <v/>
      </c>
      <c r="O391" s="29"/>
      <c r="P391" s="5"/>
      <c r="Q391" s="5"/>
      <c r="R391" s="5"/>
    </row>
    <row r="392" spans="1:18">
      <c r="A392" s="7" t="str">
        <f t="shared" si="11"/>
        <v/>
      </c>
      <c r="B392" s="5"/>
      <c r="C392" s="5"/>
      <c r="D392" s="5"/>
      <c r="E392" s="5"/>
      <c r="F392" s="5"/>
      <c r="G392" s="29"/>
      <c r="H392" s="5"/>
      <c r="I392" s="5"/>
      <c r="J392" s="5"/>
      <c r="K392" s="5"/>
      <c r="L392" s="5"/>
      <c r="M392" s="5"/>
      <c r="N392" s="29" t="str">
        <f>IF(OR(B392="",M392&lt;&gt;"Yes"),"",IF(O392&lt;&gt;"",O392+IF(L392="Low",3,IF(L392="Medium",7,21)),G392+IF(L392="Low",2,IF(L392="Medium",5,14))))</f>
        <v/>
      </c>
      <c r="O392" s="29"/>
      <c r="P392" s="5"/>
      <c r="Q392" s="5"/>
      <c r="R392" s="5"/>
    </row>
    <row r="393" spans="1:18">
      <c r="A393" s="7" t="str">
        <f t="shared" si="11"/>
        <v/>
      </c>
      <c r="B393" s="5"/>
      <c r="C393" s="5"/>
      <c r="D393" s="5"/>
      <c r="E393" s="5"/>
      <c r="F393" s="5"/>
      <c r="G393" s="29"/>
      <c r="H393" s="5"/>
      <c r="I393" s="5"/>
      <c r="J393" s="5"/>
      <c r="K393" s="5"/>
      <c r="L393" s="5"/>
      <c r="M393" s="5"/>
      <c r="N393" s="29" t="str">
        <f>IF(OR(B393="",M393&lt;&gt;"Yes"),"",IF(O393&lt;&gt;"",O393+IF(L393="Low",3,IF(L393="Medium",7,21)),G393+IF(L393="Low",2,IF(L393="Medium",5,14))))</f>
        <v/>
      </c>
      <c r="O393" s="29"/>
      <c r="P393" s="5"/>
      <c r="Q393" s="5"/>
      <c r="R393" s="5"/>
    </row>
    <row r="394" spans="1:18">
      <c r="A394" s="7" t="str">
        <f t="shared" si="11"/>
        <v/>
      </c>
      <c r="B394" s="5"/>
      <c r="C394" s="5"/>
      <c r="D394" s="5"/>
      <c r="E394" s="5"/>
      <c r="F394" s="5"/>
      <c r="G394" s="29"/>
      <c r="H394" s="5"/>
      <c r="I394" s="5"/>
      <c r="J394" s="5"/>
      <c r="K394" s="5"/>
      <c r="L394" s="5"/>
      <c r="M394" s="5"/>
      <c r="N394" s="29" t="str">
        <f>IF(OR(B394="",M394&lt;&gt;"Yes"),"",IF(O394&lt;&gt;"",O394+IF(L394="Low",3,IF(L394="Medium",7,21)),G394+IF(L394="Low",2,IF(L394="Medium",5,14))))</f>
        <v/>
      </c>
      <c r="O394" s="29"/>
      <c r="P394" s="5"/>
      <c r="Q394" s="5"/>
      <c r="R394" s="5"/>
    </row>
    <row r="395" spans="1:18">
      <c r="A395" s="7" t="str">
        <f t="shared" si="11"/>
        <v/>
      </c>
      <c r="B395" s="5"/>
      <c r="C395" s="5"/>
      <c r="D395" s="5"/>
      <c r="E395" s="5"/>
      <c r="F395" s="5"/>
      <c r="G395" s="29"/>
      <c r="H395" s="5"/>
      <c r="I395" s="5"/>
      <c r="J395" s="5"/>
      <c r="K395" s="5"/>
      <c r="L395" s="5"/>
      <c r="M395" s="5"/>
      <c r="N395" s="29" t="str">
        <f>IF(OR(B395="",M395&lt;&gt;"Yes"),"",IF(O395&lt;&gt;"",O395+IF(L395="Low",3,IF(L395="Medium",7,21)),G395+IF(L395="Low",2,IF(L395="Medium",5,14))))</f>
        <v/>
      </c>
      <c r="O395" s="29"/>
      <c r="P395" s="5"/>
      <c r="Q395" s="5"/>
      <c r="R395" s="5"/>
    </row>
    <row r="396" spans="1:18">
      <c r="A396" s="7" t="str">
        <f t="shared" si="11"/>
        <v/>
      </c>
      <c r="B396" s="5"/>
      <c r="C396" s="5"/>
      <c r="D396" s="5"/>
      <c r="E396" s="5"/>
      <c r="F396" s="5"/>
      <c r="G396" s="29"/>
      <c r="H396" s="5"/>
      <c r="I396" s="5"/>
      <c r="J396" s="5"/>
      <c r="K396" s="5"/>
      <c r="L396" s="5"/>
      <c r="M396" s="5"/>
      <c r="N396" s="29" t="str">
        <f>IF(OR(B396="",M396&lt;&gt;"Yes"),"",IF(O396&lt;&gt;"",O396+IF(L396="Low",3,IF(L396="Medium",7,21)),G396+IF(L396="Low",2,IF(L396="Medium",5,14))))</f>
        <v/>
      </c>
      <c r="O396" s="29"/>
      <c r="P396" s="5"/>
      <c r="Q396" s="5"/>
      <c r="R396" s="5"/>
    </row>
    <row r="397" spans="1:18">
      <c r="A397" s="7" t="str">
        <f t="shared" si="11"/>
        <v/>
      </c>
      <c r="B397" s="5"/>
      <c r="C397" s="5"/>
      <c r="D397" s="5"/>
      <c r="E397" s="5"/>
      <c r="F397" s="5"/>
      <c r="G397" s="29"/>
      <c r="H397" s="5"/>
      <c r="I397" s="5"/>
      <c r="J397" s="5"/>
      <c r="K397" s="5"/>
      <c r="L397" s="5"/>
      <c r="M397" s="5"/>
      <c r="N397" s="29" t="str">
        <f>IF(OR(B397="",M397&lt;&gt;"Yes"),"",IF(O397&lt;&gt;"",O397+IF(L397="Low",3,IF(L397="Medium",7,21)),G397+IF(L397="Low",2,IF(L397="Medium",5,14))))</f>
        <v/>
      </c>
      <c r="O397" s="29"/>
      <c r="P397" s="5"/>
      <c r="Q397" s="5"/>
      <c r="R397" s="5"/>
    </row>
    <row r="398" spans="1:18">
      <c r="A398" s="7" t="str">
        <f t="shared" si="11"/>
        <v/>
      </c>
      <c r="B398" s="5"/>
      <c r="C398" s="5"/>
      <c r="D398" s="5"/>
      <c r="E398" s="5"/>
      <c r="F398" s="5"/>
      <c r="G398" s="29"/>
      <c r="H398" s="5"/>
      <c r="I398" s="5"/>
      <c r="J398" s="5"/>
      <c r="K398" s="5"/>
      <c r="L398" s="5"/>
      <c r="M398" s="5"/>
      <c r="N398" s="29" t="str">
        <f>IF(OR(B398="",M398&lt;&gt;"Yes"),"",IF(O398&lt;&gt;"",O398+IF(L398="Low",3,IF(L398="Medium",7,21)),G398+IF(L398="Low",2,IF(L398="Medium",5,14))))</f>
        <v/>
      </c>
      <c r="O398" s="29"/>
      <c r="P398" s="5"/>
      <c r="Q398" s="5"/>
      <c r="R398" s="5"/>
    </row>
    <row r="399" spans="1:18">
      <c r="A399" s="7" t="str">
        <f t="shared" si="11"/>
        <v/>
      </c>
      <c r="B399" s="5"/>
      <c r="C399" s="5"/>
      <c r="D399" s="5"/>
      <c r="E399" s="5"/>
      <c r="F399" s="5"/>
      <c r="G399" s="29"/>
      <c r="H399" s="5"/>
      <c r="I399" s="5"/>
      <c r="J399" s="5"/>
      <c r="K399" s="5"/>
      <c r="L399" s="5"/>
      <c r="M399" s="5"/>
      <c r="N399" s="29" t="str">
        <f>IF(OR(B399="",M399&lt;&gt;"Yes"),"",IF(O399&lt;&gt;"",O399+IF(L399="Low",3,IF(L399="Medium",7,21)),G399+IF(L399="Low",2,IF(L399="Medium",5,14))))</f>
        <v/>
      </c>
      <c r="O399" s="29"/>
      <c r="P399" s="5"/>
      <c r="Q399" s="5"/>
      <c r="R399" s="5"/>
    </row>
    <row r="400" spans="1:18">
      <c r="A400" s="7" t="str">
        <f t="shared" si="11"/>
        <v/>
      </c>
      <c r="B400" s="5"/>
      <c r="C400" s="5"/>
      <c r="D400" s="5"/>
      <c r="E400" s="5"/>
      <c r="F400" s="5"/>
      <c r="G400" s="29"/>
      <c r="H400" s="5"/>
      <c r="I400" s="5"/>
      <c r="J400" s="5"/>
      <c r="K400" s="5"/>
      <c r="L400" s="5"/>
      <c r="M400" s="5"/>
      <c r="N400" s="29" t="str">
        <f>IF(OR(B400="",M400&lt;&gt;"Yes"),"",IF(O400&lt;&gt;"",O400+IF(L400="Low",3,IF(L400="Medium",7,21)),G400+IF(L400="Low",2,IF(L400="Medium",5,14))))</f>
        <v/>
      </c>
      <c r="O400" s="29"/>
      <c r="P400" s="5"/>
      <c r="Q400" s="5"/>
      <c r="R400" s="5"/>
    </row>
    <row r="401" spans="1:18">
      <c r="A401" s="7" t="str">
        <f t="shared" si="11"/>
        <v/>
      </c>
      <c r="B401" s="5"/>
      <c r="C401" s="5"/>
      <c r="D401" s="5"/>
      <c r="E401" s="5"/>
      <c r="F401" s="5"/>
      <c r="G401" s="29"/>
      <c r="H401" s="5"/>
      <c r="I401" s="5"/>
      <c r="J401" s="5"/>
      <c r="K401" s="5"/>
      <c r="L401" s="5"/>
      <c r="M401" s="5"/>
      <c r="N401" s="29" t="str">
        <f>IF(OR(B401="",M401&lt;&gt;"Yes"),"",IF(O401&lt;&gt;"",O401+IF(L401="Low",3,IF(L401="Medium",7,21)),G401+IF(L401="Low",2,IF(L401="Medium",5,14))))</f>
        <v/>
      </c>
      <c r="O401" s="29"/>
      <c r="P401" s="5"/>
      <c r="Q401" s="5"/>
      <c r="R401" s="5"/>
    </row>
    <row r="402" spans="1:18">
      <c r="A402" s="7" t="str">
        <f t="shared" si="11"/>
        <v/>
      </c>
      <c r="B402" s="5"/>
      <c r="C402" s="5"/>
      <c r="D402" s="5"/>
      <c r="E402" s="5"/>
      <c r="F402" s="5"/>
      <c r="G402" s="29"/>
      <c r="H402" s="5"/>
      <c r="I402" s="5"/>
      <c r="J402" s="5"/>
      <c r="K402" s="5"/>
      <c r="L402" s="5"/>
      <c r="M402" s="5"/>
      <c r="N402" s="29" t="str">
        <f>IF(OR(B402="",M402&lt;&gt;"Yes"),"",IF(O402&lt;&gt;"",O402+IF(L402="Low",3,IF(L402="Medium",7,21)),G402+IF(L402="Low",2,IF(L402="Medium",5,14))))</f>
        <v/>
      </c>
      <c r="O402" s="29"/>
      <c r="P402" s="5"/>
      <c r="Q402" s="5"/>
      <c r="R402" s="5"/>
    </row>
    <row r="403" spans="1:18">
      <c r="A403" s="7" t="str">
        <f t="shared" si="11"/>
        <v/>
      </c>
      <c r="B403" s="5"/>
      <c r="C403" s="5"/>
      <c r="D403" s="5"/>
      <c r="E403" s="5"/>
      <c r="F403" s="5"/>
      <c r="G403" s="29"/>
      <c r="H403" s="5"/>
      <c r="I403" s="5"/>
      <c r="J403" s="5"/>
      <c r="K403" s="5"/>
      <c r="L403" s="5"/>
      <c r="M403" s="5"/>
      <c r="N403" s="29" t="str">
        <f>IF(OR(B403="",M403&lt;&gt;"Yes"),"",IF(O403&lt;&gt;"",O403+IF(L403="Low",3,IF(L403="Medium",7,21)),G403+IF(L403="Low",2,IF(L403="Medium",5,14))))</f>
        <v/>
      </c>
      <c r="O403" s="29"/>
      <c r="P403" s="5"/>
      <c r="Q403" s="5"/>
      <c r="R403" s="5"/>
    </row>
    <row r="404" spans="1:18">
      <c r="A404" s="7" t="str">
        <f t="shared" si="11"/>
        <v/>
      </c>
      <c r="B404" s="5"/>
      <c r="C404" s="5"/>
      <c r="D404" s="5"/>
      <c r="E404" s="5"/>
      <c r="F404" s="5"/>
      <c r="G404" s="29"/>
      <c r="H404" s="5"/>
      <c r="I404" s="5"/>
      <c r="J404" s="5"/>
      <c r="K404" s="5"/>
      <c r="L404" s="5"/>
      <c r="M404" s="5"/>
      <c r="N404" s="29" t="str">
        <f>IF(OR(B404="",M404&lt;&gt;"Yes"),"",IF(O404&lt;&gt;"",O404+IF(L404="Low",3,IF(L404="Medium",7,21)),G404+IF(L404="Low",2,IF(L404="Medium",5,14))))</f>
        <v/>
      </c>
      <c r="O404" s="29"/>
      <c r="P404" s="5"/>
      <c r="Q404" s="5"/>
      <c r="R404" s="5"/>
    </row>
    <row r="405" spans="1:18">
      <c r="A405" s="7" t="str">
        <f t="shared" si="11"/>
        <v/>
      </c>
      <c r="B405" s="5"/>
      <c r="C405" s="5"/>
      <c r="D405" s="5"/>
      <c r="E405" s="5"/>
      <c r="F405" s="5"/>
      <c r="G405" s="29"/>
      <c r="H405" s="5"/>
      <c r="I405" s="5"/>
      <c r="J405" s="5"/>
      <c r="K405" s="5"/>
      <c r="L405" s="5"/>
      <c r="M405" s="5"/>
      <c r="N405" s="29" t="str">
        <f>IF(OR(B405="",M405&lt;&gt;"Yes"),"",IF(O405&lt;&gt;"",O405+IF(L405="Low",3,IF(L405="Medium",7,21)),G405+IF(L405="Low",2,IF(L405="Medium",5,14))))</f>
        <v/>
      </c>
      <c r="O405" s="29"/>
      <c r="P405" s="5"/>
      <c r="Q405" s="5"/>
      <c r="R405" s="5"/>
    </row>
    <row r="406" spans="1:18">
      <c r="A406" s="7" t="str">
        <f t="shared" si="11"/>
        <v/>
      </c>
      <c r="B406" s="5"/>
      <c r="C406" s="5"/>
      <c r="D406" s="5"/>
      <c r="E406" s="5"/>
      <c r="F406" s="5"/>
      <c r="G406" s="29"/>
      <c r="H406" s="5"/>
      <c r="I406" s="5"/>
      <c r="J406" s="5"/>
      <c r="K406" s="5"/>
      <c r="L406" s="5"/>
      <c r="M406" s="5"/>
      <c r="N406" s="29" t="str">
        <f>IF(OR(B406="",M406&lt;&gt;"Yes"),"",IF(O406&lt;&gt;"",O406+IF(L406="Low",3,IF(L406="Medium",7,21)),G406+IF(L406="Low",2,IF(L406="Medium",5,14))))</f>
        <v/>
      </c>
      <c r="O406" s="29"/>
      <c r="P406" s="5"/>
      <c r="Q406" s="5"/>
      <c r="R406" s="5"/>
    </row>
    <row r="407" spans="1:18">
      <c r="A407" s="7" t="str">
        <f t="shared" si="11"/>
        <v/>
      </c>
      <c r="B407" s="5"/>
      <c r="C407" s="5"/>
      <c r="D407" s="5"/>
      <c r="E407" s="5"/>
      <c r="F407" s="5"/>
      <c r="G407" s="29"/>
      <c r="H407" s="5"/>
      <c r="I407" s="5"/>
      <c r="J407" s="5"/>
      <c r="K407" s="5"/>
      <c r="L407" s="5"/>
      <c r="M407" s="5"/>
      <c r="N407" s="29" t="str">
        <f>IF(OR(B407="",M407&lt;&gt;"Yes"),"",IF(O407&lt;&gt;"",O407+IF(L407="Low",3,IF(L407="Medium",7,21)),G407+IF(L407="Low",2,IF(L407="Medium",5,14))))</f>
        <v/>
      </c>
      <c r="O407" s="29"/>
      <c r="P407" s="5"/>
      <c r="Q407" s="5"/>
      <c r="R407" s="5"/>
    </row>
    <row r="408" spans="1:18">
      <c r="A408" s="7" t="str">
        <f t="shared" si="11"/>
        <v/>
      </c>
      <c r="B408" s="5"/>
      <c r="C408" s="5"/>
      <c r="D408" s="5"/>
      <c r="E408" s="5"/>
      <c r="F408" s="5"/>
      <c r="G408" s="29"/>
      <c r="H408" s="5"/>
      <c r="I408" s="5"/>
      <c r="J408" s="5"/>
      <c r="K408" s="5"/>
      <c r="L408" s="5"/>
      <c r="M408" s="5"/>
      <c r="N408" s="29" t="str">
        <f>IF(OR(B408="",M408&lt;&gt;"Yes"),"",IF(O408&lt;&gt;"",O408+IF(L408="Low",3,IF(L408="Medium",7,21)),G408+IF(L408="Low",2,IF(L408="Medium",5,14))))</f>
        <v/>
      </c>
      <c r="O408" s="29"/>
      <c r="P408" s="5"/>
      <c r="Q408" s="5"/>
      <c r="R408" s="5"/>
    </row>
    <row r="409" spans="1:18">
      <c r="A409" s="7" t="str">
        <f t="shared" si="11"/>
        <v/>
      </c>
      <c r="B409" s="5"/>
      <c r="C409" s="5"/>
      <c r="D409" s="5"/>
      <c r="E409" s="5"/>
      <c r="F409" s="5"/>
      <c r="G409" s="29"/>
      <c r="H409" s="5"/>
      <c r="I409" s="5"/>
      <c r="J409" s="5"/>
      <c r="K409" s="5"/>
      <c r="L409" s="5"/>
      <c r="M409" s="5"/>
      <c r="N409" s="29" t="str">
        <f>IF(OR(B409="",M409&lt;&gt;"Yes"),"",IF(O409&lt;&gt;"",O409+IF(L409="Low",3,IF(L409="Medium",7,21)),G409+IF(L409="Low",2,IF(L409="Medium",5,14))))</f>
        <v/>
      </c>
      <c r="O409" s="29"/>
      <c r="P409" s="5"/>
      <c r="Q409" s="5"/>
      <c r="R409" s="5"/>
    </row>
    <row r="410" spans="1:18">
      <c r="A410" s="7" t="str">
        <f t="shared" si="11"/>
        <v/>
      </c>
      <c r="B410" s="5"/>
      <c r="C410" s="5"/>
      <c r="D410" s="5"/>
      <c r="E410" s="5"/>
      <c r="F410" s="5"/>
      <c r="G410" s="29"/>
      <c r="H410" s="5"/>
      <c r="I410" s="5"/>
      <c r="J410" s="5"/>
      <c r="K410" s="5"/>
      <c r="L410" s="5"/>
      <c r="M410" s="5"/>
      <c r="N410" s="29" t="str">
        <f>IF(OR(B410="",M410&lt;&gt;"Yes"),"",IF(O410&lt;&gt;"",O410+IF(L410="Low",3,IF(L410="Medium",7,21)),G410+IF(L410="Low",2,IF(L410="Medium",5,14))))</f>
        <v/>
      </c>
      <c r="O410" s="29"/>
      <c r="P410" s="5"/>
      <c r="Q410" s="5"/>
      <c r="R410" s="5"/>
    </row>
    <row r="411" spans="1:18">
      <c r="A411" s="7" t="str">
        <f t="shared" si="11"/>
        <v/>
      </c>
      <c r="B411" s="5"/>
      <c r="C411" s="5"/>
      <c r="D411" s="5"/>
      <c r="E411" s="5"/>
      <c r="F411" s="5"/>
      <c r="G411" s="29"/>
      <c r="H411" s="5"/>
      <c r="I411" s="5"/>
      <c r="J411" s="5"/>
      <c r="K411" s="5"/>
      <c r="L411" s="5"/>
      <c r="M411" s="5"/>
      <c r="N411" s="29" t="str">
        <f>IF(OR(B411="",M411&lt;&gt;"Yes"),"",IF(O411&lt;&gt;"",O411+IF(L411="Low",3,IF(L411="Medium",7,21)),G411+IF(L411="Low",2,IF(L411="Medium",5,14))))</f>
        <v/>
      </c>
      <c r="O411" s="29"/>
      <c r="P411" s="5"/>
      <c r="Q411" s="5"/>
      <c r="R411" s="5"/>
    </row>
    <row r="412" spans="1:18">
      <c r="A412" s="7" t="str">
        <f t="shared" si="11"/>
        <v/>
      </c>
      <c r="B412" s="5"/>
      <c r="C412" s="5"/>
      <c r="D412" s="5"/>
      <c r="E412" s="5"/>
      <c r="F412" s="5"/>
      <c r="G412" s="29"/>
      <c r="H412" s="5"/>
      <c r="I412" s="5"/>
      <c r="J412" s="5"/>
      <c r="K412" s="5"/>
      <c r="L412" s="5"/>
      <c r="M412" s="5"/>
      <c r="N412" s="29" t="str">
        <f>IF(OR(B412="",M412&lt;&gt;"Yes"),"",IF(O412&lt;&gt;"",O412+IF(L412="Low",3,IF(L412="Medium",7,21)),G412+IF(L412="Low",2,IF(L412="Medium",5,14))))</f>
        <v/>
      </c>
      <c r="O412" s="29"/>
      <c r="P412" s="5"/>
      <c r="Q412" s="5"/>
      <c r="R412" s="5"/>
    </row>
    <row r="413" spans="1:18">
      <c r="A413" s="7" t="str">
        <f t="shared" si="11"/>
        <v/>
      </c>
      <c r="B413" s="5"/>
      <c r="C413" s="5"/>
      <c r="D413" s="5"/>
      <c r="E413" s="5"/>
      <c r="F413" s="5"/>
      <c r="G413" s="29"/>
      <c r="H413" s="5"/>
      <c r="I413" s="5"/>
      <c r="J413" s="5"/>
      <c r="K413" s="5"/>
      <c r="L413" s="5"/>
      <c r="M413" s="5"/>
      <c r="N413" s="29" t="str">
        <f>IF(OR(B413="",M413&lt;&gt;"Yes"),"",IF(O413&lt;&gt;"",O413+IF(L413="Low",3,IF(L413="Medium",7,21)),G413+IF(L413="Low",2,IF(L413="Medium",5,14))))</f>
        <v/>
      </c>
      <c r="O413" s="29"/>
      <c r="P413" s="5"/>
      <c r="Q413" s="5"/>
      <c r="R413" s="5"/>
    </row>
    <row r="414" spans="1:18">
      <c r="A414" s="7" t="str">
        <f t="shared" si="11"/>
        <v/>
      </c>
      <c r="B414" s="5"/>
      <c r="C414" s="5"/>
      <c r="D414" s="5"/>
      <c r="E414" s="5"/>
      <c r="F414" s="5"/>
      <c r="G414" s="29"/>
      <c r="H414" s="5"/>
      <c r="I414" s="5"/>
      <c r="J414" s="5"/>
      <c r="K414" s="5"/>
      <c r="L414" s="5"/>
      <c r="M414" s="5"/>
      <c r="N414" s="29" t="str">
        <f>IF(OR(B414="",M414&lt;&gt;"Yes"),"",IF(O414&lt;&gt;"",O414+IF(L414="Low",3,IF(L414="Medium",7,21)),G414+IF(L414="Low",2,IF(L414="Medium",5,14))))</f>
        <v/>
      </c>
      <c r="O414" s="29"/>
      <c r="P414" s="5"/>
      <c r="Q414" s="5"/>
      <c r="R414" s="5"/>
    </row>
    <row r="415" spans="1:18">
      <c r="A415" s="7" t="str">
        <f t="shared" si="11"/>
        <v/>
      </c>
      <c r="B415" s="5"/>
      <c r="C415" s="5"/>
      <c r="D415" s="5"/>
      <c r="E415" s="5"/>
      <c r="F415" s="5"/>
      <c r="G415" s="29"/>
      <c r="H415" s="5"/>
      <c r="I415" s="5"/>
      <c r="J415" s="5"/>
      <c r="K415" s="5"/>
      <c r="L415" s="5"/>
      <c r="M415" s="5"/>
      <c r="N415" s="29" t="str">
        <f>IF(OR(B415="",M415&lt;&gt;"Yes"),"",IF(O415&lt;&gt;"",O415+IF(L415="Low",3,IF(L415="Medium",7,21)),G415+IF(L415="Low",2,IF(L415="Medium",5,14))))</f>
        <v/>
      </c>
      <c r="O415" s="29"/>
      <c r="P415" s="5"/>
      <c r="Q415" s="5"/>
      <c r="R415" s="5"/>
    </row>
    <row r="416" spans="1:18">
      <c r="A416" s="7" t="str">
        <f t="shared" si="11"/>
        <v/>
      </c>
      <c r="B416" s="5"/>
      <c r="C416" s="5"/>
      <c r="D416" s="5"/>
      <c r="E416" s="5"/>
      <c r="F416" s="5"/>
      <c r="G416" s="29"/>
      <c r="H416" s="5"/>
      <c r="I416" s="5"/>
      <c r="J416" s="5"/>
      <c r="K416" s="5"/>
      <c r="L416" s="5"/>
      <c r="M416" s="5"/>
      <c r="N416" s="29" t="str">
        <f>IF(OR(B416="",M416&lt;&gt;"Yes"),"",IF(O416&lt;&gt;"",O416+IF(L416="Low",3,IF(L416="Medium",7,21)),G416+IF(L416="Low",2,IF(L416="Medium",5,14))))</f>
        <v/>
      </c>
      <c r="O416" s="29"/>
      <c r="P416" s="5"/>
      <c r="Q416" s="5"/>
      <c r="R416" s="5"/>
    </row>
    <row r="417" spans="1:18">
      <c r="A417" s="7" t="str">
        <f t="shared" si="11"/>
        <v/>
      </c>
      <c r="B417" s="5"/>
      <c r="C417" s="5"/>
      <c r="D417" s="5"/>
      <c r="E417" s="5"/>
      <c r="F417" s="5"/>
      <c r="G417" s="29"/>
      <c r="H417" s="5"/>
      <c r="I417" s="5"/>
      <c r="J417" s="5"/>
      <c r="K417" s="5"/>
      <c r="L417" s="5"/>
      <c r="M417" s="5"/>
      <c r="N417" s="29" t="str">
        <f>IF(OR(B417="",M417&lt;&gt;"Yes"),"",IF(O417&lt;&gt;"",O417+IF(L417="Low",3,IF(L417="Medium",7,21)),G417+IF(L417="Low",2,IF(L417="Medium",5,14))))</f>
        <v/>
      </c>
      <c r="O417" s="29"/>
      <c r="P417" s="5"/>
      <c r="Q417" s="5"/>
      <c r="R417" s="5"/>
    </row>
    <row r="418" spans="1:18">
      <c r="A418" s="7" t="str">
        <f t="shared" si="11"/>
        <v/>
      </c>
      <c r="B418" s="5"/>
      <c r="C418" s="5"/>
      <c r="D418" s="5"/>
      <c r="E418" s="5"/>
      <c r="F418" s="5"/>
      <c r="G418" s="29"/>
      <c r="H418" s="5"/>
      <c r="I418" s="5"/>
      <c r="J418" s="5"/>
      <c r="K418" s="5"/>
      <c r="L418" s="5"/>
      <c r="M418" s="5"/>
      <c r="N418" s="29" t="str">
        <f>IF(OR(B418="",M418&lt;&gt;"Yes"),"",IF(O418&lt;&gt;"",O418+IF(L418="Low",3,IF(L418="Medium",7,21)),G418+IF(L418="Low",2,IF(L418="Medium",5,14))))</f>
        <v/>
      </c>
      <c r="O418" s="29"/>
      <c r="P418" s="5"/>
      <c r="Q418" s="5"/>
      <c r="R418" s="5"/>
    </row>
    <row r="419" spans="1:18">
      <c r="A419" s="7" t="str">
        <f t="shared" si="11"/>
        <v/>
      </c>
      <c r="B419" s="5"/>
      <c r="C419" s="5"/>
      <c r="D419" s="5"/>
      <c r="E419" s="5"/>
      <c r="F419" s="5"/>
      <c r="G419" s="29"/>
      <c r="H419" s="5"/>
      <c r="I419" s="5"/>
      <c r="J419" s="5"/>
      <c r="K419" s="5"/>
      <c r="L419" s="5"/>
      <c r="M419" s="5"/>
      <c r="N419" s="29" t="str">
        <f>IF(OR(B419="",M419&lt;&gt;"Yes"),"",IF(O419&lt;&gt;"",O419+IF(L419="Low",3,IF(L419="Medium",7,21)),G419+IF(L419="Low",2,IF(L419="Medium",5,14))))</f>
        <v/>
      </c>
      <c r="O419" s="29"/>
      <c r="P419" s="5"/>
      <c r="Q419" s="5"/>
      <c r="R419" s="5"/>
    </row>
    <row r="420" spans="1:18">
      <c r="A420" s="7" t="str">
        <f t="shared" si="11"/>
        <v/>
      </c>
      <c r="B420" s="5"/>
      <c r="C420" s="5"/>
      <c r="D420" s="5"/>
      <c r="E420" s="5"/>
      <c r="F420" s="5"/>
      <c r="G420" s="29"/>
      <c r="H420" s="5"/>
      <c r="I420" s="5"/>
      <c r="J420" s="5"/>
      <c r="K420" s="5"/>
      <c r="L420" s="5"/>
      <c r="M420" s="5"/>
      <c r="N420" s="29" t="str">
        <f>IF(OR(B420="",M420&lt;&gt;"Yes"),"",IF(O420&lt;&gt;"",O420+IF(L420="Low",3,IF(L420="Medium",7,21)),G420+IF(L420="Low",2,IF(L420="Medium",5,14))))</f>
        <v/>
      </c>
      <c r="O420" s="29"/>
      <c r="P420" s="5"/>
      <c r="Q420" s="5"/>
      <c r="R420" s="5"/>
    </row>
    <row r="421" spans="1:18">
      <c r="A421" s="7" t="str">
        <f t="shared" si="11"/>
        <v/>
      </c>
      <c r="B421" s="5"/>
      <c r="C421" s="5"/>
      <c r="D421" s="5"/>
      <c r="E421" s="5"/>
      <c r="F421" s="5"/>
      <c r="G421" s="29"/>
      <c r="H421" s="5"/>
      <c r="I421" s="5"/>
      <c r="J421" s="5"/>
      <c r="K421" s="5"/>
      <c r="L421" s="5"/>
      <c r="M421" s="5"/>
      <c r="N421" s="29" t="str">
        <f>IF(OR(B421="",M421&lt;&gt;"Yes"),"",IF(O421&lt;&gt;"",O421+IF(L421="Low",3,IF(L421="Medium",7,21)),G421+IF(L421="Low",2,IF(L421="Medium",5,14))))</f>
        <v/>
      </c>
      <c r="O421" s="29"/>
      <c r="P421" s="5"/>
      <c r="Q421" s="5"/>
      <c r="R421" s="5"/>
    </row>
    <row r="422" spans="1:18">
      <c r="A422" s="7" t="str">
        <f t="shared" si="11"/>
        <v/>
      </c>
      <c r="B422" s="5"/>
      <c r="C422" s="5"/>
      <c r="D422" s="5"/>
      <c r="E422" s="5"/>
      <c r="F422" s="5"/>
      <c r="G422" s="29"/>
      <c r="H422" s="5"/>
      <c r="I422" s="5"/>
      <c r="J422" s="5"/>
      <c r="K422" s="5"/>
      <c r="L422" s="5"/>
      <c r="M422" s="5"/>
      <c r="N422" s="29" t="str">
        <f>IF(OR(B422="",M422&lt;&gt;"Yes"),"",IF(O422&lt;&gt;"",O422+IF(L422="Low",3,IF(L422="Medium",7,21)),G422+IF(L422="Low",2,IF(L422="Medium",5,14))))</f>
        <v/>
      </c>
      <c r="O422" s="29"/>
      <c r="P422" s="5"/>
      <c r="Q422" s="5"/>
      <c r="R422" s="5"/>
    </row>
    <row r="423" spans="1:18">
      <c r="A423" s="7" t="str">
        <f t="shared" si="11"/>
        <v/>
      </c>
      <c r="B423" s="5"/>
      <c r="C423" s="5"/>
      <c r="D423" s="5"/>
      <c r="E423" s="5"/>
      <c r="F423" s="5"/>
      <c r="G423" s="29"/>
      <c r="H423" s="5"/>
      <c r="I423" s="5"/>
      <c r="J423" s="5"/>
      <c r="K423" s="5"/>
      <c r="L423" s="5"/>
      <c r="M423" s="5"/>
      <c r="N423" s="29" t="str">
        <f>IF(OR(B423="",M423&lt;&gt;"Yes"),"",IF(O423&lt;&gt;"",O423+IF(L423="Low",3,IF(L423="Medium",7,21)),G423+IF(L423="Low",2,IF(L423="Medium",5,14))))</f>
        <v/>
      </c>
      <c r="O423" s="29"/>
      <c r="P423" s="5"/>
      <c r="Q423" s="5"/>
      <c r="R423" s="5"/>
    </row>
    <row r="424" spans="1:18">
      <c r="A424" s="7" t="str">
        <f t="shared" si="11"/>
        <v/>
      </c>
      <c r="B424" s="5"/>
      <c r="C424" s="5"/>
      <c r="D424" s="5"/>
      <c r="E424" s="5"/>
      <c r="F424" s="5"/>
      <c r="G424" s="29"/>
      <c r="H424" s="5"/>
      <c r="I424" s="5"/>
      <c r="J424" s="5"/>
      <c r="K424" s="5"/>
      <c r="L424" s="5"/>
      <c r="M424" s="5"/>
      <c r="N424" s="29" t="str">
        <f>IF(OR(B424="",M424&lt;&gt;"Yes"),"",IF(O424&lt;&gt;"",O424+IF(L424="Low",3,IF(L424="Medium",7,21)),G424+IF(L424="Low",2,IF(L424="Medium",5,14))))</f>
        <v/>
      </c>
      <c r="O424" s="29"/>
      <c r="P424" s="5"/>
      <c r="Q424" s="5"/>
      <c r="R424" s="5"/>
    </row>
    <row r="425" spans="1:18">
      <c r="A425" s="7" t="str">
        <f t="shared" si="11"/>
        <v/>
      </c>
      <c r="B425" s="5"/>
      <c r="C425" s="5"/>
      <c r="D425" s="5"/>
      <c r="E425" s="5"/>
      <c r="F425" s="5"/>
      <c r="G425" s="29"/>
      <c r="H425" s="5"/>
      <c r="I425" s="5"/>
      <c r="J425" s="5"/>
      <c r="K425" s="5"/>
      <c r="L425" s="5"/>
      <c r="M425" s="5"/>
      <c r="N425" s="29" t="str">
        <f>IF(OR(B425="",M425&lt;&gt;"Yes"),"",IF(O425&lt;&gt;"",O425+IF(L425="Low",3,IF(L425="Medium",7,21)),G425+IF(L425="Low",2,IF(L425="Medium",5,14))))</f>
        <v/>
      </c>
      <c r="O425" s="29"/>
      <c r="P425" s="5"/>
      <c r="Q425" s="5"/>
      <c r="R425" s="5"/>
    </row>
    <row r="426" spans="1:18">
      <c r="A426" s="7" t="str">
        <f t="shared" si="11"/>
        <v/>
      </c>
      <c r="B426" s="5"/>
      <c r="C426" s="5"/>
      <c r="D426" s="5"/>
      <c r="E426" s="5"/>
      <c r="F426" s="5"/>
      <c r="G426" s="29"/>
      <c r="H426" s="5"/>
      <c r="I426" s="5"/>
      <c r="J426" s="5"/>
      <c r="K426" s="5"/>
      <c r="L426" s="5"/>
      <c r="M426" s="5"/>
      <c r="N426" s="29" t="str">
        <f>IF(OR(B426="",M426&lt;&gt;"Yes"),"",IF(O426&lt;&gt;"",O426+IF(L426="Low",3,IF(L426="Medium",7,21)),G426+IF(L426="Low",2,IF(L426="Medium",5,14))))</f>
        <v/>
      </c>
      <c r="O426" s="29"/>
      <c r="P426" s="5"/>
      <c r="Q426" s="5"/>
      <c r="R426" s="5"/>
    </row>
    <row r="427" spans="1:18">
      <c r="A427" s="7" t="str">
        <f t="shared" si="11"/>
        <v/>
      </c>
      <c r="B427" s="5"/>
      <c r="C427" s="5"/>
      <c r="D427" s="5"/>
      <c r="E427" s="5"/>
      <c r="F427" s="5"/>
      <c r="G427" s="29"/>
      <c r="H427" s="5"/>
      <c r="I427" s="5"/>
      <c r="J427" s="5"/>
      <c r="K427" s="5"/>
      <c r="L427" s="5"/>
      <c r="M427" s="5"/>
      <c r="N427" s="29" t="str">
        <f>IF(OR(B427="",M427&lt;&gt;"Yes"),"",IF(O427&lt;&gt;"",O427+IF(L427="Low",3,IF(L427="Medium",7,21)),G427+IF(L427="Low",2,IF(L427="Medium",5,14))))</f>
        <v/>
      </c>
      <c r="O427" s="29"/>
      <c r="P427" s="5"/>
      <c r="Q427" s="5"/>
      <c r="R427" s="5"/>
    </row>
    <row r="428" spans="1:18">
      <c r="A428" s="7" t="str">
        <f t="shared" si="11"/>
        <v/>
      </c>
      <c r="B428" s="5"/>
      <c r="C428" s="5"/>
      <c r="D428" s="5"/>
      <c r="E428" s="5"/>
      <c r="F428" s="5"/>
      <c r="G428" s="29"/>
      <c r="H428" s="5"/>
      <c r="I428" s="5"/>
      <c r="J428" s="5"/>
      <c r="K428" s="5"/>
      <c r="L428" s="5"/>
      <c r="M428" s="5"/>
      <c r="N428" s="29" t="str">
        <f>IF(OR(B428="",M428&lt;&gt;"Yes"),"",IF(O428&lt;&gt;"",O428+IF(L428="Low",3,IF(L428="Medium",7,21)),G428+IF(L428="Low",2,IF(L428="Medium",5,14))))</f>
        <v/>
      </c>
      <c r="O428" s="29"/>
      <c r="P428" s="5"/>
      <c r="Q428" s="5"/>
      <c r="R428" s="5"/>
    </row>
    <row r="429" spans="1:18">
      <c r="A429" s="7" t="str">
        <f t="shared" si="11"/>
        <v/>
      </c>
      <c r="B429" s="5"/>
      <c r="C429" s="5"/>
      <c r="D429" s="5"/>
      <c r="E429" s="5"/>
      <c r="F429" s="5"/>
      <c r="G429" s="29"/>
      <c r="H429" s="5"/>
      <c r="I429" s="5"/>
      <c r="J429" s="5"/>
      <c r="K429" s="5"/>
      <c r="L429" s="5"/>
      <c r="M429" s="5"/>
      <c r="N429" s="29" t="str">
        <f>IF(OR(B429="",M429&lt;&gt;"Yes"),"",IF(O429&lt;&gt;"",O429+IF(L429="Low",3,IF(L429="Medium",7,21)),G429+IF(L429="Low",2,IF(L429="Medium",5,14))))</f>
        <v/>
      </c>
      <c r="O429" s="29"/>
      <c r="P429" s="5"/>
      <c r="Q429" s="5"/>
      <c r="R429" s="5"/>
    </row>
    <row r="430" spans="1:18">
      <c r="A430" s="7" t="str">
        <f t="shared" si="11"/>
        <v/>
      </c>
      <c r="B430" s="5"/>
      <c r="C430" s="5"/>
      <c r="D430" s="5"/>
      <c r="E430" s="5"/>
      <c r="F430" s="5"/>
      <c r="G430" s="29"/>
      <c r="H430" s="5"/>
      <c r="I430" s="5"/>
      <c r="J430" s="5"/>
      <c r="K430" s="5"/>
      <c r="L430" s="5"/>
      <c r="M430" s="5"/>
      <c r="N430" s="29" t="str">
        <f>IF(OR(B430="",M430&lt;&gt;"Yes"),"",IF(O430&lt;&gt;"",O430+IF(L430="Low",3,IF(L430="Medium",7,21)),G430+IF(L430="Low",2,IF(L430="Medium",5,14))))</f>
        <v/>
      </c>
      <c r="O430" s="29"/>
      <c r="P430" s="5"/>
      <c r="Q430" s="5"/>
      <c r="R430" s="5"/>
    </row>
    <row r="431" spans="1:18">
      <c r="A431" s="7" t="str">
        <f t="shared" si="11"/>
        <v/>
      </c>
      <c r="B431" s="5"/>
      <c r="C431" s="5"/>
      <c r="D431" s="5"/>
      <c r="E431" s="5"/>
      <c r="F431" s="5"/>
      <c r="G431" s="29"/>
      <c r="H431" s="5"/>
      <c r="I431" s="5"/>
      <c r="J431" s="5"/>
      <c r="K431" s="5"/>
      <c r="L431" s="5"/>
      <c r="M431" s="5"/>
      <c r="N431" s="29" t="str">
        <f>IF(OR(B431="",M431&lt;&gt;"Yes"),"",IF(O431&lt;&gt;"",O431+IF(L431="Low",3,IF(L431="Medium",7,21)),G431+IF(L431="Low",2,IF(L431="Medium",5,14))))</f>
        <v/>
      </c>
      <c r="O431" s="29"/>
      <c r="P431" s="5"/>
      <c r="Q431" s="5"/>
      <c r="R431" s="5"/>
    </row>
    <row r="432" spans="1:18">
      <c r="A432" s="7" t="str">
        <f t="shared" si="11"/>
        <v/>
      </c>
      <c r="B432" s="5"/>
      <c r="C432" s="5"/>
      <c r="D432" s="5"/>
      <c r="E432" s="5"/>
      <c r="F432" s="5"/>
      <c r="G432" s="29"/>
      <c r="H432" s="5"/>
      <c r="I432" s="5"/>
      <c r="J432" s="5"/>
      <c r="K432" s="5"/>
      <c r="L432" s="5"/>
      <c r="M432" s="5"/>
      <c r="N432" s="29" t="str">
        <f>IF(OR(B432="",M432&lt;&gt;"Yes"),"",IF(O432&lt;&gt;"",O432+IF(L432="Low",3,IF(L432="Medium",7,21)),G432+IF(L432="Low",2,IF(L432="Medium",5,14))))</f>
        <v/>
      </c>
      <c r="O432" s="29"/>
      <c r="P432" s="5"/>
      <c r="Q432" s="5"/>
      <c r="R432" s="5"/>
    </row>
    <row r="433" spans="1:18">
      <c r="A433" s="7" t="str">
        <f t="shared" si="11"/>
        <v/>
      </c>
      <c r="B433" s="5"/>
      <c r="C433" s="5"/>
      <c r="D433" s="5"/>
      <c r="E433" s="5"/>
      <c r="F433" s="5"/>
      <c r="G433" s="29"/>
      <c r="H433" s="5"/>
      <c r="I433" s="5"/>
      <c r="J433" s="5"/>
      <c r="K433" s="5"/>
      <c r="L433" s="5"/>
      <c r="M433" s="5"/>
      <c r="N433" s="29" t="str">
        <f>IF(OR(B433="",M433&lt;&gt;"Yes"),"",IF(O433&lt;&gt;"",O433+IF(L433="Low",3,IF(L433="Medium",7,21)),G433+IF(L433="Low",2,IF(L433="Medium",5,14))))</f>
        <v/>
      </c>
      <c r="O433" s="29"/>
      <c r="P433" s="5"/>
      <c r="Q433" s="5"/>
      <c r="R433" s="5"/>
    </row>
    <row r="434" spans="1:18">
      <c r="A434" s="7" t="str">
        <f t="shared" si="11"/>
        <v/>
      </c>
      <c r="B434" s="5"/>
      <c r="C434" s="5"/>
      <c r="D434" s="5"/>
      <c r="E434" s="5"/>
      <c r="F434" s="5"/>
      <c r="G434" s="29"/>
      <c r="H434" s="5"/>
      <c r="I434" s="5"/>
      <c r="J434" s="5"/>
      <c r="K434" s="5"/>
      <c r="L434" s="5"/>
      <c r="M434" s="5"/>
      <c r="N434" s="29" t="str">
        <f>IF(OR(B434="",M434&lt;&gt;"Yes"),"",IF(O434&lt;&gt;"",O434+IF(L434="Low",3,IF(L434="Medium",7,21)),G434+IF(L434="Low",2,IF(L434="Medium",5,14))))</f>
        <v/>
      </c>
      <c r="O434" s="29"/>
      <c r="P434" s="5"/>
      <c r="Q434" s="5"/>
      <c r="R434" s="5"/>
    </row>
    <row r="435" spans="1:18">
      <c r="A435" s="7" t="str">
        <f t="shared" si="11"/>
        <v/>
      </c>
      <c r="B435" s="5"/>
      <c r="C435" s="5"/>
      <c r="D435" s="5"/>
      <c r="E435" s="5"/>
      <c r="F435" s="5"/>
      <c r="G435" s="29"/>
      <c r="H435" s="5"/>
      <c r="I435" s="5"/>
      <c r="J435" s="5"/>
      <c r="K435" s="5"/>
      <c r="L435" s="5"/>
      <c r="M435" s="5"/>
      <c r="N435" s="29" t="str">
        <f>IF(OR(B435="",M435&lt;&gt;"Yes"),"",IF(O435&lt;&gt;"",O435+IF(L435="Low",3,IF(L435="Medium",7,21)),G435+IF(L435="Low",2,IF(L435="Medium",5,14))))</f>
        <v/>
      </c>
      <c r="O435" s="29"/>
      <c r="P435" s="5"/>
      <c r="Q435" s="5"/>
      <c r="R435" s="5"/>
    </row>
    <row r="436" spans="1:18">
      <c r="A436" s="7" t="str">
        <f t="shared" si="11"/>
        <v/>
      </c>
      <c r="B436" s="5"/>
      <c r="C436" s="5"/>
      <c r="D436" s="5"/>
      <c r="E436" s="5"/>
      <c r="F436" s="5"/>
      <c r="G436" s="29"/>
      <c r="H436" s="5"/>
      <c r="I436" s="5"/>
      <c r="J436" s="5"/>
      <c r="K436" s="5"/>
      <c r="L436" s="5"/>
      <c r="M436" s="5"/>
      <c r="N436" s="29" t="str">
        <f>IF(OR(B436="",M436&lt;&gt;"Yes"),"",IF(O436&lt;&gt;"",O436+IF(L436="Low",3,IF(L436="Medium",7,21)),G436+IF(L436="Low",2,IF(L436="Medium",5,14))))</f>
        <v/>
      </c>
      <c r="O436" s="29"/>
      <c r="P436" s="5"/>
      <c r="Q436" s="5"/>
      <c r="R436" s="5"/>
    </row>
    <row r="437" spans="1:18">
      <c r="A437" s="7" t="str">
        <f t="shared" si="11"/>
        <v/>
      </c>
      <c r="B437" s="5"/>
      <c r="C437" s="5"/>
      <c r="D437" s="5"/>
      <c r="E437" s="5"/>
      <c r="F437" s="5"/>
      <c r="G437" s="29"/>
      <c r="H437" s="5"/>
      <c r="I437" s="5"/>
      <c r="J437" s="5"/>
      <c r="K437" s="5"/>
      <c r="L437" s="5"/>
      <c r="M437" s="5"/>
      <c r="N437" s="29" t="str">
        <f>IF(OR(B437="",M437&lt;&gt;"Yes"),"",IF(O437&lt;&gt;"",O437+IF(L437="Low",3,IF(L437="Medium",7,21)),G437+IF(L437="Low",2,IF(L437="Medium",5,14))))</f>
        <v/>
      </c>
      <c r="O437" s="29"/>
      <c r="P437" s="5"/>
      <c r="Q437" s="5"/>
      <c r="R437" s="5"/>
    </row>
    <row r="438" spans="1:18">
      <c r="A438" s="7" t="str">
        <f t="shared" si="11"/>
        <v/>
      </c>
      <c r="B438" s="5"/>
      <c r="C438" s="5"/>
      <c r="D438" s="5"/>
      <c r="E438" s="5"/>
      <c r="F438" s="5"/>
      <c r="G438" s="29"/>
      <c r="H438" s="5"/>
      <c r="I438" s="5"/>
      <c r="J438" s="5"/>
      <c r="K438" s="5"/>
      <c r="L438" s="5"/>
      <c r="M438" s="5"/>
      <c r="N438" s="29" t="str">
        <f>IF(OR(B438="",M438&lt;&gt;"Yes"),"",IF(O438&lt;&gt;"",O438+IF(L438="Low",3,IF(L438="Medium",7,21)),G438+IF(L438="Low",2,IF(L438="Medium",5,14))))</f>
        <v/>
      </c>
      <c r="O438" s="29"/>
      <c r="P438" s="5"/>
      <c r="Q438" s="5"/>
      <c r="R438" s="5"/>
    </row>
    <row r="439" spans="1:18">
      <c r="A439" s="7" t="str">
        <f t="shared" si="11"/>
        <v/>
      </c>
      <c r="B439" s="5"/>
      <c r="C439" s="5"/>
      <c r="D439" s="5"/>
      <c r="E439" s="5"/>
      <c r="F439" s="5"/>
      <c r="G439" s="29"/>
      <c r="H439" s="5"/>
      <c r="I439" s="5"/>
      <c r="J439" s="5"/>
      <c r="K439" s="5"/>
      <c r="L439" s="5"/>
      <c r="M439" s="5"/>
      <c r="N439" s="29" t="str">
        <f>IF(OR(B439="",M439&lt;&gt;"Yes"),"",IF(O439&lt;&gt;"",O439+IF(L439="Low",3,IF(L439="Medium",7,21)),G439+IF(L439="Low",2,IF(L439="Medium",5,14))))</f>
        <v/>
      </c>
      <c r="O439" s="29"/>
      <c r="P439" s="5"/>
      <c r="Q439" s="5"/>
      <c r="R439" s="5"/>
    </row>
    <row r="440" spans="1:18">
      <c r="A440" s="7" t="str">
        <f t="shared" si="11"/>
        <v/>
      </c>
      <c r="B440" s="5"/>
      <c r="C440" s="5"/>
      <c r="D440" s="5"/>
      <c r="E440" s="5"/>
      <c r="F440" s="5"/>
      <c r="G440" s="29"/>
      <c r="H440" s="5"/>
      <c r="I440" s="5"/>
      <c r="J440" s="5"/>
      <c r="K440" s="5"/>
      <c r="L440" s="5"/>
      <c r="M440" s="5"/>
      <c r="N440" s="29" t="str">
        <f>IF(OR(B440="",M440&lt;&gt;"Yes"),"",IF(O440&lt;&gt;"",O440+IF(L440="Low",3,IF(L440="Medium",7,21)),G440+IF(L440="Low",2,IF(L440="Medium",5,14))))</f>
        <v/>
      </c>
      <c r="O440" s="29"/>
      <c r="P440" s="5"/>
      <c r="Q440" s="5"/>
      <c r="R440" s="5"/>
    </row>
    <row r="441" spans="1:18">
      <c r="A441" s="7" t="str">
        <f t="shared" si="11"/>
        <v/>
      </c>
      <c r="B441" s="5"/>
      <c r="C441" s="5"/>
      <c r="D441" s="5"/>
      <c r="E441" s="5"/>
      <c r="F441" s="5"/>
      <c r="G441" s="29"/>
      <c r="H441" s="5"/>
      <c r="I441" s="5"/>
      <c r="J441" s="5"/>
      <c r="K441" s="5"/>
      <c r="L441" s="5"/>
      <c r="M441" s="5"/>
      <c r="N441" s="29" t="str">
        <f>IF(OR(B441="",M441&lt;&gt;"Yes"),"",IF(O441&lt;&gt;"",O441+IF(L441="Low",3,IF(L441="Medium",7,21)),G441+IF(L441="Low",2,IF(L441="Medium",5,14))))</f>
        <v/>
      </c>
      <c r="O441" s="29"/>
      <c r="P441" s="5"/>
      <c r="Q441" s="5"/>
      <c r="R441" s="5"/>
    </row>
    <row r="442" spans="1:18">
      <c r="A442" s="7" t="str">
        <f t="shared" si="11"/>
        <v/>
      </c>
      <c r="B442" s="5"/>
      <c r="C442" s="5"/>
      <c r="D442" s="5"/>
      <c r="E442" s="5"/>
      <c r="F442" s="5"/>
      <c r="G442" s="29"/>
      <c r="H442" s="5"/>
      <c r="I442" s="5"/>
      <c r="J442" s="5"/>
      <c r="K442" s="5"/>
      <c r="L442" s="5"/>
      <c r="M442" s="5"/>
      <c r="N442" s="29" t="str">
        <f>IF(OR(B442="",M442&lt;&gt;"Yes"),"",IF(O442&lt;&gt;"",O442+IF(L442="Low",3,IF(L442="Medium",7,21)),G442+IF(L442="Low",2,IF(L442="Medium",5,14))))</f>
        <v/>
      </c>
      <c r="O442" s="29"/>
      <c r="P442" s="5"/>
      <c r="Q442" s="5"/>
      <c r="R442" s="5"/>
    </row>
    <row r="443" spans="1:18">
      <c r="A443" s="7" t="str">
        <f t="shared" si="11"/>
        <v/>
      </c>
      <c r="B443" s="5"/>
      <c r="C443" s="5"/>
      <c r="D443" s="5"/>
      <c r="E443" s="5"/>
      <c r="F443" s="5"/>
      <c r="G443" s="29"/>
      <c r="H443" s="5"/>
      <c r="I443" s="5"/>
      <c r="J443" s="5"/>
      <c r="K443" s="5"/>
      <c r="L443" s="5"/>
      <c r="M443" s="5"/>
      <c r="N443" s="29" t="str">
        <f>IF(OR(B443="",M443&lt;&gt;"Yes"),"",IF(O443&lt;&gt;"",O443+IF(L443="Low",3,IF(L443="Medium",7,21)),G443+IF(L443="Low",2,IF(L443="Medium",5,14))))</f>
        <v/>
      </c>
      <c r="O443" s="29"/>
      <c r="P443" s="5"/>
      <c r="Q443" s="5"/>
      <c r="R443" s="5"/>
    </row>
    <row r="444" spans="1:18">
      <c r="A444" s="7" t="str">
        <f t="shared" si="11"/>
        <v/>
      </c>
      <c r="B444" s="5"/>
      <c r="C444" s="5"/>
      <c r="D444" s="5"/>
      <c r="E444" s="5"/>
      <c r="F444" s="5"/>
      <c r="G444" s="29"/>
      <c r="H444" s="5"/>
      <c r="I444" s="5"/>
      <c r="J444" s="5"/>
      <c r="K444" s="5"/>
      <c r="L444" s="5"/>
      <c r="M444" s="5"/>
      <c r="N444" s="29" t="str">
        <f>IF(OR(B444="",M444&lt;&gt;"Yes"),"",IF(O444&lt;&gt;"",O444+IF(L444="Low",3,IF(L444="Medium",7,21)),G444+IF(L444="Low",2,IF(L444="Medium",5,14))))</f>
        <v/>
      </c>
      <c r="O444" s="29"/>
      <c r="P444" s="5"/>
      <c r="Q444" s="5"/>
      <c r="R444" s="5"/>
    </row>
    <row r="445" spans="1:18">
      <c r="A445" s="7" t="str">
        <f t="shared" si="11"/>
        <v/>
      </c>
      <c r="B445" s="5"/>
      <c r="C445" s="5"/>
      <c r="D445" s="5"/>
      <c r="E445" s="5"/>
      <c r="F445" s="5"/>
      <c r="G445" s="29"/>
      <c r="H445" s="5"/>
      <c r="I445" s="5"/>
      <c r="J445" s="5"/>
      <c r="K445" s="5"/>
      <c r="L445" s="5"/>
      <c r="M445" s="5"/>
      <c r="N445" s="29" t="str">
        <f>IF(OR(B445="",M445&lt;&gt;"Yes"),"",IF(O445&lt;&gt;"",O445+IF(L445="Low",3,IF(L445="Medium",7,21)),G445+IF(L445="Low",2,IF(L445="Medium",5,14))))</f>
        <v/>
      </c>
      <c r="O445" s="29"/>
      <c r="P445" s="5"/>
      <c r="Q445" s="5"/>
      <c r="R445" s="5"/>
    </row>
    <row r="446" spans="1:18">
      <c r="A446" s="7" t="str">
        <f t="shared" si="11"/>
        <v/>
      </c>
      <c r="B446" s="5"/>
      <c r="C446" s="5"/>
      <c r="D446" s="5"/>
      <c r="E446" s="5"/>
      <c r="F446" s="5"/>
      <c r="G446" s="29"/>
      <c r="H446" s="5"/>
      <c r="I446" s="5"/>
      <c r="J446" s="5"/>
      <c r="K446" s="5"/>
      <c r="L446" s="5"/>
      <c r="M446" s="5"/>
      <c r="N446" s="29" t="str">
        <f>IF(OR(B446="",M446&lt;&gt;"Yes"),"",IF(O446&lt;&gt;"",O446+IF(L446="Low",3,IF(L446="Medium",7,21)),G446+IF(L446="Low",2,IF(L446="Medium",5,14))))</f>
        <v/>
      </c>
      <c r="O446" s="29"/>
      <c r="P446" s="5"/>
      <c r="Q446" s="5"/>
      <c r="R446" s="5"/>
    </row>
    <row r="447" spans="1:18">
      <c r="A447" s="7" t="str">
        <f t="shared" si="11"/>
        <v/>
      </c>
      <c r="B447" s="5"/>
      <c r="C447" s="5"/>
      <c r="D447" s="5"/>
      <c r="E447" s="5"/>
      <c r="F447" s="5"/>
      <c r="G447" s="29"/>
      <c r="H447" s="5"/>
      <c r="I447" s="5"/>
      <c r="J447" s="5"/>
      <c r="K447" s="5"/>
      <c r="L447" s="5"/>
      <c r="M447" s="5"/>
      <c r="N447" s="29" t="str">
        <f>IF(OR(B447="",M447&lt;&gt;"Yes"),"",IF(O447&lt;&gt;"",O447+IF(L447="Low",3,IF(L447="Medium",7,21)),G447+IF(L447="Low",2,IF(L447="Medium",5,14))))</f>
        <v/>
      </c>
      <c r="O447" s="29"/>
      <c r="P447" s="5"/>
      <c r="Q447" s="5"/>
      <c r="R447" s="5"/>
    </row>
    <row r="448" spans="1:18">
      <c r="A448" s="7" t="str">
        <f t="shared" si="11"/>
        <v/>
      </c>
      <c r="B448" s="5"/>
      <c r="C448" s="5"/>
      <c r="D448" s="5"/>
      <c r="E448" s="5"/>
      <c r="F448" s="5"/>
      <c r="G448" s="29"/>
      <c r="H448" s="5"/>
      <c r="I448" s="5"/>
      <c r="J448" s="5"/>
      <c r="K448" s="5"/>
      <c r="L448" s="5"/>
      <c r="M448" s="5"/>
      <c r="N448" s="29" t="str">
        <f>IF(OR(B448="",M448&lt;&gt;"Yes"),"",IF(O448&lt;&gt;"",O448+IF(L448="Low",3,IF(L448="Medium",7,21)),G448+IF(L448="Low",2,IF(L448="Medium",5,14))))</f>
        <v/>
      </c>
      <c r="O448" s="29"/>
      <c r="P448" s="5"/>
      <c r="Q448" s="5"/>
      <c r="R448" s="5"/>
    </row>
    <row r="449" spans="1:18">
      <c r="A449" s="7" t="str">
        <f t="shared" ref="A449:A497" si="12">IF(B449="","",ROW()-3)</f>
        <v/>
      </c>
      <c r="B449" s="5"/>
      <c r="C449" s="5"/>
      <c r="D449" s="5"/>
      <c r="E449" s="5"/>
      <c r="F449" s="5"/>
      <c r="G449" s="29"/>
      <c r="H449" s="5"/>
      <c r="I449" s="5"/>
      <c r="J449" s="5"/>
      <c r="K449" s="5"/>
      <c r="L449" s="5"/>
      <c r="M449" s="5"/>
      <c r="N449" s="29" t="str">
        <f>IF(OR(B449="",M449&lt;&gt;"Yes"),"",IF(O449&lt;&gt;"",O449+IF(L449="Low",3,IF(L449="Medium",7,21)),G449+IF(L449="Low",2,IF(L449="Medium",5,14))))</f>
        <v/>
      </c>
      <c r="O449" s="29"/>
      <c r="P449" s="5"/>
      <c r="Q449" s="5"/>
      <c r="R449" s="5"/>
    </row>
    <row r="450" spans="1:18">
      <c r="A450" s="7" t="str">
        <f t="shared" si="12"/>
        <v/>
      </c>
      <c r="B450" s="5"/>
      <c r="C450" s="5"/>
      <c r="D450" s="5"/>
      <c r="E450" s="5"/>
      <c r="F450" s="5"/>
      <c r="G450" s="29"/>
      <c r="H450" s="5"/>
      <c r="I450" s="5"/>
      <c r="J450" s="5"/>
      <c r="K450" s="5"/>
      <c r="L450" s="5"/>
      <c r="M450" s="5"/>
      <c r="N450" s="29" t="str">
        <f>IF(OR(B450="",M450&lt;&gt;"Yes"),"",IF(O450&lt;&gt;"",O450+IF(L450="Low",3,IF(L450="Medium",7,21)),G450+IF(L450="Low",2,IF(L450="Medium",5,14))))</f>
        <v/>
      </c>
      <c r="O450" s="29"/>
      <c r="P450" s="5"/>
      <c r="Q450" s="5"/>
      <c r="R450" s="5"/>
    </row>
    <row r="451" spans="1:18">
      <c r="A451" s="7" t="str">
        <f t="shared" si="12"/>
        <v/>
      </c>
      <c r="B451" s="5"/>
      <c r="C451" s="5"/>
      <c r="D451" s="5"/>
      <c r="E451" s="5"/>
      <c r="F451" s="5"/>
      <c r="G451" s="29"/>
      <c r="H451" s="5"/>
      <c r="I451" s="5"/>
      <c r="J451" s="5"/>
      <c r="K451" s="5"/>
      <c r="L451" s="5"/>
      <c r="M451" s="5"/>
      <c r="N451" s="29" t="str">
        <f>IF(OR(B451="",M451&lt;&gt;"Yes"),"",IF(O451&lt;&gt;"",O451+IF(L451="Low",3,IF(L451="Medium",7,21)),G451+IF(L451="Low",2,IF(L451="Medium",5,14))))</f>
        <v/>
      </c>
      <c r="O451" s="29"/>
      <c r="P451" s="5"/>
      <c r="Q451" s="5"/>
      <c r="R451" s="5"/>
    </row>
    <row r="452" spans="1:18">
      <c r="A452" s="7" t="str">
        <f t="shared" si="12"/>
        <v/>
      </c>
      <c r="B452" s="5"/>
      <c r="C452" s="5"/>
      <c r="D452" s="5"/>
      <c r="E452" s="5"/>
      <c r="F452" s="5"/>
      <c r="G452" s="29"/>
      <c r="H452" s="5"/>
      <c r="I452" s="5"/>
      <c r="J452" s="5"/>
      <c r="K452" s="5"/>
      <c r="L452" s="5"/>
      <c r="M452" s="5"/>
      <c r="N452" s="29" t="str">
        <f>IF(OR(B452="",M452&lt;&gt;"Yes"),"",IF(O452&lt;&gt;"",O452+IF(L452="Low",3,IF(L452="Medium",7,21)),G452+IF(L452="Low",2,IF(L452="Medium",5,14))))</f>
        <v/>
      </c>
      <c r="O452" s="29"/>
      <c r="P452" s="5"/>
      <c r="Q452" s="5"/>
      <c r="R452" s="5"/>
    </row>
    <row r="453" spans="1:18">
      <c r="A453" s="7" t="str">
        <f t="shared" si="12"/>
        <v/>
      </c>
      <c r="B453" s="5"/>
      <c r="C453" s="5"/>
      <c r="D453" s="5"/>
      <c r="E453" s="5"/>
      <c r="F453" s="5"/>
      <c r="G453" s="29"/>
      <c r="H453" s="5"/>
      <c r="I453" s="5"/>
      <c r="J453" s="5"/>
      <c r="K453" s="5"/>
      <c r="L453" s="5"/>
      <c r="M453" s="5"/>
      <c r="N453" s="29" t="str">
        <f>IF(OR(B453="",M453&lt;&gt;"Yes"),"",IF(O453&lt;&gt;"",O453+IF(L453="Low",3,IF(L453="Medium",7,21)),G453+IF(L453="Low",2,IF(L453="Medium",5,14))))</f>
        <v/>
      </c>
      <c r="O453" s="29"/>
      <c r="P453" s="5"/>
      <c r="Q453" s="5"/>
      <c r="R453" s="5"/>
    </row>
    <row r="454" spans="1:18">
      <c r="A454" s="7" t="str">
        <f t="shared" si="12"/>
        <v/>
      </c>
      <c r="B454" s="5"/>
      <c r="C454" s="5"/>
      <c r="D454" s="5"/>
      <c r="E454" s="5"/>
      <c r="F454" s="5"/>
      <c r="G454" s="29"/>
      <c r="H454" s="5"/>
      <c r="I454" s="5"/>
      <c r="J454" s="5"/>
      <c r="K454" s="5"/>
      <c r="L454" s="5"/>
      <c r="M454" s="5"/>
      <c r="N454" s="29" t="str">
        <f>IF(OR(B454="",M454&lt;&gt;"Yes"),"",IF(O454&lt;&gt;"",O454+IF(L454="Low",3,IF(L454="Medium",7,21)),G454+IF(L454="Low",2,IF(L454="Medium",5,14))))</f>
        <v/>
      </c>
      <c r="O454" s="29"/>
      <c r="P454" s="5"/>
      <c r="Q454" s="5"/>
      <c r="R454" s="5"/>
    </row>
    <row r="455" spans="1:18">
      <c r="A455" s="7" t="str">
        <f t="shared" si="12"/>
        <v/>
      </c>
      <c r="B455" s="5"/>
      <c r="C455" s="5"/>
      <c r="D455" s="5"/>
      <c r="E455" s="5"/>
      <c r="F455" s="5"/>
      <c r="G455" s="29"/>
      <c r="H455" s="5"/>
      <c r="I455" s="5"/>
      <c r="J455" s="5"/>
      <c r="K455" s="5"/>
      <c r="L455" s="5"/>
      <c r="M455" s="5"/>
      <c r="N455" s="29" t="str">
        <f>IF(OR(B455="",M455&lt;&gt;"Yes"),"",IF(O455&lt;&gt;"",O455+IF(L455="Low",3,IF(L455="Medium",7,21)),G455+IF(L455="Low",2,IF(L455="Medium",5,14))))</f>
        <v/>
      </c>
      <c r="O455" s="29"/>
      <c r="P455" s="5"/>
      <c r="Q455" s="5"/>
      <c r="R455" s="5"/>
    </row>
    <row r="456" spans="1:18">
      <c r="A456" s="7" t="str">
        <f t="shared" si="12"/>
        <v/>
      </c>
      <c r="B456" s="5"/>
      <c r="C456" s="5"/>
      <c r="D456" s="5"/>
      <c r="E456" s="5"/>
      <c r="F456" s="5"/>
      <c r="G456" s="29"/>
      <c r="H456" s="5"/>
      <c r="I456" s="5"/>
      <c r="J456" s="5"/>
      <c r="K456" s="5"/>
      <c r="L456" s="5"/>
      <c r="M456" s="5"/>
      <c r="N456" s="29" t="str">
        <f>IF(OR(B456="",M456&lt;&gt;"Yes"),"",IF(O456&lt;&gt;"",O456+IF(L456="Low",3,IF(L456="Medium",7,21)),G456+IF(L456="Low",2,IF(L456="Medium",5,14))))</f>
        <v/>
      </c>
      <c r="O456" s="29"/>
      <c r="P456" s="5"/>
      <c r="Q456" s="5"/>
      <c r="R456" s="5"/>
    </row>
    <row r="457" spans="1:18">
      <c r="A457" s="7" t="str">
        <f t="shared" si="12"/>
        <v/>
      </c>
      <c r="B457" s="5"/>
      <c r="C457" s="5"/>
      <c r="D457" s="5"/>
      <c r="E457" s="5"/>
      <c r="F457" s="5"/>
      <c r="G457" s="29"/>
      <c r="H457" s="5"/>
      <c r="I457" s="5"/>
      <c r="J457" s="5"/>
      <c r="K457" s="5"/>
      <c r="L457" s="5"/>
      <c r="M457" s="5"/>
      <c r="N457" s="29" t="str">
        <f>IF(OR(B457="",M457&lt;&gt;"Yes"),"",IF(O457&lt;&gt;"",O457+IF(L457="Low",3,IF(L457="Medium",7,21)),G457+IF(L457="Low",2,IF(L457="Medium",5,14))))</f>
        <v/>
      </c>
      <c r="O457" s="29"/>
      <c r="P457" s="5"/>
      <c r="Q457" s="5"/>
      <c r="R457" s="5"/>
    </row>
    <row r="458" spans="1:18">
      <c r="A458" s="7" t="str">
        <f t="shared" si="12"/>
        <v/>
      </c>
      <c r="B458" s="5"/>
      <c r="C458" s="5"/>
      <c r="D458" s="5"/>
      <c r="E458" s="5"/>
      <c r="F458" s="5"/>
      <c r="G458" s="29"/>
      <c r="H458" s="5"/>
      <c r="I458" s="5"/>
      <c r="J458" s="5"/>
      <c r="K458" s="5"/>
      <c r="L458" s="5"/>
      <c r="M458" s="5"/>
      <c r="N458" s="29" t="str">
        <f>IF(OR(B458="",M458&lt;&gt;"Yes"),"",IF(O458&lt;&gt;"",O458+IF(L458="Low",3,IF(L458="Medium",7,21)),G458+IF(L458="Low",2,IF(L458="Medium",5,14))))</f>
        <v/>
      </c>
      <c r="O458" s="29"/>
      <c r="P458" s="5"/>
      <c r="Q458" s="5"/>
      <c r="R458" s="5"/>
    </row>
    <row r="459" spans="1:18">
      <c r="A459" s="7" t="str">
        <f t="shared" si="12"/>
        <v/>
      </c>
      <c r="B459" s="5"/>
      <c r="C459" s="5"/>
      <c r="D459" s="5"/>
      <c r="E459" s="5"/>
      <c r="F459" s="5"/>
      <c r="G459" s="29"/>
      <c r="H459" s="5"/>
      <c r="I459" s="5"/>
      <c r="J459" s="5"/>
      <c r="K459" s="5"/>
      <c r="L459" s="5"/>
      <c r="M459" s="5"/>
      <c r="N459" s="29" t="str">
        <f>IF(OR(B459="",M459&lt;&gt;"Yes"),"",IF(O459&lt;&gt;"",O459+IF(L459="Low",3,IF(L459="Medium",7,21)),G459+IF(L459="Low",2,IF(L459="Medium",5,14))))</f>
        <v/>
      </c>
      <c r="O459" s="29"/>
      <c r="P459" s="5"/>
      <c r="Q459" s="5"/>
      <c r="R459" s="5"/>
    </row>
    <row r="460" spans="1:18">
      <c r="A460" s="7" t="str">
        <f t="shared" si="12"/>
        <v/>
      </c>
      <c r="B460" s="5"/>
      <c r="C460" s="5"/>
      <c r="D460" s="5"/>
      <c r="E460" s="5"/>
      <c r="F460" s="5"/>
      <c r="G460" s="29"/>
      <c r="H460" s="5"/>
      <c r="I460" s="5"/>
      <c r="J460" s="5"/>
      <c r="K460" s="5"/>
      <c r="L460" s="5"/>
      <c r="M460" s="5"/>
      <c r="N460" s="29" t="str">
        <f>IF(OR(B460="",M460&lt;&gt;"Yes"),"",IF(O460&lt;&gt;"",O460+IF(L460="Low",3,IF(L460="Medium",7,21)),G460+IF(L460="Low",2,IF(L460="Medium",5,14))))</f>
        <v/>
      </c>
      <c r="O460" s="29"/>
      <c r="P460" s="5"/>
      <c r="Q460" s="5"/>
      <c r="R460" s="5"/>
    </row>
    <row r="461" spans="1:18">
      <c r="A461" s="7" t="str">
        <f t="shared" si="12"/>
        <v/>
      </c>
      <c r="B461" s="5"/>
      <c r="C461" s="5"/>
      <c r="D461" s="5"/>
      <c r="E461" s="5"/>
      <c r="F461" s="5"/>
      <c r="G461" s="29"/>
      <c r="H461" s="5"/>
      <c r="I461" s="5"/>
      <c r="J461" s="5"/>
      <c r="K461" s="5"/>
      <c r="L461" s="5"/>
      <c r="M461" s="5"/>
      <c r="N461" s="29" t="str">
        <f>IF(OR(B461="",M461&lt;&gt;"Yes"),"",IF(O461&lt;&gt;"",O461+IF(L461="Low",3,IF(L461="Medium",7,21)),G461+IF(L461="Low",2,IF(L461="Medium",5,14))))</f>
        <v/>
      </c>
      <c r="O461" s="29"/>
      <c r="P461" s="5"/>
      <c r="Q461" s="5"/>
      <c r="R461" s="5"/>
    </row>
    <row r="462" spans="1:18">
      <c r="A462" s="7" t="str">
        <f t="shared" si="12"/>
        <v/>
      </c>
      <c r="B462" s="5"/>
      <c r="C462" s="5"/>
      <c r="D462" s="5"/>
      <c r="E462" s="5"/>
      <c r="F462" s="5"/>
      <c r="G462" s="29"/>
      <c r="H462" s="5"/>
      <c r="I462" s="5"/>
      <c r="J462" s="5"/>
      <c r="K462" s="5"/>
      <c r="L462" s="5"/>
      <c r="M462" s="5"/>
      <c r="N462" s="29" t="str">
        <f>IF(OR(B462="",M462&lt;&gt;"Yes"),"",IF(O462&lt;&gt;"",O462+IF(L462="Low",3,IF(L462="Medium",7,21)),G462+IF(L462="Low",2,IF(L462="Medium",5,14))))</f>
        <v/>
      </c>
      <c r="O462" s="29"/>
      <c r="P462" s="5"/>
      <c r="Q462" s="5"/>
      <c r="R462" s="5"/>
    </row>
    <row r="463" spans="1:18">
      <c r="A463" s="7" t="str">
        <f t="shared" si="12"/>
        <v/>
      </c>
      <c r="B463" s="5"/>
      <c r="C463" s="5"/>
      <c r="D463" s="5"/>
      <c r="E463" s="5"/>
      <c r="F463" s="5"/>
      <c r="G463" s="29"/>
      <c r="H463" s="5"/>
      <c r="I463" s="5"/>
      <c r="J463" s="5"/>
      <c r="K463" s="5"/>
      <c r="L463" s="5"/>
      <c r="M463" s="5"/>
      <c r="N463" s="29" t="str">
        <f>IF(OR(B463="",M463&lt;&gt;"Yes"),"",IF(O463&lt;&gt;"",O463+IF(L463="Low",3,IF(L463="Medium",7,21)),G463+IF(L463="Low",2,IF(L463="Medium",5,14))))</f>
        <v/>
      </c>
      <c r="O463" s="29"/>
      <c r="P463" s="5"/>
      <c r="Q463" s="5"/>
      <c r="R463" s="5"/>
    </row>
    <row r="464" spans="1:18">
      <c r="A464" s="7" t="str">
        <f t="shared" si="12"/>
        <v/>
      </c>
      <c r="B464" s="5"/>
      <c r="C464" s="5"/>
      <c r="D464" s="5"/>
      <c r="E464" s="5"/>
      <c r="F464" s="5"/>
      <c r="G464" s="29"/>
      <c r="H464" s="5"/>
      <c r="I464" s="5"/>
      <c r="J464" s="5"/>
      <c r="K464" s="5"/>
      <c r="L464" s="5"/>
      <c r="M464" s="5"/>
      <c r="N464" s="29" t="str">
        <f>IF(OR(B464="",M464&lt;&gt;"Yes"),"",IF(O464&lt;&gt;"",O464+IF(L464="Low",3,IF(L464="Medium",7,21)),G464+IF(L464="Low",2,IF(L464="Medium",5,14))))</f>
        <v/>
      </c>
      <c r="O464" s="29"/>
      <c r="P464" s="5"/>
      <c r="Q464" s="5"/>
      <c r="R464" s="5"/>
    </row>
    <row r="465" spans="1:18">
      <c r="A465" s="7" t="str">
        <f t="shared" si="12"/>
        <v/>
      </c>
      <c r="B465" s="5"/>
      <c r="C465" s="5"/>
      <c r="D465" s="5"/>
      <c r="E465" s="5"/>
      <c r="F465" s="5"/>
      <c r="G465" s="29"/>
      <c r="H465" s="5"/>
      <c r="I465" s="5"/>
      <c r="J465" s="5"/>
      <c r="K465" s="5"/>
      <c r="L465" s="5"/>
      <c r="M465" s="5"/>
      <c r="N465" s="29" t="str">
        <f>IF(OR(B465="",M465&lt;&gt;"Yes"),"",IF(O465&lt;&gt;"",O465+IF(L465="Low",3,IF(L465="Medium",7,21)),G465+IF(L465="Low",2,IF(L465="Medium",5,14))))</f>
        <v/>
      </c>
      <c r="O465" s="29"/>
      <c r="P465" s="5"/>
      <c r="Q465" s="5"/>
      <c r="R465" s="5"/>
    </row>
    <row r="466" spans="1:18">
      <c r="A466" s="7" t="str">
        <f t="shared" si="12"/>
        <v/>
      </c>
      <c r="B466" s="5"/>
      <c r="C466" s="5"/>
      <c r="D466" s="5"/>
      <c r="E466" s="5"/>
      <c r="F466" s="5"/>
      <c r="G466" s="29"/>
      <c r="H466" s="5"/>
      <c r="I466" s="5"/>
      <c r="J466" s="5"/>
      <c r="K466" s="5"/>
      <c r="L466" s="5"/>
      <c r="M466" s="5"/>
      <c r="N466" s="29" t="str">
        <f>IF(OR(B466="",M466&lt;&gt;"Yes"),"",IF(O466&lt;&gt;"",O466+IF(L466="Low",3,IF(L466="Medium",7,21)),G466+IF(L466="Low",2,IF(L466="Medium",5,14))))</f>
        <v/>
      </c>
      <c r="O466" s="29"/>
      <c r="P466" s="5"/>
      <c r="Q466" s="5"/>
      <c r="R466" s="5"/>
    </row>
    <row r="467" spans="1:18">
      <c r="A467" s="7" t="str">
        <f t="shared" si="12"/>
        <v/>
      </c>
      <c r="B467" s="5"/>
      <c r="C467" s="5"/>
      <c r="D467" s="5"/>
      <c r="E467" s="5"/>
      <c r="F467" s="5"/>
      <c r="G467" s="29"/>
      <c r="H467" s="5"/>
      <c r="I467" s="5"/>
      <c r="J467" s="5"/>
      <c r="K467" s="5"/>
      <c r="L467" s="5"/>
      <c r="M467" s="5"/>
      <c r="N467" s="29" t="str">
        <f>IF(OR(B467="",M467&lt;&gt;"Yes"),"",IF(O467&lt;&gt;"",O467+IF(L467="Low",3,IF(L467="Medium",7,21)),G467+IF(L467="Low",2,IF(L467="Medium",5,14))))</f>
        <v/>
      </c>
      <c r="O467" s="29"/>
      <c r="P467" s="5"/>
      <c r="Q467" s="5"/>
      <c r="R467" s="5"/>
    </row>
    <row r="468" spans="1:18">
      <c r="A468" s="7" t="str">
        <f t="shared" si="12"/>
        <v/>
      </c>
      <c r="B468" s="5"/>
      <c r="C468" s="5"/>
      <c r="D468" s="5"/>
      <c r="E468" s="5"/>
      <c r="F468" s="5"/>
      <c r="G468" s="29"/>
      <c r="H468" s="5"/>
      <c r="I468" s="5"/>
      <c r="J468" s="5"/>
      <c r="K468" s="5"/>
      <c r="L468" s="5"/>
      <c r="M468" s="5"/>
      <c r="N468" s="29" t="str">
        <f>IF(OR(B468="",M468&lt;&gt;"Yes"),"",IF(O468&lt;&gt;"",O468+IF(L468="Low",3,IF(L468="Medium",7,21)),G468+IF(L468="Low",2,IF(L468="Medium",5,14))))</f>
        <v/>
      </c>
      <c r="O468" s="29"/>
      <c r="P468" s="5"/>
      <c r="Q468" s="5"/>
      <c r="R468" s="5"/>
    </row>
    <row r="469" spans="1:18">
      <c r="A469" s="7" t="str">
        <f t="shared" si="12"/>
        <v/>
      </c>
      <c r="B469" s="5"/>
      <c r="C469" s="5"/>
      <c r="D469" s="5"/>
      <c r="E469" s="5"/>
      <c r="F469" s="5"/>
      <c r="G469" s="29"/>
      <c r="H469" s="5"/>
      <c r="I469" s="5"/>
      <c r="J469" s="5"/>
      <c r="K469" s="5"/>
      <c r="L469" s="5"/>
      <c r="M469" s="5"/>
      <c r="N469" s="29" t="str">
        <f>IF(OR(B469="",M469&lt;&gt;"Yes"),"",IF(O469&lt;&gt;"",O469+IF(L469="Low",3,IF(L469="Medium",7,21)),G469+IF(L469="Low",2,IF(L469="Medium",5,14))))</f>
        <v/>
      </c>
      <c r="O469" s="29"/>
      <c r="P469" s="5"/>
      <c r="Q469" s="5"/>
      <c r="R469" s="5"/>
    </row>
    <row r="470" spans="1:18">
      <c r="A470" s="7" t="str">
        <f t="shared" si="12"/>
        <v/>
      </c>
      <c r="B470" s="5"/>
      <c r="C470" s="5"/>
      <c r="D470" s="5"/>
      <c r="E470" s="5"/>
      <c r="F470" s="5"/>
      <c r="G470" s="29"/>
      <c r="H470" s="5"/>
      <c r="I470" s="5"/>
      <c r="J470" s="5"/>
      <c r="K470" s="5"/>
      <c r="L470" s="5"/>
      <c r="M470" s="5"/>
      <c r="N470" s="29" t="str">
        <f>IF(OR(B470="",M470&lt;&gt;"Yes"),"",IF(O470&lt;&gt;"",O470+IF(L470="Low",3,IF(L470="Medium",7,21)),G470+IF(L470="Low",2,IF(L470="Medium",5,14))))</f>
        <v/>
      </c>
      <c r="O470" s="29"/>
      <c r="P470" s="5"/>
      <c r="Q470" s="5"/>
      <c r="R470" s="5"/>
    </row>
    <row r="471" spans="1:18">
      <c r="A471" s="7" t="str">
        <f t="shared" si="12"/>
        <v/>
      </c>
      <c r="B471" s="5"/>
      <c r="C471" s="5"/>
      <c r="D471" s="5"/>
      <c r="E471" s="5"/>
      <c r="F471" s="5"/>
      <c r="G471" s="29"/>
      <c r="H471" s="5"/>
      <c r="I471" s="5"/>
      <c r="J471" s="5"/>
      <c r="K471" s="5"/>
      <c r="L471" s="5"/>
      <c r="M471" s="5"/>
      <c r="N471" s="29" t="str">
        <f>IF(OR(B471="",M471&lt;&gt;"Yes"),"",IF(O471&lt;&gt;"",O471+IF(L471="Low",3,IF(L471="Medium",7,21)),G471+IF(L471="Low",2,IF(L471="Medium",5,14))))</f>
        <v/>
      </c>
      <c r="O471" s="29"/>
      <c r="P471" s="5"/>
      <c r="Q471" s="5"/>
      <c r="R471" s="5"/>
    </row>
    <row r="472" spans="1:18">
      <c r="A472" s="7" t="str">
        <f t="shared" si="12"/>
        <v/>
      </c>
      <c r="B472" s="5"/>
      <c r="C472" s="5"/>
      <c r="D472" s="5"/>
      <c r="E472" s="5"/>
      <c r="F472" s="5"/>
      <c r="G472" s="29"/>
      <c r="H472" s="5"/>
      <c r="I472" s="5"/>
      <c r="J472" s="5"/>
      <c r="K472" s="5"/>
      <c r="L472" s="5"/>
      <c r="M472" s="5"/>
      <c r="N472" s="29" t="str">
        <f>IF(OR(B472="",M472&lt;&gt;"Yes"),"",IF(O472&lt;&gt;"",O472+IF(L472="Low",3,IF(L472="Medium",7,21)),G472+IF(L472="Low",2,IF(L472="Medium",5,14))))</f>
        <v/>
      </c>
      <c r="O472" s="29"/>
      <c r="P472" s="5"/>
      <c r="Q472" s="5"/>
      <c r="R472" s="5"/>
    </row>
    <row r="473" spans="1:18">
      <c r="A473" s="7" t="str">
        <f t="shared" si="12"/>
        <v/>
      </c>
      <c r="B473" s="5"/>
      <c r="C473" s="5"/>
      <c r="D473" s="5"/>
      <c r="E473" s="5"/>
      <c r="F473" s="5"/>
      <c r="G473" s="29"/>
      <c r="H473" s="5"/>
      <c r="I473" s="5"/>
      <c r="J473" s="5"/>
      <c r="K473" s="5"/>
      <c r="L473" s="5"/>
      <c r="M473" s="5"/>
      <c r="N473" s="29" t="str">
        <f>IF(OR(B473="",M473&lt;&gt;"Yes"),"",IF(O473&lt;&gt;"",O473+IF(L473="Low",3,IF(L473="Medium",7,21)),G473+IF(L473="Low",2,IF(L473="Medium",5,14))))</f>
        <v/>
      </c>
      <c r="O473" s="29"/>
      <c r="P473" s="5"/>
      <c r="Q473" s="5"/>
      <c r="R473" s="5"/>
    </row>
    <row r="474" spans="1:18">
      <c r="A474" s="7" t="str">
        <f t="shared" si="12"/>
        <v/>
      </c>
      <c r="B474" s="5"/>
      <c r="C474" s="5"/>
      <c r="D474" s="5"/>
      <c r="E474" s="5"/>
      <c r="F474" s="5"/>
      <c r="G474" s="29"/>
      <c r="H474" s="5"/>
      <c r="I474" s="5"/>
      <c r="J474" s="5"/>
      <c r="K474" s="5"/>
      <c r="L474" s="5"/>
      <c r="M474" s="5"/>
      <c r="N474" s="29" t="str">
        <f>IF(OR(B474="",M474&lt;&gt;"Yes"),"",IF(O474&lt;&gt;"",O474+IF(L474="Low",3,IF(L474="Medium",7,21)),G474+IF(L474="Low",2,IF(L474="Medium",5,14))))</f>
        <v/>
      </c>
      <c r="O474" s="29"/>
      <c r="P474" s="5"/>
      <c r="Q474" s="5"/>
      <c r="R474" s="5"/>
    </row>
    <row r="475" spans="1:18">
      <c r="A475" s="7" t="str">
        <f t="shared" si="12"/>
        <v/>
      </c>
      <c r="B475" s="5"/>
      <c r="C475" s="5"/>
      <c r="D475" s="5"/>
      <c r="E475" s="5"/>
      <c r="F475" s="5"/>
      <c r="G475" s="29"/>
      <c r="H475" s="5"/>
      <c r="I475" s="5"/>
      <c r="J475" s="5"/>
      <c r="K475" s="5"/>
      <c r="L475" s="5"/>
      <c r="M475" s="5"/>
      <c r="N475" s="29" t="str">
        <f>IF(OR(B475="",M475&lt;&gt;"Yes"),"",IF(O475&lt;&gt;"",O475+IF(L475="Low",3,IF(L475="Medium",7,21)),G475+IF(L475="Low",2,IF(L475="Medium",5,14))))</f>
        <v/>
      </c>
      <c r="O475" s="29"/>
      <c r="P475" s="5"/>
      <c r="Q475" s="5"/>
      <c r="R475" s="5"/>
    </row>
    <row r="476" spans="1:18">
      <c r="A476" s="7" t="str">
        <f t="shared" si="12"/>
        <v/>
      </c>
      <c r="B476" s="5"/>
      <c r="C476" s="5"/>
      <c r="D476" s="5"/>
      <c r="E476" s="5"/>
      <c r="F476" s="5"/>
      <c r="G476" s="29"/>
      <c r="H476" s="5"/>
      <c r="I476" s="5"/>
      <c r="J476" s="5"/>
      <c r="K476" s="5"/>
      <c r="L476" s="5"/>
      <c r="M476" s="5"/>
      <c r="N476" s="29" t="str">
        <f>IF(OR(B476="",M476&lt;&gt;"Yes"),"",IF(O476&lt;&gt;"",O476+IF(L476="Low",3,IF(L476="Medium",7,21)),G476+IF(L476="Low",2,IF(L476="Medium",5,14))))</f>
        <v/>
      </c>
      <c r="O476" s="29"/>
      <c r="P476" s="5"/>
      <c r="Q476" s="5"/>
      <c r="R476" s="5"/>
    </row>
    <row r="477" spans="1:18">
      <c r="A477" s="7" t="str">
        <f t="shared" si="12"/>
        <v/>
      </c>
      <c r="B477" s="5"/>
      <c r="C477" s="5"/>
      <c r="D477" s="5"/>
      <c r="E477" s="5"/>
      <c r="F477" s="5"/>
      <c r="G477" s="29"/>
      <c r="H477" s="5"/>
      <c r="I477" s="5"/>
      <c r="J477" s="5"/>
      <c r="K477" s="5"/>
      <c r="L477" s="5"/>
      <c r="M477" s="5"/>
      <c r="N477" s="29" t="str">
        <f>IF(OR(B477="",M477&lt;&gt;"Yes"),"",IF(O477&lt;&gt;"",O477+IF(L477="Low",3,IF(L477="Medium",7,21)),G477+IF(L477="Low",2,IF(L477="Medium",5,14))))</f>
        <v/>
      </c>
      <c r="O477" s="29"/>
      <c r="P477" s="5"/>
      <c r="Q477" s="5"/>
      <c r="R477" s="5"/>
    </row>
    <row r="478" spans="1:18">
      <c r="A478" s="7" t="str">
        <f t="shared" si="12"/>
        <v/>
      </c>
      <c r="B478" s="5"/>
      <c r="C478" s="5"/>
      <c r="D478" s="5"/>
      <c r="E478" s="5"/>
      <c r="F478" s="5"/>
      <c r="G478" s="29"/>
      <c r="H478" s="5"/>
      <c r="I478" s="5"/>
      <c r="J478" s="5"/>
      <c r="K478" s="5"/>
      <c r="L478" s="5"/>
      <c r="M478" s="5"/>
      <c r="N478" s="29" t="str">
        <f>IF(OR(B478="",M478&lt;&gt;"Yes"),"",IF(O478&lt;&gt;"",O478+IF(L478="Low",3,IF(L478="Medium",7,21)),G478+IF(L478="Low",2,IF(L478="Medium",5,14))))</f>
        <v/>
      </c>
      <c r="O478" s="29"/>
      <c r="P478" s="5"/>
      <c r="Q478" s="5"/>
      <c r="R478" s="5"/>
    </row>
    <row r="479" spans="1:18">
      <c r="A479" s="7" t="str">
        <f t="shared" si="12"/>
        <v/>
      </c>
      <c r="B479" s="5"/>
      <c r="C479" s="5"/>
      <c r="D479" s="5"/>
      <c r="E479" s="5"/>
      <c r="F479" s="5"/>
      <c r="G479" s="29"/>
      <c r="H479" s="5"/>
      <c r="I479" s="5"/>
      <c r="J479" s="5"/>
      <c r="K479" s="5"/>
      <c r="L479" s="5"/>
      <c r="M479" s="5"/>
      <c r="N479" s="29" t="str">
        <f>IF(OR(B479="",M479&lt;&gt;"Yes"),"",IF(O479&lt;&gt;"",O479+IF(L479="Low",3,IF(L479="Medium",7,21)),G479+IF(L479="Low",2,IF(L479="Medium",5,14))))</f>
        <v/>
      </c>
      <c r="O479" s="29"/>
      <c r="P479" s="5"/>
      <c r="Q479" s="5"/>
      <c r="R479" s="5"/>
    </row>
    <row r="480" spans="1:18">
      <c r="A480" s="7" t="str">
        <f t="shared" si="12"/>
        <v/>
      </c>
      <c r="B480" s="5"/>
      <c r="C480" s="5"/>
      <c r="D480" s="5"/>
      <c r="E480" s="5"/>
      <c r="F480" s="5"/>
      <c r="G480" s="29"/>
      <c r="H480" s="5"/>
      <c r="I480" s="5"/>
      <c r="J480" s="5"/>
      <c r="K480" s="5"/>
      <c r="L480" s="5"/>
      <c r="M480" s="5"/>
      <c r="N480" s="29" t="str">
        <f>IF(OR(B480="",M480&lt;&gt;"Yes"),"",IF(O480&lt;&gt;"",O480+IF(L480="Low",3,IF(L480="Medium",7,21)),G480+IF(L480="Low",2,IF(L480="Medium",5,14))))</f>
        <v/>
      </c>
      <c r="O480" s="29"/>
      <c r="P480" s="5"/>
      <c r="Q480" s="5"/>
      <c r="R480" s="5"/>
    </row>
    <row r="481" spans="1:18">
      <c r="A481" s="7" t="str">
        <f t="shared" si="12"/>
        <v/>
      </c>
      <c r="B481" s="5"/>
      <c r="C481" s="5"/>
      <c r="D481" s="5"/>
      <c r="E481" s="5"/>
      <c r="F481" s="5"/>
      <c r="G481" s="29"/>
      <c r="H481" s="5"/>
      <c r="I481" s="5"/>
      <c r="J481" s="5"/>
      <c r="K481" s="5"/>
      <c r="L481" s="5"/>
      <c r="M481" s="5"/>
      <c r="N481" s="29" t="str">
        <f>IF(OR(B481="",M481&lt;&gt;"Yes"),"",IF(O481&lt;&gt;"",O481+IF(L481="Low",3,IF(L481="Medium",7,21)),G481+IF(L481="Low",2,IF(L481="Medium",5,14))))</f>
        <v/>
      </c>
      <c r="O481" s="29"/>
      <c r="P481" s="5"/>
      <c r="Q481" s="5"/>
      <c r="R481" s="5"/>
    </row>
    <row r="482" spans="1:18">
      <c r="A482" s="7" t="str">
        <f t="shared" si="12"/>
        <v/>
      </c>
      <c r="B482" s="5"/>
      <c r="C482" s="5"/>
      <c r="D482" s="5"/>
      <c r="E482" s="5"/>
      <c r="F482" s="5"/>
      <c r="G482" s="29"/>
      <c r="H482" s="5"/>
      <c r="I482" s="5"/>
      <c r="J482" s="5"/>
      <c r="K482" s="5"/>
      <c r="L482" s="5"/>
      <c r="M482" s="5"/>
      <c r="N482" s="29" t="str">
        <f>IF(OR(B482="",M482&lt;&gt;"Yes"),"",IF(O482&lt;&gt;"",O482+IF(L482="Low",3,IF(L482="Medium",7,21)),G482+IF(L482="Low",2,IF(L482="Medium",5,14))))</f>
        <v/>
      </c>
      <c r="O482" s="29"/>
      <c r="P482" s="5"/>
      <c r="Q482" s="5"/>
      <c r="R482" s="5"/>
    </row>
    <row r="483" spans="1:18">
      <c r="A483" s="7" t="str">
        <f t="shared" si="12"/>
        <v/>
      </c>
      <c r="B483" s="5"/>
      <c r="C483" s="5"/>
      <c r="D483" s="5"/>
      <c r="E483" s="5"/>
      <c r="F483" s="5"/>
      <c r="G483" s="29"/>
      <c r="H483" s="5"/>
      <c r="I483" s="5"/>
      <c r="J483" s="5"/>
      <c r="K483" s="5"/>
      <c r="L483" s="5"/>
      <c r="M483" s="5"/>
      <c r="N483" s="29" t="str">
        <f>IF(OR(B483="",M483&lt;&gt;"Yes"),"",IF(O483&lt;&gt;"",O483+IF(L483="Low",3,IF(L483="Medium",7,21)),G483+IF(L483="Low",2,IF(L483="Medium",5,14))))</f>
        <v/>
      </c>
      <c r="O483" s="29"/>
      <c r="P483" s="5"/>
      <c r="Q483" s="5"/>
      <c r="R483" s="5"/>
    </row>
    <row r="484" spans="1:18">
      <c r="A484" s="7" t="str">
        <f t="shared" si="12"/>
        <v/>
      </c>
      <c r="B484" s="5"/>
      <c r="C484" s="5"/>
      <c r="D484" s="5"/>
      <c r="E484" s="5"/>
      <c r="F484" s="5"/>
      <c r="G484" s="29"/>
      <c r="H484" s="5"/>
      <c r="I484" s="5"/>
      <c r="J484" s="5"/>
      <c r="K484" s="5"/>
      <c r="L484" s="5"/>
      <c r="M484" s="5"/>
      <c r="N484" s="29" t="str">
        <f>IF(OR(B484="",M484&lt;&gt;"Yes"),"",IF(O484&lt;&gt;"",O484+IF(L484="Low",3,IF(L484="Medium",7,21)),G484+IF(L484="Low",2,IF(L484="Medium",5,14))))</f>
        <v/>
      </c>
      <c r="O484" s="29"/>
      <c r="P484" s="5"/>
      <c r="Q484" s="5"/>
      <c r="R484" s="5"/>
    </row>
    <row r="485" spans="1:18">
      <c r="A485" s="7" t="str">
        <f t="shared" si="12"/>
        <v/>
      </c>
      <c r="B485" s="5"/>
      <c r="C485" s="5"/>
      <c r="D485" s="5"/>
      <c r="E485" s="5"/>
      <c r="F485" s="5"/>
      <c r="G485" s="29"/>
      <c r="H485" s="5"/>
      <c r="I485" s="5"/>
      <c r="J485" s="5"/>
      <c r="K485" s="5"/>
      <c r="L485" s="5"/>
      <c r="M485" s="5"/>
      <c r="N485" s="29" t="str">
        <f>IF(OR(B485="",M485&lt;&gt;"Yes"),"",IF(O485&lt;&gt;"",O485+IF(L485="Low",3,IF(L485="Medium",7,21)),G485+IF(L485="Low",2,IF(L485="Medium",5,14))))</f>
        <v/>
      </c>
      <c r="O485" s="29"/>
      <c r="P485" s="5"/>
      <c r="Q485" s="5"/>
      <c r="R485" s="5"/>
    </row>
    <row r="486" spans="1:18">
      <c r="A486" s="7" t="str">
        <f t="shared" si="12"/>
        <v/>
      </c>
      <c r="B486" s="5"/>
      <c r="C486" s="5"/>
      <c r="D486" s="5"/>
      <c r="E486" s="5"/>
      <c r="F486" s="5"/>
      <c r="G486" s="29"/>
      <c r="H486" s="5"/>
      <c r="I486" s="5"/>
      <c r="J486" s="5"/>
      <c r="K486" s="5"/>
      <c r="L486" s="5"/>
      <c r="M486" s="5"/>
      <c r="N486" s="29" t="str">
        <f>IF(OR(B486="",M486&lt;&gt;"Yes"),"",IF(O486&lt;&gt;"",O486+IF(L486="Low",3,IF(L486="Medium",7,21)),G486+IF(L486="Low",2,IF(L486="Medium",5,14))))</f>
        <v/>
      </c>
      <c r="O486" s="29"/>
      <c r="P486" s="5"/>
      <c r="Q486" s="5"/>
      <c r="R486" s="5"/>
    </row>
    <row r="487" spans="1:18">
      <c r="A487" s="7" t="str">
        <f t="shared" si="12"/>
        <v/>
      </c>
      <c r="B487" s="5"/>
      <c r="C487" s="5"/>
      <c r="D487" s="5"/>
      <c r="E487" s="5"/>
      <c r="F487" s="5"/>
      <c r="G487" s="29"/>
      <c r="H487" s="5"/>
      <c r="I487" s="5"/>
      <c r="J487" s="5"/>
      <c r="K487" s="5"/>
      <c r="L487" s="5"/>
      <c r="M487" s="5"/>
      <c r="N487" s="29" t="str">
        <f>IF(OR(B487="",M487&lt;&gt;"Yes"),"",IF(O487&lt;&gt;"",O487+IF(L487="Low",3,IF(L487="Medium",7,21)),G487+IF(L487="Low",2,IF(L487="Medium",5,14))))</f>
        <v/>
      </c>
      <c r="O487" s="29"/>
      <c r="P487" s="5"/>
      <c r="Q487" s="5"/>
      <c r="R487" s="5"/>
    </row>
    <row r="488" spans="1:18">
      <c r="A488" s="7" t="str">
        <f t="shared" si="12"/>
        <v/>
      </c>
      <c r="B488" s="5"/>
      <c r="C488" s="5"/>
      <c r="D488" s="5"/>
      <c r="E488" s="5"/>
      <c r="F488" s="5"/>
      <c r="G488" s="29"/>
      <c r="H488" s="5"/>
      <c r="I488" s="5"/>
      <c r="J488" s="5"/>
      <c r="K488" s="5"/>
      <c r="L488" s="5"/>
      <c r="M488" s="5"/>
      <c r="N488" s="29" t="str">
        <f>IF(OR(B488="",M488&lt;&gt;"Yes"),"",IF(O488&lt;&gt;"",O488+IF(L488="Low",3,IF(L488="Medium",7,21)),G488+IF(L488="Low",2,IF(L488="Medium",5,14))))</f>
        <v/>
      </c>
      <c r="O488" s="29"/>
      <c r="P488" s="5"/>
      <c r="Q488" s="5"/>
      <c r="R488" s="5"/>
    </row>
    <row r="489" spans="1:18">
      <c r="A489" s="7" t="str">
        <f t="shared" si="12"/>
        <v/>
      </c>
      <c r="B489" s="5"/>
      <c r="C489" s="5"/>
      <c r="D489" s="5"/>
      <c r="E489" s="5"/>
      <c r="F489" s="5"/>
      <c r="G489" s="29"/>
      <c r="H489" s="5"/>
      <c r="I489" s="5"/>
      <c r="J489" s="5"/>
      <c r="K489" s="5"/>
      <c r="L489" s="5"/>
      <c r="M489" s="5"/>
      <c r="N489" s="29" t="str">
        <f>IF(OR(B489="",M489&lt;&gt;"Yes"),"",IF(O489&lt;&gt;"",O489+IF(L489="Low",3,IF(L489="Medium",7,21)),G489+IF(L489="Low",2,IF(L489="Medium",5,14))))</f>
        <v/>
      </c>
      <c r="O489" s="29"/>
      <c r="P489" s="5"/>
      <c r="Q489" s="5"/>
      <c r="R489" s="5"/>
    </row>
    <row r="490" spans="1:18">
      <c r="A490" s="7" t="str">
        <f t="shared" si="12"/>
        <v/>
      </c>
      <c r="B490" s="5"/>
      <c r="C490" s="5"/>
      <c r="D490" s="5"/>
      <c r="E490" s="5"/>
      <c r="F490" s="5"/>
      <c r="G490" s="29"/>
      <c r="H490" s="5"/>
      <c r="I490" s="5"/>
      <c r="J490" s="5"/>
      <c r="K490" s="5"/>
      <c r="L490" s="5"/>
      <c r="M490" s="5"/>
      <c r="N490" s="29" t="str">
        <f>IF(OR(B490="",M490&lt;&gt;"Yes"),"",IF(O490&lt;&gt;"",O490+IF(L490="Low",3,IF(L490="Medium",7,21)),G490+IF(L490="Low",2,IF(L490="Medium",5,14))))</f>
        <v/>
      </c>
      <c r="O490" s="29"/>
      <c r="P490" s="5"/>
      <c r="Q490" s="5"/>
      <c r="R490" s="5"/>
    </row>
    <row r="491" spans="1:18">
      <c r="A491" s="7" t="str">
        <f t="shared" si="12"/>
        <v/>
      </c>
      <c r="B491" s="5"/>
      <c r="C491" s="5"/>
      <c r="D491" s="5"/>
      <c r="E491" s="5"/>
      <c r="F491" s="5"/>
      <c r="G491" s="29"/>
      <c r="H491" s="5"/>
      <c r="I491" s="5"/>
      <c r="J491" s="5"/>
      <c r="K491" s="5"/>
      <c r="L491" s="5"/>
      <c r="M491" s="5"/>
      <c r="N491" s="29" t="str">
        <f>IF(OR(B491="",M491&lt;&gt;"Yes"),"",IF(O491&lt;&gt;"",O491+IF(L491="Low",3,IF(L491="Medium",7,21)),G491+IF(L491="Low",2,IF(L491="Medium",5,14))))</f>
        <v/>
      </c>
      <c r="O491" s="29"/>
      <c r="P491" s="5"/>
      <c r="Q491" s="5"/>
      <c r="R491" s="5"/>
    </row>
    <row r="492" spans="1:18">
      <c r="A492" s="7" t="str">
        <f t="shared" si="12"/>
        <v/>
      </c>
      <c r="B492" s="5"/>
      <c r="C492" s="5"/>
      <c r="D492" s="5"/>
      <c r="E492" s="5"/>
      <c r="F492" s="5"/>
      <c r="G492" s="29"/>
      <c r="H492" s="5"/>
      <c r="I492" s="5"/>
      <c r="J492" s="5"/>
      <c r="K492" s="5"/>
      <c r="L492" s="5"/>
      <c r="M492" s="5"/>
      <c r="N492" s="29" t="str">
        <f>IF(OR(B492="",M492&lt;&gt;"Yes"),"",IF(O492&lt;&gt;"",O492+IF(L492="Low",3,IF(L492="Medium",7,21)),G492+IF(L492="Low",2,IF(L492="Medium",5,14))))</f>
        <v/>
      </c>
      <c r="O492" s="29"/>
      <c r="P492" s="5"/>
      <c r="Q492" s="5"/>
      <c r="R492" s="5"/>
    </row>
    <row r="493" spans="1:18">
      <c r="A493" s="7" t="str">
        <f t="shared" si="12"/>
        <v/>
      </c>
      <c r="B493" s="5"/>
      <c r="C493" s="5"/>
      <c r="D493" s="5"/>
      <c r="E493" s="5"/>
      <c r="F493" s="5"/>
      <c r="G493" s="29"/>
      <c r="H493" s="5"/>
      <c r="I493" s="5"/>
      <c r="J493" s="5"/>
      <c r="K493" s="5"/>
      <c r="L493" s="5"/>
      <c r="M493" s="5"/>
      <c r="N493" s="29" t="str">
        <f>IF(OR(B493="",M493&lt;&gt;"Yes"),"",IF(O493&lt;&gt;"",O493+IF(L493="Low",3,IF(L493="Medium",7,21)),G493+IF(L493="Low",2,IF(L493="Medium",5,14))))</f>
        <v/>
      </c>
      <c r="O493" s="29"/>
      <c r="P493" s="5"/>
      <c r="Q493" s="5"/>
      <c r="R493" s="5"/>
    </row>
    <row r="494" spans="1:18">
      <c r="A494" s="7" t="str">
        <f t="shared" si="12"/>
        <v/>
      </c>
      <c r="B494" s="5"/>
      <c r="C494" s="5"/>
      <c r="D494" s="5"/>
      <c r="E494" s="5"/>
      <c r="F494" s="5"/>
      <c r="G494" s="29"/>
      <c r="H494" s="5"/>
      <c r="I494" s="5"/>
      <c r="J494" s="5"/>
      <c r="K494" s="5"/>
      <c r="L494" s="5"/>
      <c r="M494" s="5"/>
      <c r="N494" s="29" t="str">
        <f>IF(OR(B494="",M494&lt;&gt;"Yes"),"",IF(O494&lt;&gt;"",O494+IF(L494="Low",3,IF(L494="Medium",7,21)),G494+IF(L494="Low",2,IF(L494="Medium",5,14))))</f>
        <v/>
      </c>
      <c r="O494" s="29"/>
      <c r="P494" s="5"/>
      <c r="Q494" s="5"/>
      <c r="R494" s="5"/>
    </row>
    <row r="495" spans="1:18">
      <c r="A495" s="7" t="str">
        <f t="shared" si="12"/>
        <v/>
      </c>
      <c r="B495" s="5"/>
      <c r="C495" s="5"/>
      <c r="D495" s="5"/>
      <c r="E495" s="5"/>
      <c r="F495" s="5"/>
      <c r="G495" s="29"/>
      <c r="H495" s="5"/>
      <c r="I495" s="5"/>
      <c r="J495" s="5"/>
      <c r="K495" s="5"/>
      <c r="L495" s="5"/>
      <c r="M495" s="5"/>
      <c r="N495" s="29" t="str">
        <f>IF(OR(B495="",M495&lt;&gt;"Yes"),"",IF(O495&lt;&gt;"",O495+IF(L495="Low",3,IF(L495="Medium",7,21)),G495+IF(L495="Low",2,IF(L495="Medium",5,14))))</f>
        <v/>
      </c>
      <c r="O495" s="29"/>
      <c r="P495" s="5"/>
      <c r="Q495" s="5"/>
      <c r="R495" s="5"/>
    </row>
    <row r="496" spans="1:18">
      <c r="A496" s="7" t="str">
        <f t="shared" si="12"/>
        <v/>
      </c>
      <c r="B496" s="5"/>
      <c r="C496" s="5"/>
      <c r="D496" s="5"/>
      <c r="E496" s="5"/>
      <c r="F496" s="5"/>
      <c r="G496" s="29"/>
      <c r="H496" s="5"/>
      <c r="I496" s="5"/>
      <c r="J496" s="5"/>
      <c r="K496" s="5"/>
      <c r="L496" s="5"/>
      <c r="M496" s="5"/>
      <c r="N496" s="29" t="str">
        <f>IF(OR(B496="",M496&lt;&gt;"Yes"),"",IF(O496&lt;&gt;"",O496+IF(L496="Low",3,IF(L496="Medium",7,21)),G496+IF(L496="Low",2,IF(L496="Medium",5,14))))</f>
        <v/>
      </c>
      <c r="O496" s="29"/>
      <c r="P496" s="5"/>
      <c r="Q496" s="5"/>
      <c r="R496" s="5"/>
    </row>
    <row r="497" spans="1:18">
      <c r="A497" s="7" t="str">
        <f t="shared" si="12"/>
        <v/>
      </c>
      <c r="B497" s="5"/>
      <c r="C497" s="5"/>
      <c r="D497" s="5"/>
      <c r="E497" s="5"/>
      <c r="F497" s="5"/>
      <c r="G497" s="29"/>
      <c r="H497" s="5"/>
      <c r="I497" s="5"/>
      <c r="J497" s="5"/>
      <c r="K497" s="5"/>
      <c r="L497" s="5"/>
      <c r="M497" s="5"/>
      <c r="N497" s="29" t="str">
        <f>IF(OR(B497="",M497&lt;&gt;"Yes"),"",IF(O497&lt;&gt;"",O497+IF(L497="Low",3,IF(L497="Medium",7,21)),G497+IF(L497="Low",2,IF(L497="Medium",5,14))))</f>
        <v/>
      </c>
      <c r="O497" s="29"/>
      <c r="P497" s="5"/>
      <c r="Q497" s="5"/>
      <c r="R497" s="5"/>
    </row>
  </sheetData>
  <mergeCells count="2">
    <mergeCell ref="A1:R1"/>
    <mergeCell ref="A2:Q2"/>
  </mergeCells>
  <phoneticPr fontId="6" type="noConversion"/>
  <conditionalFormatting sqref="L4:L497">
    <cfRule type="expression" dxfId="4" priority="11">
      <formula>L4="Low"</formula>
    </cfRule>
    <cfRule type="expression" dxfId="3" priority="12">
      <formula>L4="Medium"</formula>
    </cfRule>
    <cfRule type="expression" dxfId="2" priority="13">
      <formula>L4="High"</formula>
    </cfRule>
  </conditionalFormatting>
  <conditionalFormatting sqref="P4:P497">
    <cfRule type="expression" dxfId="1" priority="14">
      <formula>P4="Mastered"</formula>
    </cfRule>
    <cfRule type="expression" dxfId="0" priority="15">
      <formula>P4="Weak"</formula>
    </cfRule>
  </conditionalFormatting>
  <hyperlinks>
    <hyperlink ref="C4" r:id="rId1" xr:uid="{1930EC90-8F4B-458B-A7CC-FA7C2FB544BC}"/>
    <hyperlink ref="C5" r:id="rId2" xr:uid="{6BAF4540-0028-4929-B767-28478412F60E}"/>
    <hyperlink ref="C6" r:id="rId3" xr:uid="{5553B77E-7930-47CC-9249-45BBFC5CA50A}"/>
    <hyperlink ref="C7" r:id="rId4" xr:uid="{B9D6BB49-3F46-4969-8A65-2AF68D962F32}"/>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6">
        <x14:dataValidation type="list" xr:uid="{00000000-0002-0000-0400-000004000000}">
          <x14:formula1>
            <xm:f>'SQL Lists'!$J$2:$J$4</xm:f>
          </x14:formula1>
          <xm:sqref>L4:L5 L6:L497</xm:sqref>
        </x14:dataValidation>
        <x14:dataValidation type="list" xr:uid="{00000000-0002-0000-0400-000005000000}">
          <x14:formula1>
            <xm:f>'SQL Lists'!$K$2:$K$3</xm:f>
          </x14:formula1>
          <xm:sqref>M4:M5 M6:M497</xm:sqref>
        </x14:dataValidation>
        <x14:dataValidation type="list" xr:uid="{00000000-0002-0000-0400-000006000000}">
          <x14:formula1>
            <xm:f>'SQL Lists'!$L$2:$L$5</xm:f>
          </x14:formula1>
          <xm:sqref>P4:P5 P6:P497</xm:sqref>
        </x14:dataValidation>
        <x14:dataValidation type="list" xr:uid="{00000000-0002-0000-0400-000001000000}">
          <x14:formula1>
            <xm:f>'SQL Lists'!$N$2:$N$8</xm:f>
          </x14:formula1>
          <xm:sqref>D4:D497</xm:sqref>
        </x14:dataValidation>
        <x14:dataValidation type="list" xr:uid="{00000000-0002-0000-0400-000002000000}">
          <x14:formula1>
            <xm:f>'SQL Lists'!$A$2:$A$21</xm:f>
          </x14:formula1>
          <xm:sqref>E4:E497</xm:sqref>
        </x14:dataValidation>
        <x14:dataValidation type="list" xr:uid="{00000000-0002-0000-0400-000003000000}">
          <x14:formula1>
            <xm:f>'SQL Lists'!$I$2:$I$4</xm:f>
          </x14:formula1>
          <xm:sqref>F4:F497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5"/>
  <sheetViews>
    <sheetView topLeftCell="A4" workbookViewId="0">
      <selection activeCell="E1" sqref="E1"/>
    </sheetView>
  </sheetViews>
  <sheetFormatPr defaultRowHeight="13.8"/>
  <cols>
    <col min="1" max="1" width="32" customWidth="1"/>
    <col min="2" max="7" width="20" customWidth="1"/>
    <col min="9" max="14" width="22" customWidth="1"/>
  </cols>
  <sheetData>
    <row r="1" spans="1:14">
      <c r="A1" s="3" t="s">
        <v>371</v>
      </c>
      <c r="B1" s="3" t="s">
        <v>7</v>
      </c>
      <c r="C1" s="3" t="s">
        <v>14</v>
      </c>
      <c r="D1" s="3" t="s">
        <v>323</v>
      </c>
      <c r="E1" s="3" t="s">
        <v>18</v>
      </c>
      <c r="F1" s="3" t="s">
        <v>350</v>
      </c>
      <c r="G1" s="3" t="s">
        <v>5</v>
      </c>
      <c r="H1" s="3"/>
      <c r="I1" s="3" t="s">
        <v>372</v>
      </c>
      <c r="J1" s="3" t="s">
        <v>373</v>
      </c>
      <c r="K1" s="3" t="s">
        <v>374</v>
      </c>
      <c r="L1" s="3" t="s">
        <v>375</v>
      </c>
      <c r="M1" s="3" t="s">
        <v>376</v>
      </c>
      <c r="N1" s="3" t="s">
        <v>377</v>
      </c>
    </row>
    <row r="2" spans="1:14">
      <c r="A2" s="3" t="s">
        <v>358</v>
      </c>
      <c r="B2" s="3"/>
      <c r="C2" s="3"/>
      <c r="D2" s="3"/>
      <c r="E2" s="3"/>
      <c r="F2" s="3"/>
      <c r="G2" s="3"/>
      <c r="H2" s="3"/>
      <c r="I2" s="3" t="s">
        <v>25</v>
      </c>
      <c r="J2" s="3" t="s">
        <v>30</v>
      </c>
      <c r="K2" s="3" t="s">
        <v>31</v>
      </c>
      <c r="L2" s="3" t="s">
        <v>113</v>
      </c>
      <c r="M2" s="3" t="s">
        <v>356</v>
      </c>
      <c r="N2" s="3" t="s">
        <v>357</v>
      </c>
    </row>
    <row r="3" spans="1:14">
      <c r="A3" s="3" t="s">
        <v>366</v>
      </c>
      <c r="B3" s="3"/>
      <c r="C3" s="3"/>
      <c r="D3" s="3"/>
      <c r="E3" s="3"/>
      <c r="F3" s="3"/>
      <c r="G3" s="3"/>
      <c r="H3" s="3"/>
      <c r="I3" s="3" t="s">
        <v>52</v>
      </c>
      <c r="J3" s="3" t="s">
        <v>52</v>
      </c>
      <c r="K3" s="3" t="s">
        <v>327</v>
      </c>
      <c r="L3" s="3" t="s">
        <v>40</v>
      </c>
      <c r="M3" s="3" t="s">
        <v>378</v>
      </c>
      <c r="N3" s="3" t="s">
        <v>379</v>
      </c>
    </row>
    <row r="4" spans="1:14" ht="27.6">
      <c r="A4" s="3" t="s">
        <v>380</v>
      </c>
      <c r="B4" s="3"/>
      <c r="C4" s="3"/>
      <c r="D4" s="3"/>
      <c r="E4" s="3"/>
      <c r="F4" s="3"/>
      <c r="G4" s="3"/>
      <c r="H4" s="3"/>
      <c r="I4" s="3" t="s">
        <v>204</v>
      </c>
      <c r="J4" s="3" t="s">
        <v>112</v>
      </c>
      <c r="K4" s="3"/>
      <c r="L4" s="3" t="s">
        <v>330</v>
      </c>
      <c r="M4" s="3" t="s">
        <v>381</v>
      </c>
      <c r="N4" s="3" t="s">
        <v>382</v>
      </c>
    </row>
    <row r="5" spans="1:14">
      <c r="A5" s="3" t="s">
        <v>383</v>
      </c>
      <c r="B5" s="3"/>
      <c r="C5" s="3"/>
      <c r="D5" s="3"/>
      <c r="E5" s="3"/>
      <c r="F5" s="3"/>
      <c r="G5" s="3"/>
      <c r="H5" s="3"/>
      <c r="I5" s="3"/>
      <c r="J5" s="3"/>
      <c r="K5" s="3"/>
      <c r="L5" s="3" t="s">
        <v>32</v>
      </c>
      <c r="M5" s="3" t="s">
        <v>384</v>
      </c>
      <c r="N5" s="3" t="s">
        <v>385</v>
      </c>
    </row>
    <row r="6" spans="1:14" ht="27.6">
      <c r="A6" s="3" t="s">
        <v>386</v>
      </c>
      <c r="B6" s="3"/>
      <c r="C6" s="3"/>
      <c r="D6" s="3"/>
      <c r="E6" s="3"/>
      <c r="F6" s="3"/>
      <c r="G6" s="3"/>
      <c r="H6" s="3"/>
      <c r="I6" s="3"/>
      <c r="J6" s="3"/>
      <c r="K6" s="3"/>
      <c r="L6" s="3"/>
      <c r="M6" s="3"/>
      <c r="N6" s="3" t="s">
        <v>387</v>
      </c>
    </row>
    <row r="7" spans="1:14">
      <c r="A7" s="3" t="s">
        <v>388</v>
      </c>
      <c r="B7" s="3"/>
      <c r="C7" s="3"/>
      <c r="D7" s="3"/>
      <c r="E7" s="3"/>
      <c r="F7" s="3"/>
      <c r="G7" s="3"/>
      <c r="H7" s="3"/>
      <c r="I7" s="3"/>
      <c r="J7" s="3"/>
      <c r="K7" s="3"/>
      <c r="L7" s="3"/>
      <c r="M7" s="3"/>
      <c r="N7" s="3" t="s">
        <v>389</v>
      </c>
    </row>
    <row r="8" spans="1:14">
      <c r="A8" s="3" t="s">
        <v>390</v>
      </c>
      <c r="B8" s="3"/>
      <c r="C8" s="3"/>
      <c r="D8" s="3"/>
      <c r="E8" s="3"/>
      <c r="F8" s="3"/>
      <c r="G8" s="3"/>
      <c r="H8" s="3"/>
      <c r="I8" s="3"/>
      <c r="J8" s="3"/>
      <c r="K8" s="3"/>
      <c r="L8" s="3"/>
      <c r="M8" s="3"/>
      <c r="N8" s="3" t="s">
        <v>391</v>
      </c>
    </row>
    <row r="9" spans="1:14">
      <c r="A9" s="3" t="s">
        <v>392</v>
      </c>
      <c r="B9" s="3"/>
      <c r="C9" s="3"/>
      <c r="D9" s="3"/>
      <c r="E9" s="3"/>
      <c r="F9" s="3"/>
      <c r="G9" s="3"/>
      <c r="H9" s="3"/>
      <c r="I9" s="3"/>
      <c r="J9" s="3"/>
      <c r="K9" s="3"/>
      <c r="L9" s="3"/>
      <c r="M9" s="3"/>
      <c r="N9" s="3"/>
    </row>
    <row r="10" spans="1:14">
      <c r="A10" s="3" t="s">
        <v>393</v>
      </c>
      <c r="B10" s="3"/>
      <c r="C10" s="3"/>
      <c r="D10" s="3"/>
      <c r="E10" s="3"/>
      <c r="F10" s="3"/>
      <c r="G10" s="3"/>
      <c r="H10" s="3"/>
      <c r="I10" s="3"/>
      <c r="J10" s="3"/>
      <c r="K10" s="3"/>
      <c r="L10" s="3"/>
      <c r="M10" s="3"/>
      <c r="N10" s="3"/>
    </row>
    <row r="11" spans="1:14">
      <c r="A11" s="3" t="s">
        <v>394</v>
      </c>
      <c r="B11" s="3"/>
      <c r="C11" s="3"/>
      <c r="D11" s="3"/>
      <c r="E11" s="3"/>
      <c r="F11" s="3"/>
      <c r="G11" s="3"/>
      <c r="H11" s="3"/>
      <c r="I11" s="3"/>
      <c r="J11" s="3"/>
      <c r="K11" s="3"/>
      <c r="L11" s="3"/>
      <c r="M11" s="3"/>
      <c r="N11" s="3"/>
    </row>
    <row r="12" spans="1:14">
      <c r="A12" s="3" t="s">
        <v>395</v>
      </c>
      <c r="B12" s="3"/>
      <c r="C12" s="3"/>
      <c r="D12" s="3"/>
      <c r="E12" s="3"/>
      <c r="F12" s="3"/>
      <c r="G12" s="3"/>
      <c r="H12" s="3"/>
      <c r="I12" s="3"/>
      <c r="J12" s="3"/>
      <c r="K12" s="3"/>
      <c r="L12" s="3"/>
      <c r="M12" s="3"/>
      <c r="N12" s="3"/>
    </row>
    <row r="13" spans="1:14">
      <c r="A13" s="3" t="s">
        <v>396</v>
      </c>
      <c r="B13" s="3"/>
      <c r="C13" s="3"/>
      <c r="D13" s="3"/>
      <c r="E13" s="3"/>
      <c r="F13" s="3"/>
      <c r="G13" s="3"/>
      <c r="H13" s="3"/>
      <c r="I13" s="3"/>
      <c r="J13" s="3"/>
      <c r="K13" s="3"/>
      <c r="L13" s="3"/>
      <c r="M13" s="3"/>
      <c r="N13" s="3"/>
    </row>
    <row r="14" spans="1:14">
      <c r="A14" s="3" t="s">
        <v>397</v>
      </c>
      <c r="B14" s="3"/>
      <c r="C14" s="3"/>
      <c r="D14" s="3"/>
      <c r="E14" s="3"/>
      <c r="F14" s="3"/>
      <c r="G14" s="3"/>
      <c r="H14" s="3"/>
      <c r="I14" s="3"/>
      <c r="J14" s="3"/>
      <c r="K14" s="3"/>
      <c r="L14" s="3"/>
      <c r="M14" s="3"/>
      <c r="N14" s="3"/>
    </row>
    <row r="15" spans="1:14" ht="27.6">
      <c r="A15" s="3" t="s">
        <v>398</v>
      </c>
      <c r="B15" s="3"/>
      <c r="C15" s="3"/>
      <c r="D15" s="3"/>
      <c r="E15" s="3"/>
      <c r="F15" s="3"/>
      <c r="G15" s="3"/>
      <c r="H15" s="3"/>
      <c r="I15" s="3"/>
      <c r="J15" s="3"/>
      <c r="K15" s="3"/>
      <c r="L15" s="3"/>
      <c r="M15" s="3"/>
      <c r="N15" s="3"/>
    </row>
    <row r="16" spans="1:14">
      <c r="A16" s="3" t="s">
        <v>399</v>
      </c>
      <c r="B16" s="3"/>
      <c r="C16" s="3"/>
      <c r="D16" s="3"/>
      <c r="E16" s="3"/>
      <c r="F16" s="3"/>
      <c r="G16" s="3"/>
      <c r="H16" s="3"/>
      <c r="I16" s="3"/>
      <c r="J16" s="3"/>
      <c r="K16" s="3"/>
      <c r="L16" s="3"/>
      <c r="M16" s="3"/>
      <c r="N16" s="3"/>
    </row>
    <row r="17" spans="1:14">
      <c r="A17" s="3" t="s">
        <v>400</v>
      </c>
      <c r="B17" s="3"/>
      <c r="C17" s="3"/>
      <c r="D17" s="3"/>
      <c r="E17" s="3"/>
      <c r="F17" s="3"/>
      <c r="G17" s="3"/>
      <c r="H17" s="3"/>
      <c r="I17" s="3"/>
      <c r="J17" s="3"/>
      <c r="K17" s="3"/>
      <c r="L17" s="3"/>
      <c r="M17" s="3"/>
      <c r="N17" s="3"/>
    </row>
    <row r="18" spans="1:14">
      <c r="A18" s="3" t="s">
        <v>401</v>
      </c>
      <c r="B18" s="3"/>
      <c r="C18" s="3"/>
      <c r="D18" s="3"/>
      <c r="E18" s="3"/>
      <c r="F18" s="3"/>
      <c r="G18" s="3"/>
      <c r="H18" s="3"/>
      <c r="I18" s="3"/>
      <c r="J18" s="3"/>
      <c r="K18" s="3"/>
      <c r="L18" s="3"/>
      <c r="M18" s="3"/>
      <c r="N18" s="3"/>
    </row>
    <row r="19" spans="1:14">
      <c r="A19" s="3" t="s">
        <v>402</v>
      </c>
      <c r="B19" s="3"/>
      <c r="C19" s="3"/>
      <c r="D19" s="3"/>
      <c r="E19" s="3"/>
      <c r="F19" s="3"/>
      <c r="G19" s="3"/>
      <c r="H19" s="3"/>
      <c r="I19" s="3"/>
      <c r="J19" s="3"/>
      <c r="K19" s="3"/>
      <c r="L19" s="3"/>
      <c r="M19" s="3"/>
      <c r="N19" s="3"/>
    </row>
    <row r="20" spans="1:14">
      <c r="A20" s="3" t="s">
        <v>403</v>
      </c>
      <c r="B20" s="3"/>
      <c r="C20" s="3"/>
      <c r="D20" s="3"/>
      <c r="E20" s="3"/>
      <c r="F20" s="3"/>
      <c r="G20" s="3"/>
      <c r="H20" s="3"/>
      <c r="I20" s="3"/>
      <c r="J20" s="3"/>
      <c r="K20" s="3"/>
      <c r="L20" s="3"/>
      <c r="M20" s="3"/>
      <c r="N20" s="3"/>
    </row>
    <row r="21" spans="1:14">
      <c r="A21" s="3" t="s">
        <v>404</v>
      </c>
      <c r="B21" s="3"/>
      <c r="C21" s="3"/>
      <c r="D21" s="3"/>
      <c r="E21" s="3"/>
      <c r="F21" s="3"/>
      <c r="G21" s="3"/>
      <c r="H21" s="3"/>
      <c r="I21" s="3"/>
      <c r="J21" s="3"/>
      <c r="K21" s="3"/>
      <c r="L21" s="3"/>
      <c r="M21" s="3"/>
      <c r="N21" s="3"/>
    </row>
    <row r="22" spans="1:14">
      <c r="A22" s="3"/>
      <c r="B22" s="3"/>
      <c r="C22" s="3"/>
      <c r="D22" s="3"/>
      <c r="E22" s="3"/>
      <c r="F22" s="3"/>
      <c r="G22" s="3"/>
      <c r="H22" s="3"/>
      <c r="I22" s="3"/>
      <c r="J22" s="3"/>
      <c r="K22" s="3"/>
      <c r="L22" s="3"/>
      <c r="M22" s="3"/>
      <c r="N22" s="3"/>
    </row>
    <row r="23" spans="1:14">
      <c r="A23" s="3"/>
      <c r="B23" s="3"/>
      <c r="C23" s="3"/>
      <c r="D23" s="3"/>
      <c r="E23" s="3"/>
      <c r="F23" s="3"/>
      <c r="G23" s="3"/>
      <c r="H23" s="3"/>
      <c r="I23" s="3"/>
      <c r="J23" s="3"/>
      <c r="K23" s="3"/>
      <c r="L23" s="3"/>
      <c r="M23" s="3"/>
      <c r="N23" s="3"/>
    </row>
    <row r="24" spans="1:14">
      <c r="A24" s="3"/>
      <c r="B24" s="3"/>
      <c r="C24" s="3"/>
      <c r="D24" s="3"/>
      <c r="E24" s="3"/>
      <c r="F24" s="3"/>
      <c r="G24" s="3"/>
      <c r="H24" s="3"/>
      <c r="I24" s="3"/>
      <c r="J24" s="3"/>
      <c r="K24" s="3"/>
      <c r="L24" s="3"/>
      <c r="M24" s="3"/>
      <c r="N24" s="3"/>
    </row>
    <row r="25" spans="1:14">
      <c r="A25" s="3"/>
      <c r="B25" s="3"/>
      <c r="C25" s="3"/>
      <c r="D25" s="3"/>
      <c r="E25" s="3"/>
      <c r="F25" s="3"/>
      <c r="G25" s="3"/>
      <c r="H25" s="3"/>
      <c r="I25" s="3"/>
      <c r="J25" s="3"/>
      <c r="K25" s="3"/>
      <c r="L25" s="3"/>
      <c r="M25" s="3"/>
      <c r="N2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Tracker</vt:lpstr>
      <vt:lpstr>Dashboard</vt:lpstr>
      <vt:lpstr>Pattern Guide</vt:lpstr>
      <vt:lpstr>Lists</vt:lpstr>
      <vt:lpstr>SQL Tracker</vt:lpstr>
      <vt:lpstr>SQL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Pious Pradhan</cp:lastModifiedBy>
  <dcterms:modified xsi:type="dcterms:W3CDTF">2026-10-09T18:28:57Z</dcterms:modified>
</cp:coreProperties>
</file>